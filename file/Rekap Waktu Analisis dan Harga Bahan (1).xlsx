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TARIF LAYANAN" sheetId="2" r:id="rId6"/>
    <sheet state="visible" name="TARIF LAYANAN 2025" sheetId="3" r:id="rId7"/>
    <sheet state="visible" name="Harga Bahan" sheetId="4" r:id="rId8"/>
    <sheet state="visible" name="Bahan" sheetId="5" r:id="rId9"/>
    <sheet state="visible" name="A" sheetId="6" r:id="rId10"/>
    <sheet state="visible" name="Uji gabungan" sheetId="7" r:id="rId11"/>
    <sheet state="visible" name="Regenerasi" sheetId="8" r:id="rId12"/>
    <sheet state="visible" name="Fitokimia" sheetId="9" r:id="rId13"/>
    <sheet state="visible" name="Penggunaan Alat" sheetId="10" r:id="rId14"/>
    <sheet state="visible" name="Ekstraksi" sheetId="11" r:id="rId15"/>
    <sheet state="visible" name="Organoleptik" sheetId="12" r:id="rId16"/>
    <sheet state="visible" name="GC-MS" sheetId="13" r:id="rId17"/>
    <sheet state="visible" name="Sentrifuse" sheetId="14" r:id="rId18"/>
    <sheet state="hidden" name="NVScriptsProperties" sheetId="15" r:id="rId19"/>
    <sheet state="visible" name="Kadar air_abu" sheetId="16" r:id="rId20"/>
    <sheet state="visible" name="Daya Serap Iod" sheetId="17" r:id="rId21"/>
    <sheet state="visible" name="HPLC" sheetId="18" r:id="rId22"/>
    <sheet state="visible" name="GC-FID" sheetId="19" r:id="rId23"/>
    <sheet state="visible" name="Old GC-FID" sheetId="20" r:id="rId24"/>
    <sheet state="visible" name="Antibakteri" sheetId="21" r:id="rId25"/>
    <sheet state="visible" name="PSA" sheetId="22" r:id="rId26"/>
    <sheet state="visible" name="ATR-FTIR" sheetId="23" r:id="rId27"/>
    <sheet state="visible" name="TLC" sheetId="24" r:id="rId28"/>
    <sheet state="visible" name="Uv-Vis Udara" sheetId="25" r:id="rId29"/>
    <sheet state="visible" name="Uv-Vis Kimia" sheetId="26" r:id="rId30"/>
    <sheet state="visible" name="FT-NIR" sheetId="27" r:id="rId31"/>
    <sheet state="visible" name="Viskositas" sheetId="28" r:id="rId32"/>
    <sheet state="visible" name="Pewarnaan Gr" sheetId="29" r:id="rId33"/>
    <sheet state="visible" name="ALT + AKK" sheetId="30" r:id="rId34"/>
    <sheet state="visible" name="Candida" sheetId="31" r:id="rId35"/>
    <sheet state="visible" name="E. coli" sheetId="32" r:id="rId36"/>
    <sheet state="visible" name="S aureus" sheetId="33" r:id="rId37"/>
    <sheet state="visible" name="DMA" sheetId="34" r:id="rId38"/>
    <sheet state="visible" name="AAS" sheetId="35" r:id="rId39"/>
    <sheet state="visible" name="Impact Tester" sheetId="36" r:id="rId40"/>
    <sheet state="visible" name="Vanili" sheetId="37" r:id="rId41"/>
    <sheet state="visible" name="XRF" sheetId="38" r:id="rId42"/>
    <sheet state="hidden" name="DO NOT DELETE - AutoCrat Job Se" sheetId="39" r:id="rId43"/>
  </sheets>
  <definedNames>
    <definedName hidden="1" localSheetId="21" name="_xlnm._FilterDatabase">PSA!$A$1:$AB$154</definedName>
  </definedNames>
  <calcPr/>
</workbook>
</file>

<file path=xl/sharedStrings.xml><?xml version="1.0" encoding="utf-8"?>
<sst xmlns="http://schemas.openxmlformats.org/spreadsheetml/2006/main" count="11031" uniqueCount="4113">
  <si>
    <t>Timestamp</t>
  </si>
  <si>
    <t>Pertanyaan Tanpa Judul</t>
  </si>
  <si>
    <t>Merged Doc ID - TLC Scanner (Densitometer)</t>
  </si>
  <si>
    <t>Merged Doc URL - TLC Scanner (Densitometer)</t>
  </si>
  <si>
    <t>Link to merged Doc - TLC Scanner (Densitometer)</t>
  </si>
  <si>
    <t>Document Merge Status - TLC Scanner (Densitometer)</t>
  </si>
  <si>
    <t>LAMPIRAN TARIF LAYANAN PENUNJANG AKADEMIK</t>
  </si>
  <si>
    <t>UNIVERSITAS SEBELAS MARET</t>
  </si>
  <si>
    <t>UPT LABORATORIUM TERPADU</t>
  </si>
  <si>
    <t>No.</t>
  </si>
  <si>
    <t>JENIS LAYANAN</t>
  </si>
  <si>
    <t>SATUAN</t>
  </si>
  <si>
    <t>TARIF (Rp)</t>
  </si>
  <si>
    <t>LAYANAN PENGUJIAN KUALITAS AIR PER PARAMETER</t>
  </si>
  <si>
    <t>Chemical Oxygen Demand (COD)</t>
  </si>
  <si>
    <t>Per sampel</t>
  </si>
  <si>
    <t>Biological Oxygen Demand (BOD)</t>
  </si>
  <si>
    <t>Sulfida (S)</t>
  </si>
  <si>
    <t>Sianida (CN)</t>
  </si>
  <si>
    <t>Phenol</t>
  </si>
  <si>
    <t>Dissolved Oxygen (DO)</t>
  </si>
  <si>
    <t>Total Padatan Tersuspensi (TSS)</t>
  </si>
  <si>
    <t>Total Padatan Terlarut (TDS)</t>
  </si>
  <si>
    <t>Nitrit (NO2-N)</t>
  </si>
  <si>
    <t>Nitrat (NO3-N)</t>
  </si>
  <si>
    <t>Amonia Total (NH3-N)</t>
  </si>
  <si>
    <t>orto-Phosphat (PO4)</t>
  </si>
  <si>
    <t>Sulfat (SO42-)</t>
  </si>
  <si>
    <t>Krom Heksavalen (Cr-VI)</t>
  </si>
  <si>
    <t>Klorida</t>
  </si>
  <si>
    <t>Kesadahan Total</t>
  </si>
  <si>
    <t>Besi (Fe)</t>
  </si>
  <si>
    <t>Mangan (Mn)</t>
  </si>
  <si>
    <t>Tembaga (Cu)</t>
  </si>
  <si>
    <t>Kadmium (Cd)</t>
  </si>
  <si>
    <t>Seng (Zn)</t>
  </si>
  <si>
    <t>Timbal (Pb)</t>
  </si>
  <si>
    <t>Krom Total (Cr-T)</t>
  </si>
  <si>
    <t>Nikel (Ni)</t>
  </si>
  <si>
    <t>Kobalt (Co)</t>
  </si>
  <si>
    <t>Merkuri (Hg)</t>
  </si>
  <si>
    <t>Minyak dan Lemak</t>
  </si>
  <si>
    <t>pH</t>
  </si>
  <si>
    <t>Daya Hantar Listrik (DHL)</t>
  </si>
  <si>
    <t>Suhu</t>
  </si>
  <si>
    <t>Amonia bebas (NH3-N)</t>
  </si>
  <si>
    <t>Total Coliform</t>
  </si>
  <si>
    <t>Koli Tinja/Fecal Coli</t>
  </si>
  <si>
    <t>E. coli</t>
  </si>
  <si>
    <t>Angka Lempeng Total (ALT)</t>
  </si>
  <si>
    <t>Bentos</t>
  </si>
  <si>
    <t>Plankton</t>
  </si>
  <si>
    <t>Sulfit (SO22-)</t>
  </si>
  <si>
    <t>Kekeruhan</t>
  </si>
  <si>
    <t>Warna</t>
  </si>
  <si>
    <t>Natrium/Sodium (Na)</t>
  </si>
  <si>
    <t>Kalium/Potassium (K)</t>
  </si>
  <si>
    <t>Kalsium (Ca)</t>
  </si>
  <si>
    <t>Magnesium (Mg)</t>
  </si>
  <si>
    <t>Aluminium (Al)</t>
  </si>
  <si>
    <t>Silikon (si)</t>
  </si>
  <si>
    <t>Emas (Au)</t>
  </si>
  <si>
    <t>Perak (Ag)</t>
  </si>
  <si>
    <t>LAYANAN PENGUJIAN KUALITAS UDARA PER PARAMETER</t>
  </si>
  <si>
    <t>Ozon (O3)</t>
  </si>
  <si>
    <t>Hidrogen sulfida (H2S)</t>
  </si>
  <si>
    <t>Partikel tersuspensi total (TSP)</t>
  </si>
  <si>
    <t>Amonia (NH3)</t>
  </si>
  <si>
    <t>Carbon monoksida (CO)</t>
  </si>
  <si>
    <t>Sulfur dioksida (SO2)</t>
  </si>
  <si>
    <t>Nitrogen dioksida (NO2)</t>
  </si>
  <si>
    <t>Layanan pengujian Kebisingan</t>
  </si>
  <si>
    <t>Tingkat kebisingan lingkungan</t>
  </si>
  <si>
    <t>Layanan pengujian lingkungan kerja</t>
  </si>
  <si>
    <t>Intensitas pencahayaan</t>
  </si>
  <si>
    <t>PENGUJIAN PARAMETER HALAL</t>
  </si>
  <si>
    <t>1.</t>
  </si>
  <si>
    <t>Analisis DNA sd PCR</t>
  </si>
  <si>
    <t>2.</t>
  </si>
  <si>
    <t>Analisis Alkohol kualitatif</t>
  </si>
  <si>
    <t>3.</t>
  </si>
  <si>
    <t>Analisis Alkohol kuantitatif</t>
  </si>
  <si>
    <t>PENGUJIAN PRODUK</t>
  </si>
  <si>
    <t>Analisis APD (kain masker, kain hazmat)</t>
  </si>
  <si>
    <t>Uji Anti bakteri APD</t>
  </si>
  <si>
    <t>Uji kedap air APD</t>
  </si>
  <si>
    <t>Uji kedap udara APD</t>
  </si>
  <si>
    <t>Analisis Madu</t>
  </si>
  <si>
    <t>Uji Bau Organoleptik</t>
  </si>
  <si>
    <t>Uji Rasa organoleptik</t>
  </si>
  <si>
    <t>Uji Aktivitas enzim diatase</t>
  </si>
  <si>
    <t>Uji Hidroksimetilfurfural (HMF)</t>
  </si>
  <si>
    <t>Uji Gula pereduksi (dihitung sebagai glukosa)</t>
  </si>
  <si>
    <t>Uji Sukrosa (gula sukrosa)</t>
  </si>
  <si>
    <t>Uji keasaman</t>
  </si>
  <si>
    <t>Uji padatan tak larut dalam air</t>
  </si>
  <si>
    <t>Uji Abu (Gravimetri)</t>
  </si>
  <si>
    <t>Uji Cemaran Timbal (Pb)</t>
  </si>
  <si>
    <t>Uji Cemaran Kadmium (Cd)</t>
  </si>
  <si>
    <t>Uji Cemaran Merkuri (Hg)</t>
  </si>
  <si>
    <t>Uji Cemaran Arsen (As)</t>
  </si>
  <si>
    <t>Uji Kloramfenikol</t>
  </si>
  <si>
    <t>Uji Angka Lempeng Total (ALT)</t>
  </si>
  <si>
    <t>Uji Angka paling mungkin (APM) coliform</t>
  </si>
  <si>
    <t>Uji kapang dan khamir</t>
  </si>
  <si>
    <t>Analisis Air Minum dalam Kemasan (AMDK)</t>
  </si>
  <si>
    <t>Uji bau dan rasa</t>
  </si>
  <si>
    <t>pH (derajat keasaman)</t>
  </si>
  <si>
    <t>Zat yang tidak terlarut</t>
  </si>
  <si>
    <t>Zat organik (Angka KMnO4)</t>
  </si>
  <si>
    <t>Amonium (NH4+)</t>
  </si>
  <si>
    <t>Klorida (Cl-)</t>
  </si>
  <si>
    <t>Fluorida (F)</t>
  </si>
  <si>
    <t>Cemaran mikroba:</t>
  </si>
  <si>
    <t>Angka Lempeng Total awal**)</t>
  </si>
  <si>
    <t>Angka Lempeng Total akhir***)</t>
  </si>
  <si>
    <t>Coliform</t>
  </si>
  <si>
    <t>Pseudomonas aeruginosa</t>
  </si>
  <si>
    <t>Klor bebas (Cl2)</t>
  </si>
  <si>
    <t>Kromium (Cr)</t>
  </si>
  <si>
    <t>Barium (Ba)</t>
  </si>
  <si>
    <t>Boron (B)</t>
  </si>
  <si>
    <t>Selenium (Se)</t>
  </si>
  <si>
    <t>Bromat</t>
  </si>
  <si>
    <t>Cemaran logam:</t>
  </si>
  <si>
    <t>Cemaran Arsen (As)</t>
  </si>
  <si>
    <t>Kadar karbon dioksida (CO2) bebas</t>
  </si>
  <si>
    <t>Kadar oksigen (O2) terlarut awal**)</t>
  </si>
  <si>
    <t>Kadar oksigen (O2) terlarut akhir***)</t>
  </si>
  <si>
    <t>4.</t>
  </si>
  <si>
    <t>Analisis Pengujian Vanili</t>
  </si>
  <si>
    <t>Analisis Bau, Warna, keadaan polong, benda asing, kapang, ukuran polong, ukuran polong terpotong, yang pecah</t>
  </si>
  <si>
    <t>Kadar air (Destilasi)</t>
  </si>
  <si>
    <t>Kadar Abu Total</t>
  </si>
  <si>
    <t>Kadar Vanilin</t>
  </si>
  <si>
    <t>5.</t>
  </si>
  <si>
    <t>Analisis Pengujian Kopi Bubuk</t>
  </si>
  <si>
    <t>Analisis Bau, Rasa, Warna, bahan lain, kapang</t>
  </si>
  <si>
    <t>Kadar Air</t>
  </si>
  <si>
    <t>Kadar Abu</t>
  </si>
  <si>
    <t>Kealkalian abu</t>
  </si>
  <si>
    <t>Kadar Sari kopi</t>
  </si>
  <si>
    <t>Kadar kafein (anhidrat)</t>
  </si>
  <si>
    <t>Cemaran Timbal (Pb)</t>
  </si>
  <si>
    <t>Cemaran Tembaga (Cu)</t>
  </si>
  <si>
    <t>Cemaran Raksa/Hg</t>
  </si>
  <si>
    <t>Angka Lempeng total (ALT)</t>
  </si>
  <si>
    <t>6.</t>
  </si>
  <si>
    <t>Analisis Produk Herbal</t>
  </si>
  <si>
    <t>Obat Dalam</t>
  </si>
  <si>
    <t>a.</t>
  </si>
  <si>
    <t>Rajangan yang diseduh dengan air panas sebelum digunakan</t>
  </si>
  <si>
    <t>Organoleptik (bentuk, rasa, bau dan warna)</t>
  </si>
  <si>
    <t>Kadar Air (Gravimetri)</t>
  </si>
  <si>
    <t>Cemaran mikroba</t>
  </si>
  <si>
    <t>-</t>
  </si>
  <si>
    <t>Angka lempeng total (ALT)</t>
  </si>
  <si>
    <t>Angka Kapang Khamir</t>
  </si>
  <si>
    <t>Escherichia coli</t>
  </si>
  <si>
    <t>Angka Enterobacteriaceae</t>
  </si>
  <si>
    <t>Clostridia</t>
  </si>
  <si>
    <t>Salmonella spp</t>
  </si>
  <si>
    <t>Shigella</t>
  </si>
  <si>
    <t>Aflatoksin total (Afaltoksin B1, B2, G1 dan G2)</t>
  </si>
  <si>
    <t>Cemaran logam berat</t>
  </si>
  <si>
    <t>Arsen (As)</t>
  </si>
  <si>
    <t>Bahan Tambahan</t>
  </si>
  <si>
    <t>b.</t>
  </si>
  <si>
    <t>Rajangan yang direbus sebelum digunakan</t>
  </si>
  <si>
    <t>c.</t>
  </si>
  <si>
    <t>Serbuk Simplisia yang diseduh dengan air panas sebelum digunakan</t>
  </si>
  <si>
    <t>Keseragaman bobot</t>
  </si>
  <si>
    <t>d.</t>
  </si>
  <si>
    <t>Sediaan lainnya</t>
  </si>
  <si>
    <t>Waktu hancur</t>
  </si>
  <si>
    <t>Batas residu pelarut ekstraksi selain etanol dan/atau air</t>
  </si>
  <si>
    <t>Obat Luar</t>
  </si>
  <si>
    <t>Sediaan Cair</t>
  </si>
  <si>
    <t>Organoleptik (bentuk, bau dan warna)</t>
  </si>
  <si>
    <t>Volume terpindahkan</t>
  </si>
  <si>
    <t>Staphylococcus aureus</t>
  </si>
  <si>
    <t>Sediaan semi padat</t>
  </si>
  <si>
    <t>Sediaan Padat</t>
  </si>
  <si>
    <t>LAYANAN PENGUJIAN LAINNYA</t>
  </si>
  <si>
    <t>Analisis Kadar Gula-Gula pereduksi</t>
  </si>
  <si>
    <t>Analisis Kadar Protein (Kedjal)</t>
  </si>
  <si>
    <t>Analisis Vitamin C</t>
  </si>
  <si>
    <t>Analisis Kadar Air</t>
  </si>
  <si>
    <t>Analisis Kadar Garam</t>
  </si>
  <si>
    <t>Pengujian Anti Bakteri (Metode difusi cakram)</t>
  </si>
  <si>
    <t>Per cawan/bakteri</t>
  </si>
  <si>
    <t>Pengujian Anti Bakteri (Metode difusi sumuran)</t>
  </si>
  <si>
    <t>Pengujian ALT</t>
  </si>
  <si>
    <t>Pengujian E Coli</t>
  </si>
  <si>
    <t>Pengujian Densitas / massa jenis</t>
  </si>
  <si>
    <t>Analisis dengan PCR</t>
  </si>
  <si>
    <t>Analisis dengan GC (GC-FID)</t>
  </si>
  <si>
    <t>Analisis dengan GC-MS</t>
  </si>
  <si>
    <t>Analisis dengan UV-VIS Spektrometer (kualitatif, 200 - 900 nm)</t>
  </si>
  <si>
    <t>Analisis dengan UV-VIS Spektrometer (kuantitatif)</t>
  </si>
  <si>
    <t>Analisis Mercury/Hg dengan DMA (cair, padat dan gas)</t>
  </si>
  <si>
    <t>Analisis Particle Size (PSA Nano - zeta potensial)</t>
  </si>
  <si>
    <t>a</t>
  </si>
  <si>
    <t>Pengukuran Ukuran Partikel</t>
  </si>
  <si>
    <t>b</t>
  </si>
  <si>
    <t>Pengukuran Zeta Potensial</t>
  </si>
  <si>
    <t>c</t>
  </si>
  <si>
    <t>Pengukuran Bobot Molekul</t>
  </si>
  <si>
    <t>d</t>
  </si>
  <si>
    <t>Pengukuran particle size dan zeta potensial</t>
  </si>
  <si>
    <t>e</t>
  </si>
  <si>
    <t>Pengukuran particle size dan bobot molekul</t>
  </si>
  <si>
    <t>f</t>
  </si>
  <si>
    <t>Pengukuran zeta potensial dan bobot molekul</t>
  </si>
  <si>
    <t>g</t>
  </si>
  <si>
    <t>Pengukuran particle size, zeta potensial dan bobot molekul</t>
  </si>
  <si>
    <t>Analisis kualitatif ATR FTIR</t>
  </si>
  <si>
    <t>Analisis dengan TLC Scanner</t>
  </si>
  <si>
    <t>Per plate (20x20)</t>
  </si>
  <si>
    <t>v</t>
  </si>
  <si>
    <t>Per plate (10x10)</t>
  </si>
  <si>
    <t>Analisis dengan HPLC</t>
  </si>
  <si>
    <t>Pengukuran Viskometer</t>
  </si>
  <si>
    <t>Impact tester</t>
  </si>
  <si>
    <t>per sampel (hingga 10)</t>
  </si>
  <si>
    <t>per sampel (10 lebihnya)</t>
  </si>
  <si>
    <t>AAS</t>
  </si>
  <si>
    <t>Thermal Conductivity</t>
  </si>
  <si>
    <t xml:space="preserve">XRF </t>
  </si>
  <si>
    <t>LAYANAN KALIBRASI</t>
  </si>
  <si>
    <t>Kalibrasi Timbangan Digital</t>
  </si>
  <si>
    <t>Kalibrasi timbangan digital (rentang 0 ,001 - 100 gr)</t>
  </si>
  <si>
    <t>Per barang uji</t>
  </si>
  <si>
    <t>Kalibrasi timbangan digital (rentang 100 - 200 gr)</t>
  </si>
  <si>
    <t>Kalibrasi timbangan digital (rentang 200 - 300 gr)</t>
  </si>
  <si>
    <t>Kalibrasi timbangan digital (rentang 300 gr - 2 kg)</t>
  </si>
  <si>
    <t>Kalibrasi timbangan digital (rentang 2 kg - 30 kg)</t>
  </si>
  <si>
    <t>Kalibrasi timbangan digital (rentang 30 kg - 120 kg)</t>
  </si>
  <si>
    <t>Kalibrasi volume</t>
  </si>
  <si>
    <t>Buret/mikroburet</t>
  </si>
  <si>
    <t>Labu ukur</t>
  </si>
  <si>
    <t>Pipet ukur</t>
  </si>
  <si>
    <t>Pipet volume</t>
  </si>
  <si>
    <t>e.</t>
  </si>
  <si>
    <t>Gelas Ukur</t>
  </si>
  <si>
    <t>Kalibrasi Spektrofotometer UV-VIS</t>
  </si>
  <si>
    <t>Kalibrasi Tekanan (Tensimeter)</t>
  </si>
  <si>
    <t>LAYANAN PENGAMBILAN CONTOH UJI /BARANG UJI (SAMPLING)</t>
  </si>
  <si>
    <t>Sampling dalam kota
  Jarak &lt; 40 km</t>
  </si>
  <si>
    <t>Per hari/pelanggan</t>
  </si>
  <si>
    <t>Dalam kota (Surakarta, Solo, Boyolali, Sragen, Klaten, Karanganyar) dengan 2 petugas</t>
  </si>
  <si>
    <t>Dalam kota (Surakarta, Solo, Boyolali, Sragen, Klaten, Karanganyar) dengan 3 petugas</t>
  </si>
  <si>
    <t>Sampling luar kota &gt; 40 km</t>
  </si>
  <si>
    <t>LAYANAN AKSES LABORATORIUM</t>
  </si>
  <si>
    <t>Akses laboratorium bagi Peneliti luar UNS</t>
  </si>
  <si>
    <t>Per orang</t>
  </si>
  <si>
    <t>Akses laboratorium bagi Mahasiswa luar UNS</t>
  </si>
  <si>
    <t>LAYANAN PELATIHAN LABORATORIUM DAN SERTIFIKASI</t>
  </si>
  <si>
    <t>Pelatihan Peralatan Instrumentasi Lab</t>
  </si>
  <si>
    <t>per orang</t>
  </si>
  <si>
    <t>Pelatihan Implementasi ISO SNI 17025: 2017</t>
  </si>
  <si>
    <t>Pelatihan Petugas Proteksi Radiasi</t>
  </si>
  <si>
    <t>Pelatihan Pengelolaan Hewan uji</t>
  </si>
  <si>
    <t>Pelatihan Kalibrasi Volume</t>
  </si>
  <si>
    <t>Pelatihan Kalibrasi Massa</t>
  </si>
  <si>
    <t>Pelatihan Pengujian parameter udara</t>
  </si>
  <si>
    <t>Pelatihan Pengujian parameter Air</t>
  </si>
  <si>
    <t>Pelatihan Pengambilan Contoh Uji Udara</t>
  </si>
  <si>
    <t>Pelatihan Pengambilan Contoh Uji Air</t>
  </si>
  <si>
    <t>Pelatihan Pengambilan Barang Uji</t>
  </si>
  <si>
    <t>NO</t>
  </si>
  <si>
    <t>KETERANGAN</t>
  </si>
  <si>
    <t>Plankton + Nama Spesies</t>
  </si>
  <si>
    <t>Bentos + Nama Spesises</t>
  </si>
  <si>
    <t>Karena bahan yang digunakan berbeda dengan uji kualitas Air. Dalam tahun yang sama pembuatan tarif penggunaan bahan di udara lebih mahal dari penggunaan bahan untuk air.</t>
  </si>
  <si>
    <t>pengujian menggunakan Gravit</t>
  </si>
  <si>
    <t>#</t>
  </si>
  <si>
    <t>Subkontrak</t>
  </si>
  <si>
    <t>Uji Angka Lempeng Total (ALT) (maksimal 3 kali pengenceran)</t>
  </si>
  <si>
    <t>Uji Angka paling mungkin (APM) coliform (maksimal 3 kali pengenceran)</t>
  </si>
  <si>
    <t>Uji kapang dan khamir (maksimal 3 kali pengenceran)</t>
  </si>
  <si>
    <t>Zat yang tidak terlarut (TDS)</t>
  </si>
  <si>
    <t>disubkontrak</t>
  </si>
  <si>
    <t>perlu dibelikan standar</t>
  </si>
  <si>
    <t>Tinjau ulang harga krn mengg Gravit</t>
  </si>
  <si>
    <t>di SHP tidak dikerjakan</t>
  </si>
  <si>
    <t>di SHP tidak dikerjakan (sebaiknya dikerjakan)</t>
  </si>
  <si>
    <t>ALT</t>
  </si>
  <si>
    <t>Angka lempeng total (ALT) (maksimal 3 kali pengenceran)</t>
  </si>
  <si>
    <t>Angka Kapang Khamir (maksimal 3 kali pengenceran)</t>
  </si>
  <si>
    <t>Perlu dibelikan media dan bakteri Salmonella,</t>
  </si>
  <si>
    <t>Belum bisa dilakukan karena peralatan blm (Inkubator Anaerob)</t>
  </si>
  <si>
    <t>Perlu dibelikan media dan Salmonella</t>
  </si>
  <si>
    <t>Perlu dibelikan media dan bakteri Salmonella</t>
  </si>
  <si>
    <t>menggunakan Gravit</t>
  </si>
  <si>
    <t>Analisis Kadar Gula-Gula pereduksi metode Luff Shrool</t>
  </si>
  <si>
    <t>Analisis Kadar Gula-Gula pereduksi metode Lane-Eynon</t>
  </si>
  <si>
    <t>Analisis Sukrosa (Luff Shrool)</t>
  </si>
  <si>
    <t>per sampel</t>
  </si>
  <si>
    <t>Analisis Sukrosa (Lane-Eynon)</t>
  </si>
  <si>
    <t>Analisis Kadar Protein (Kjehldal)</t>
  </si>
  <si>
    <t>Dalam UNS</t>
  </si>
  <si>
    <t>4 sampel/cawan</t>
  </si>
  <si>
    <t>Pengujian E Coli metode Most Probable Number (MPN)</t>
  </si>
  <si>
    <t>Pengujian E Coli metode Filtrasi Membran</t>
  </si>
  <si>
    <t>Pengujian Lignin (metode chesson)</t>
  </si>
  <si>
    <t>Selulosa (metode chesson)</t>
  </si>
  <si>
    <t>hemiselulosa (metode chesson)</t>
  </si>
  <si>
    <t>Lignin, Selulosa, dan hemiselulosa (chesson)</t>
  </si>
  <si>
    <t>Analisis antioksidan (senyawa standar Quercetin dan metode DPPH)</t>
  </si>
  <si>
    <t>Analisis Fitokimia metabolit sekunder (Flavonoid)</t>
  </si>
  <si>
    <t>Analisis dengan GC</t>
  </si>
  <si>
    <t>KLT</t>
  </si>
  <si>
    <t>Konduktivitas Termal</t>
  </si>
  <si>
    <t>XRF</t>
  </si>
  <si>
    <t>Oral/Hewan Coba</t>
  </si>
  <si>
    <t>per ekor</t>
  </si>
  <si>
    <t>Cek Kolesterol/Cek Glukosa Hewan coba</t>
  </si>
  <si>
    <t>Pengambilan Darah Hewan Coba</t>
  </si>
  <si>
    <t>Penimbangan/pemberian kode Hewan Coba</t>
  </si>
  <si>
    <t>Pengambilan Organ/Pembedahan Hewan Coba</t>
  </si>
  <si>
    <t>Pengambilan Kulit Hewan Coba</t>
  </si>
  <si>
    <t>Induksi/Injeksi/anastesi</t>
  </si>
  <si>
    <t>Pengecekan Suhu Hewan Coba</t>
  </si>
  <si>
    <t>Pembuatan pakan ternak tinggi lemak</t>
  </si>
  <si>
    <t>per Kg</t>
  </si>
  <si>
    <t>Pembuatan pakan ternak rendah lemak</t>
  </si>
  <si>
    <t>Pembuatan model hewan coba Anemia</t>
  </si>
  <si>
    <t>Pembuatan ekstrak Simplisia 0 – 100 gram</t>
  </si>
  <si>
    <t>gram</t>
  </si>
  <si>
    <t>Penanganan limbah Hewan Coba</t>
  </si>
  <si>
    <t>Pengambilan sampel kotoran hewan Coba</t>
  </si>
  <si>
    <t>Pemisahan serum Hewan Coba menggunakan centrifuge</t>
  </si>
  <si>
    <t>per tube</t>
  </si>
  <si>
    <t>Perawatan Kandang, Tempat pakan dan Minum Hewan coba</t>
  </si>
  <si>
    <t>per minggu</t>
  </si>
  <si>
    <t>Daya serap Iod (Titrimetri)</t>
  </si>
  <si>
    <t>Sampling area Soloraya dengan 2 petugas</t>
  </si>
  <si>
    <t>Sampling area Soloraya dengan 3 petugas</t>
  </si>
  <si>
    <t>Sampling luar Soloraya</t>
  </si>
  <si>
    <t>Dihitung sesuai lokasi</t>
  </si>
  <si>
    <t>Sampling area Soloraya selama 24 jam dengan 2 orang petugas</t>
  </si>
  <si>
    <t>Sampling area Soloraya selama 24 jam dengan 3 orang petugas</t>
  </si>
  <si>
    <t>Sampling luar Soloraya selama 24 jam</t>
  </si>
  <si>
    <t>Per orang per semester</t>
  </si>
  <si>
    <t>Praktikum bagi mahasiswa luar UNS</t>
  </si>
  <si>
    <t>per 5 orang</t>
  </si>
  <si>
    <t>Harga bisa berubah disesuaikan dengan jenis praktikum</t>
  </si>
  <si>
    <t>Praktikum bagi siswa SMP/SMA</t>
  </si>
  <si>
    <t>per 10 orang</t>
  </si>
  <si>
    <t>minimal 5 orang</t>
  </si>
  <si>
    <t>Praktek Kerja Lapangan/Magang Mahasiswa Luar UNS</t>
  </si>
  <si>
    <t>Catatan:</t>
  </si>
  <si>
    <t>Civitas Akademika UNS membayar sesuai Tarif dalam UNS</t>
  </si>
  <si>
    <t>Peneliti Luar UNS yang Akses tetap membayar pengujian sesuai Tarif Umum</t>
  </si>
  <si>
    <t>Mahasiswa Non UNS Akses 750.000 dengan rincian Free penggunaan alat :</t>
  </si>
  <si>
    <t>Furnace</t>
  </si>
  <si>
    <t>Rotary Evaporator</t>
  </si>
  <si>
    <t>Oven</t>
  </si>
  <si>
    <t>Shaker Centrifuge</t>
  </si>
  <si>
    <t>Spektroskopi UV-Vis Single Beam (Alat berada di Lab Kimia UPT Lab Terpadu)</t>
  </si>
  <si>
    <t>Laminar</t>
  </si>
  <si>
    <t>Autoclave</t>
  </si>
  <si>
    <t>h</t>
  </si>
  <si>
    <t>Inkubator</t>
  </si>
  <si>
    <t>Untuk pengujian riset biaya preprasi sudah termasuk dalam biaya pengujian</t>
  </si>
  <si>
    <t>Untuk pengujian riset biaya bahan sudah termasuk dalam biaya pengujian</t>
  </si>
  <si>
    <t>LAMPIRAN TARIF Bahan</t>
  </si>
  <si>
    <t>Nama Bahan</t>
  </si>
  <si>
    <t>Cat.</t>
  </si>
  <si>
    <t>Satuan</t>
  </si>
  <si>
    <t>Harga Satuan</t>
  </si>
  <si>
    <t>n-Hexane</t>
  </si>
  <si>
    <t>ml</t>
  </si>
  <si>
    <t>ethanol</t>
  </si>
  <si>
    <t>ethyl acetate</t>
  </si>
  <si>
    <t>Glacial Acetic Acid</t>
  </si>
  <si>
    <t>mL</t>
  </si>
  <si>
    <t>Hari, Tanggal pembuatan rekap</t>
  </si>
  <si>
    <t>Pembuat Rekap</t>
  </si>
  <si>
    <t>Agenda</t>
  </si>
  <si>
    <t>Nama</t>
  </si>
  <si>
    <t>NIM</t>
  </si>
  <si>
    <t>Jurusan/ Fakultas/Univ</t>
  </si>
  <si>
    <t>Nama Bahan 1</t>
  </si>
  <si>
    <t>Jml 1</t>
  </si>
  <si>
    <t>Sat 1</t>
  </si>
  <si>
    <t>Harga Sat 1</t>
  </si>
  <si>
    <t>Harga 1</t>
  </si>
  <si>
    <t>Nama Bahan 2</t>
  </si>
  <si>
    <t>Jumlah Bahan 2</t>
  </si>
  <si>
    <t>Satuan 2</t>
  </si>
  <si>
    <t>Harga Satuan 2</t>
  </si>
  <si>
    <t>Harga 2</t>
  </si>
  <si>
    <t>Nama Bahan 3</t>
  </si>
  <si>
    <t>Jumlah Bahan 3</t>
  </si>
  <si>
    <t>Satuan 3</t>
  </si>
  <si>
    <t>Harga Satuan 3</t>
  </si>
  <si>
    <t>Harga 3</t>
  </si>
  <si>
    <t>Nama Bahan 4</t>
  </si>
  <si>
    <t>Jumlah Bahan 4</t>
  </si>
  <si>
    <t>Satuan 4</t>
  </si>
  <si>
    <t>Harga Satuan 4</t>
  </si>
  <si>
    <t>Harga 4</t>
  </si>
  <si>
    <t>Nama Bahan 5</t>
  </si>
  <si>
    <t>Jumlah Bahan 5</t>
  </si>
  <si>
    <t>Satuan 5</t>
  </si>
  <si>
    <t>Harga Satuan 5</t>
  </si>
  <si>
    <t>Harga 5</t>
  </si>
  <si>
    <t>Nama Bahan 6</t>
  </si>
  <si>
    <t>Jumlah Bahan 6</t>
  </si>
  <si>
    <t>Satuan 6</t>
  </si>
  <si>
    <t>Harga Satuan 6</t>
  </si>
  <si>
    <t>Harga 6</t>
  </si>
  <si>
    <t>Nama Bahan 7</t>
  </si>
  <si>
    <t>Jumlah Bahan 7</t>
  </si>
  <si>
    <t>Satuan 7</t>
  </si>
  <si>
    <t>Harga Satuan 7</t>
  </si>
  <si>
    <t>Harga 7</t>
  </si>
  <si>
    <t>Nama Bahan 8</t>
  </si>
  <si>
    <t>Jumlah Bahan 8</t>
  </si>
  <si>
    <t>Satuan 8</t>
  </si>
  <si>
    <t>Harga Satuan 8</t>
  </si>
  <si>
    <t>Harga 8</t>
  </si>
  <si>
    <t>Nama Bahan 9</t>
  </si>
  <si>
    <t>Jumlah Bahan 9</t>
  </si>
  <si>
    <t>Satuan 9</t>
  </si>
  <si>
    <t>Harga Satuan 9</t>
  </si>
  <si>
    <t>Harga 9</t>
  </si>
  <si>
    <t>Total Harga</t>
  </si>
  <si>
    <t>Merged Doc ID - Pembelian Bahan</t>
  </si>
  <si>
    <t>Link to merged Doc - Pemakaian Bahan</t>
  </si>
  <si>
    <t>Document Merge Status - Pemakaian Bahan</t>
  </si>
  <si>
    <t>Merged Doc URL - Pembelian Bahan</t>
  </si>
  <si>
    <t>Link to merged Doc - Pembelian Bahan</t>
  </si>
  <si>
    <t>Document Merge Status - Pembelian Bahan</t>
  </si>
  <si>
    <t>Merged Doc ID - Pemakaian Bahan</t>
  </si>
  <si>
    <t>Merged Doc ID - Kuitansi bahan</t>
  </si>
  <si>
    <t>Merged Doc URL - Kuitansi bahan</t>
  </si>
  <si>
    <t>Link to merged Doc - Kuitansi bahan</t>
  </si>
  <si>
    <t>Document Merge Status - Kuitansi bahan</t>
  </si>
  <si>
    <t>Adelia Shabeila Gumitha</t>
  </si>
  <si>
    <t>N16231161</t>
  </si>
  <si>
    <t>D4 Analis Kesehatan/Ilmu Kesehatan</t>
  </si>
  <si>
    <t>Media PDA</t>
  </si>
  <si>
    <t>gr</t>
  </si>
  <si>
    <t>Alkohol 96%</t>
  </si>
  <si>
    <t>Kristal Violet</t>
  </si>
  <si>
    <t>Iodine</t>
  </si>
  <si>
    <t>Safranin</t>
  </si>
  <si>
    <t>1j3Wq84eEGAML_cJ2WAvg1SiRfeQHYh4F</t>
  </si>
  <si>
    <t>https://drive.google.com/file/d/1j3Wq84eEGAML_cJ2WAvg1SiRfeQHYh4F/view?usp=drivesdk</t>
  </si>
  <si>
    <t>Document successfully created; Document successfully merged; PDF created; Manually run by labterpadu.unit.uns@gmail.com; Timestamp: Feb 19 2025 2:07 AM</t>
  </si>
  <si>
    <t>Retno H</t>
  </si>
  <si>
    <t>Novanda Wisnu Ardhana</t>
  </si>
  <si>
    <t>H07201227</t>
  </si>
  <si>
    <t>FP</t>
  </si>
  <si>
    <t>Nutrien Agar</t>
  </si>
  <si>
    <t>1fNmCb1en7iEqUtKoB7d0bDv7RW4Wb5HC</t>
  </si>
  <si>
    <t>https://drive.google.com/file/d/1fNmCb1en7iEqUtKoB7d0bDv7RW4Wb5HC/view?usp=drivesdk</t>
  </si>
  <si>
    <t xml:space="preserve">Veronika Adien </t>
  </si>
  <si>
    <t>H0921091</t>
  </si>
  <si>
    <t>ITP</t>
  </si>
  <si>
    <t>MHA</t>
  </si>
  <si>
    <t>1xIZgW6zqK4QK220PwLOMa1TCo2rqyefN</t>
  </si>
  <si>
    <t>https://drive.google.com/file/d/1xIZgW6zqK4QK220PwLOMa1TCo2rqyefN/view?usp=drivesdk</t>
  </si>
  <si>
    <t>Document successfully created; Document successfully merged; PDF created; Manually run by labterpadu.unit.uns@gmail.com; Timestamp: May 6 2025 9:22 PM</t>
  </si>
  <si>
    <t>Jasmine Aderia</t>
  </si>
  <si>
    <t>H0921032</t>
  </si>
  <si>
    <t>NaCl</t>
  </si>
  <si>
    <t>Blank Disc</t>
  </si>
  <si>
    <t>pcs</t>
  </si>
  <si>
    <t>1gsmso5lws4njxwYzaH4gqv8A_pj0woaD</t>
  </si>
  <si>
    <t>https://drive.google.com/file/d/1gsmso5lws4njxwYzaH4gqv8A_pj0woaD/view?usp=drivesdk</t>
  </si>
  <si>
    <t>Document successfully created; Document successfully merged; PDF created; Manually run by labterpadu.unit.uns@gmail.com; Timestamp: May 6 2025 9:46 PM</t>
  </si>
  <si>
    <t>Rahma Isnaini Puji Astuti</t>
  </si>
  <si>
    <t>K4321066</t>
  </si>
  <si>
    <t>P Biologi/FKIP/UNS</t>
  </si>
  <si>
    <t>BOD Seed</t>
  </si>
  <si>
    <t>kapsul</t>
  </si>
  <si>
    <t>H2SO4</t>
  </si>
  <si>
    <t>Ag2SO4</t>
  </si>
  <si>
    <t>Laruatan pereaksi asam</t>
  </si>
  <si>
    <t>Larutan pencerna rendah</t>
  </si>
  <si>
    <t>1jIziFdUeycqHguSGINsbst-b4X0N4urB</t>
  </si>
  <si>
    <t>https://drive.google.com/file/d/1jIziFdUeycqHguSGINsbst-b4X0N4urB/view?usp=drivesdk</t>
  </si>
  <si>
    <t>Document successfully created; Document successfully merged; PDF created; Manually run by labterpadu.unit.uns@gmail.com; Timestamp: Jul 21 2025 12:09 AM</t>
  </si>
  <si>
    <t>Aura</t>
  </si>
  <si>
    <t>J520220074</t>
  </si>
  <si>
    <t>FKG/UMS</t>
  </si>
  <si>
    <t>1d33UQqpy93u3uYf_kB_bwp24A0g07lPW</t>
  </si>
  <si>
    <t>https://drive.google.com/file/d/1d33UQqpy93u3uYf_kB_bwp24A0g07lPW/view?usp=drivesdk</t>
  </si>
  <si>
    <t>Document successfully created; Document successfully merged; PDF created; Manually run by labterpadu.unit.uns@gmail.com; Timestamp: Aug 24 2025 11:22 PM</t>
  </si>
  <si>
    <t>Debby Wulan Purnama</t>
  </si>
  <si>
    <t>H0222031</t>
  </si>
  <si>
    <t>Mercury Chloride</t>
  </si>
  <si>
    <t>14uFk-hsJf63XZ_DyLUqf6cNg5KInyzjS</t>
  </si>
  <si>
    <t>https://drive.google.com/file/d/14uFk-hsJf63XZ_DyLUqf6cNg5KInyzjS/view?usp=drivesdk</t>
  </si>
  <si>
    <t>Document successfully created; Document successfully merged; PDF created; Manually run by labterpadu.unit.uns@gmail.com; Timestamp: Sep 11 2025 3:27 AM</t>
  </si>
  <si>
    <t>Nur Laila</t>
  </si>
  <si>
    <t>LB</t>
  </si>
  <si>
    <t>BGLB</t>
  </si>
  <si>
    <t>EMBA</t>
  </si>
  <si>
    <t>1X9NhmzJiMke9g2uVZroxZZLqrTSBz4Eu</t>
  </si>
  <si>
    <t>https://drive.google.com/file/d/1X9NhmzJiMke9g2uVZroxZZLqrTSBz4Eu/view?usp=drivesdk</t>
  </si>
  <si>
    <t>Document successfully created; Document successfully merged; PDF created; Manually run by labterpadu.unit.uns@gmail.com; Timestamp: Oct 10 2025 12:29 AM</t>
  </si>
  <si>
    <t>Tanggal Map Keluar</t>
  </si>
  <si>
    <t>Pengujian</t>
  </si>
  <si>
    <t>NIM/NIP</t>
  </si>
  <si>
    <r>
      <rPr>
        <rFont val="Arial"/>
        <color rgb="FF000000"/>
        <sz val="10.0"/>
      </rPr>
      <t>Fakultas/Univ</t>
    </r>
  </si>
  <si>
    <t>Akses Lab</t>
  </si>
  <si>
    <t>Jumlah Sampel</t>
  </si>
  <si>
    <t>Uji 1</t>
  </si>
  <si>
    <t>Analis1</t>
  </si>
  <si>
    <t>Harga_Uji1</t>
  </si>
  <si>
    <t>Harga_1</t>
  </si>
  <si>
    <t>Uji 2</t>
  </si>
  <si>
    <t>Analis2</t>
  </si>
  <si>
    <t>Harga_Uji2</t>
  </si>
  <si>
    <t>Harga_2</t>
  </si>
  <si>
    <t>Uji 3</t>
  </si>
  <si>
    <t>Analsi3</t>
  </si>
  <si>
    <t>Harga_Uji3</t>
  </si>
  <si>
    <t>Harga_3</t>
  </si>
  <si>
    <t>Uji 4</t>
  </si>
  <si>
    <t>Analis4</t>
  </si>
  <si>
    <t>Harga_Uji4</t>
  </si>
  <si>
    <t>Harga_4</t>
  </si>
  <si>
    <t>Uji 5</t>
  </si>
  <si>
    <t>Analis5</t>
  </si>
  <si>
    <t>Harga_Uji5</t>
  </si>
  <si>
    <t>Harga_5</t>
  </si>
  <si>
    <t>TotalHarga</t>
  </si>
  <si>
    <t>Merged Doc ID - Uji gabungan</t>
  </si>
  <si>
    <t>Merged Doc URL - Uji gabungan</t>
  </si>
  <si>
    <t>Link to merged Doc - Uji gabungan</t>
  </si>
  <si>
    <t>Document Merge Status - Uji gabungan</t>
  </si>
  <si>
    <t>Rabu, 24 Septenber 2025</t>
  </si>
  <si>
    <t>Viskositas, ALT, Homogenitas, berat jenis, pH</t>
  </si>
  <si>
    <t>Suyono</t>
  </si>
  <si>
    <t>SMA N 1 Toroh</t>
  </si>
  <si>
    <t>Tidak Akses</t>
  </si>
  <si>
    <t>Viskositas</t>
  </si>
  <si>
    <t>Agus W</t>
  </si>
  <si>
    <t>Galuh Pratiwi</t>
  </si>
  <si>
    <t>Homogenitas</t>
  </si>
  <si>
    <t>Retno Hartati</t>
  </si>
  <si>
    <t>Berat jenis</t>
  </si>
  <si>
    <t>pH (pH stik)</t>
  </si>
  <si>
    <t>1fM5cmc6il8KMDpSkDUz3kglKO-JV-wNi</t>
  </si>
  <si>
    <t>https://drive.google.com/file/d/1fM5cmc6il8KMDpSkDUz3kglKO-JV-wNi/view?usp=drivesdk</t>
  </si>
  <si>
    <t>Document successfully created; Document successfully merged; PDF created; Manually run by labterpadu.unit.uns@gmail.com; Timestamp: Oct 17 2025 3:43 AM</t>
  </si>
  <si>
    <t>Protein, kadar air</t>
  </si>
  <si>
    <t>Hafidz Praba Harjono</t>
  </si>
  <si>
    <t>SMA N 4 Surakarta</t>
  </si>
  <si>
    <t>Protein</t>
  </si>
  <si>
    <t>Widyan, Zahra</t>
  </si>
  <si>
    <t>Kadar air</t>
  </si>
  <si>
    <t>1S1T6_mGlvJJdVIAit4pprfv3LxmjSMWn</t>
  </si>
  <si>
    <t>https://drive.google.com/file/d/1S1T6_mGlvJJdVIAit4pprfv3LxmjSMWn/view?usp=drivesdk</t>
  </si>
  <si>
    <t>Document successfully created; Document successfully merged; PDF created; Manually run by labterpadu.unit.uns@gmail.com; Timestamp: Oct 17 2025 3:58 AM</t>
  </si>
  <si>
    <t>Homogenitas, pH</t>
  </si>
  <si>
    <t>Wahyu Putri Lestari,M.Pd.</t>
  </si>
  <si>
    <t>Zahra</t>
  </si>
  <si>
    <t>1Z8pLrjTgOkJCu5FwYY6EoIfdbY-9SEWm</t>
  </si>
  <si>
    <t>https://drive.google.com/file/d/1Z8pLrjTgOkJCu5FwYY6EoIfdbY-9SEWm/view?usp=drivesdk</t>
  </si>
  <si>
    <t>Document successfully created; Document successfully merged; PDF created; Manually run by labterpadu.unit.uns@gmail.com; Timestamp: Oct 17 2025 3:59 AM</t>
  </si>
  <si>
    <t>Rabu, 23 Septenber 2025</t>
  </si>
  <si>
    <t>Anti Bakteri MIC</t>
  </si>
  <si>
    <t>Dessy Natasya</t>
  </si>
  <si>
    <t>Univ. Negeri Semarang</t>
  </si>
  <si>
    <t>Sampel MIC</t>
  </si>
  <si>
    <t>Pratiwi</t>
  </si>
  <si>
    <t>1_J3w2KBjCnTUSpCEHxL2dyjJW19D8pyK</t>
  </si>
  <si>
    <t>https://drive.google.com/file/d/1_J3w2KBjCnTUSpCEHxL2dyjJW19D8pyK/view?usp=drivesdk</t>
  </si>
  <si>
    <t>Document successfully created; Document successfully merged; PDF created; Manually run by labterpadu.unit.uns@gmail.com; Timestamp: Nov 6 2025 2:07 AM</t>
  </si>
  <si>
    <t>Rabu, 23 Septenber 2026</t>
  </si>
  <si>
    <t>Wildan Arrofi</t>
  </si>
  <si>
    <t>17_hli0vi4KzTK8xNPmFiOqo4-6DKOZaS</t>
  </si>
  <si>
    <t>https://drive.google.com/file/d/17_hli0vi4KzTK8xNPmFiOqo4-6DKOZaS/view?usp=drivesdk</t>
  </si>
  <si>
    <t>Angelica Kusumaningtyas</t>
  </si>
  <si>
    <t>Teknologi Pangan/Fakultas Teknologi dan Industri Pangan/Universitas Slamet Riyadi Surakarta</t>
  </si>
  <si>
    <t>1ouHjvFXCe_JugbMGkcH1TRCjtdnw0B-W</t>
  </si>
  <si>
    <t>https://drive.google.com/file/d/1ouHjvFXCe_JugbMGkcH1TRCjtdnw0B-W/view?usp=drivesdk</t>
  </si>
  <si>
    <t>Document successfully created; Document successfully merged; PDF created; Manually run by labterpadu.unit.uns@gmail.com; Timestamp: Nov 13 2025 12:36 AM</t>
  </si>
  <si>
    <t>Ahmad Ananda Daffa Pratama</t>
  </si>
  <si>
    <t>F0224108</t>
  </si>
  <si>
    <t>Manajemen / Ekonomi dan Bisnis / UNS</t>
  </si>
  <si>
    <t>Retno</t>
  </si>
  <si>
    <t>1N7TycLYkagmRjLZJn4Dag_O6E6vPZcYQ</t>
  </si>
  <si>
    <t>https://drive.google.com/file/d/1N7TycLYkagmRjLZJn4Dag_O6E6vPZcYQ/view?usp=drivesdk</t>
  </si>
  <si>
    <t>Document successfully created; Document successfully merged; PDF created; Manually run by labterpadu.unit.uns@gmail.com; Timestamp: Nov 21 2025 2:01 AM</t>
  </si>
  <si>
    <r>
      <rPr>
        <rFont val="Arial"/>
        <color rgb="FF000000"/>
        <sz val="10.0"/>
      </rPr>
      <t>Fakultas/Univ</t>
    </r>
  </si>
  <si>
    <t>Proses</t>
  </si>
  <si>
    <t>Analis</t>
  </si>
  <si>
    <t>Harga per sampel</t>
  </si>
  <si>
    <t>Merged Doc ID - Regenerasi Bakteri</t>
  </si>
  <si>
    <t>Merged Doc URL - Regenerasi Bakteri</t>
  </si>
  <si>
    <t>Link to merged Doc - Regenerasi Bakteri</t>
  </si>
  <si>
    <t>Document Merge Status - Regenerasi Bakteri</t>
  </si>
  <si>
    <t>Fitria Mayasari</t>
  </si>
  <si>
    <t>STIKES Nasional</t>
  </si>
  <si>
    <t>Regenerasi Bakteri P aerugenosa</t>
  </si>
  <si>
    <t>1EgjzUUyiFNNVGEw4u4e4-vFrnovJKPBV</t>
  </si>
  <si>
    <t>https://drive.google.com/file/d/1EgjzUUyiFNNVGEw4u4e4-vFrnovJKPBV/view?usp=drivesdk</t>
  </si>
  <si>
    <t>Document successfully created; Document successfully merged; PDF created; Manually run by labterpadu.unit.uns@gmail.com; Timestamp: Mar 13 2025 9:52 PM</t>
  </si>
  <si>
    <t>Afifah Ambar Maharani</t>
  </si>
  <si>
    <t>S1 Farmasi</t>
  </si>
  <si>
    <t>Regenerasi Bakteri S. aureus</t>
  </si>
  <si>
    <t>1az1dqMf8Z9wkDk1tfCI0lXptSGLh8GxF</t>
  </si>
  <si>
    <t>https://drive.google.com/file/d/1az1dqMf8Z9wkDk1tfCI0lXptSGLh8GxF/view?usp=drivesdk</t>
  </si>
  <si>
    <t>Document successfully created; Document successfully merged; PDF created; Manually run by labterpadu.unit.uns@gmail.com; Timestamp: Mar 17 2025 9:39 PM</t>
  </si>
  <si>
    <t>Intan Nuraini</t>
  </si>
  <si>
    <t>M0421028</t>
  </si>
  <si>
    <t>FMIPA/Biologi</t>
  </si>
  <si>
    <t>Regenerasi Bakteri E.coli</t>
  </si>
  <si>
    <t>1_HtZ58MDGsSfsIjaoCkjO7P3I_7sc0iH</t>
  </si>
  <si>
    <t>https://drive.google.com/file/d/1_HtZ58MDGsSfsIjaoCkjO7P3I_7sc0iH/view?usp=drivesdk</t>
  </si>
  <si>
    <t>Document successfully created; Document successfully merged; PDF created; Manually run by labterpadu.unit.uns@gmail.com; Timestamp: Mar 20 2025 10:57 PM</t>
  </si>
  <si>
    <t>Veronika Adien Arthamarchia</t>
  </si>
  <si>
    <t>ITP Pertanian UNS</t>
  </si>
  <si>
    <t>Akses</t>
  </si>
  <si>
    <t>1_lkezOOvx2TrYkdLPU3hmeMJDAkn8iw2</t>
  </si>
  <si>
    <t>https://drive.google.com/file/d/1_lkezOOvx2TrYkdLPU3hmeMJDAkn8iw2/view?usp=drivesdk</t>
  </si>
  <si>
    <t>Document successfully created; Document successfully merged; PDF created; Manually run by labterpadu.unit.uns@gmail.com; Timestamp: Apr 14 2025 10:35 PM</t>
  </si>
  <si>
    <t>Regenerasi Bakteri S.aureus</t>
  </si>
  <si>
    <t>1p_7d7Ep0UDGgGJIR32PN2KG_kC5EV934</t>
  </si>
  <si>
    <t>https://drive.google.com/file/d/1p_7d7Ep0UDGgGJIR32PN2KG_kC5EV934/view?usp=drivesdk</t>
  </si>
  <si>
    <t>Document successfully created; Document successfully merged; PDF created; Manually run by labterpadu.unit.uns@gmail.com; Timestamp: Apr 14 2025 10:42 PM</t>
  </si>
  <si>
    <t>Wardah Radhwa Hafizhah</t>
  </si>
  <si>
    <t>M0421077</t>
  </si>
  <si>
    <t>Biologi / FMIPA / UNS</t>
  </si>
  <si>
    <t>1Zv721vZXAzVEpZ1RDg4c_Jd7DHyqBdZD</t>
  </si>
  <si>
    <t>https://drive.google.com/file/d/1Zv721vZXAzVEpZ1RDg4c_Jd7DHyqBdZD/view?usp=drivesdk</t>
  </si>
  <si>
    <t>Document successfully created; Document successfully merged; PDF created; Manually run by labterpadu.unit.uns@gmail.com; Timestamp: Jun 12 2025 2:33 AM</t>
  </si>
  <si>
    <t>Alfaira Nur Kamila</t>
  </si>
  <si>
    <t>MAN 2 Surakarta</t>
  </si>
  <si>
    <t>1mCeHwdA4aWtwlbWPRRoe8jQ66fGqH2rS</t>
  </si>
  <si>
    <t>https://drive.google.com/file/d/1mCeHwdA4aWtwlbWPRRoe8jQ66fGqH2rS/view?usp=drivesdk</t>
  </si>
  <si>
    <t>Document successfully created; Document successfully merged; PDF created; Manually run by labterpadu.unit.uns@gmail.com; Timestamp: Sep 4 2025 12:30 AM</t>
  </si>
  <si>
    <t>Esti Margi Utami</t>
  </si>
  <si>
    <t>SMA SEMESTA SEMARANG</t>
  </si>
  <si>
    <t xml:space="preserve">Regenerasi Jamur </t>
  </si>
  <si>
    <t>11LC2kVe_labbfvLlBwFEWVDJNB9cx_kd</t>
  </si>
  <si>
    <t>https://drive.google.com/file/d/11LC2kVe_labbfvLlBwFEWVDJNB9cx_kd/view?usp=drivesdk</t>
  </si>
  <si>
    <t>Document successfully created; Document successfully merged; PDF created; Manually run by labterpadu.unit.uns@gmail.com; Timestamp: Sep 30 2025 12:36 AM</t>
  </si>
  <si>
    <r>
      <rPr>
        <rFont val="Arial"/>
        <color rgb="FF000000"/>
        <sz val="10.0"/>
      </rPr>
      <t>Fakultas/Univ</t>
    </r>
  </si>
  <si>
    <t>Uji</t>
  </si>
  <si>
    <t>Merged Doc ID - Fitokimia</t>
  </si>
  <si>
    <t>Merged Doc URL - Fitokimia</t>
  </si>
  <si>
    <t>Link to merged Doc - Fitokimia</t>
  </si>
  <si>
    <t>Document Merge Status - Fitokimia</t>
  </si>
  <si>
    <t>Sarah Albelita Purba</t>
  </si>
  <si>
    <t>I0522097</t>
  </si>
  <si>
    <t>Teknik/Teknik Kimia</t>
  </si>
  <si>
    <t>Screening Alkaloid dan Flavonoid</t>
  </si>
  <si>
    <t>1qqJsS7Dh2Uvv9YyFslfT_ehCTDxp9J3O</t>
  </si>
  <si>
    <t>https://drive.google.com/file/d/1qqJsS7Dh2Uvv9YyFslfT_ehCTDxp9J3O/view?usp=drivesdk</t>
  </si>
  <si>
    <t>Document successfully created; Document successfully merged; PDF created; Manually run by labterpadu.unit.uns@gmail.com; Timestamp: Jun 2 2025 2:51 AM</t>
  </si>
  <si>
    <t>per sample</t>
  </si>
  <si>
    <t>per sample (hingga 10)</t>
  </si>
  <si>
    <t>per sample (10 lebihnya)</t>
  </si>
  <si>
    <r>
      <rPr>
        <rFont val="Arial"/>
        <color rgb="FF000000"/>
        <sz val="10.0"/>
      </rPr>
      <t>Fakultas/Univ</t>
    </r>
  </si>
  <si>
    <t>Merged Doc ID - Ekstraksi</t>
  </si>
  <si>
    <t>Merged Doc URL - Ekstraksi</t>
  </si>
  <si>
    <t>Link to merged Doc - Ekstraksi</t>
  </si>
  <si>
    <t>Document Merge Status - Ekstraksi</t>
  </si>
  <si>
    <t>013</t>
  </si>
  <si>
    <t>Joko Ariyanto</t>
  </si>
  <si>
    <t>T770210002</t>
  </si>
  <si>
    <t>Pendidikan Biologi/UNS</t>
  </si>
  <si>
    <t>Maserasi &amp; EKstraksi</t>
  </si>
  <si>
    <t>1uCAxmB5Y2TkcVhQf03UHQ3nl104pe2ph</t>
  </si>
  <si>
    <t>https://drive.google.com/file/d/1uCAxmB5Y2TkcVhQf03UHQ3nl104pe2ph/view?usp=drivesdk</t>
  </si>
  <si>
    <t>Document successfully created; Document successfully merged; PDF created; Manually run by labterpadu.unit.uns@gmail.com; Timestamp: Feb 25 2025 10:03 PM</t>
  </si>
  <si>
    <r>
      <rPr>
        <rFont val="Arial"/>
        <color rgb="FF000000"/>
        <sz val="10.0"/>
      </rPr>
      <t>Fakultas/Univ</t>
    </r>
  </si>
  <si>
    <t>Harga total</t>
  </si>
  <si>
    <t>Merged Doc ID - Organoleptik</t>
  </si>
  <si>
    <t>Merged Doc URL - Organoleptik</t>
  </si>
  <si>
    <t>Link to merged Doc - Organoleptik</t>
  </si>
  <si>
    <t>Document Merge Status - Organoleptik</t>
  </si>
  <si>
    <t>Widya Mudyantini</t>
  </si>
  <si>
    <t>197305051999032001</t>
  </si>
  <si>
    <t>Biologi-FMIPA</t>
  </si>
  <si>
    <t>Organoleptik</t>
  </si>
  <si>
    <t>1fM9po5ZwdyrPXRQxsno2qdndXPeyCE5W</t>
  </si>
  <si>
    <t>https://drive.google.com/file/d/1fM9po5ZwdyrPXRQxsno2qdndXPeyCE5W/view?usp=drivesdk</t>
  </si>
  <si>
    <t>Document successfully created; Document successfully merged; PDF created; Manually run by labterpadu.unit.uns@gmail.com; Timestamp: Nov 5 2025 12:00 AM</t>
  </si>
  <si>
    <r>
      <rPr>
        <rFont val="Arial"/>
        <color rgb="FF000000"/>
        <sz val="10.0"/>
      </rPr>
      <t>Tanggal Map Keluar</t>
    </r>
  </si>
  <si>
    <r>
      <rPr>
        <rFont val="Arial"/>
        <color rgb="FF000000"/>
        <sz val="10.0"/>
      </rPr>
      <t>Fakultas/Univ</t>
    </r>
  </si>
  <si>
    <t>Instrument</t>
  </si>
  <si>
    <t>Operator</t>
  </si>
  <si>
    <r>
      <rPr>
        <rFont val="Arial"/>
        <color rgb="FF000000"/>
        <sz val="10.0"/>
      </rPr>
      <t>Waktu retensi</t>
    </r>
  </si>
  <si>
    <r>
      <rPr>
        <rFont val="Arial"/>
        <color rgb="FF000000"/>
        <sz val="10.0"/>
      </rPr>
      <t>Persiapan instrument</t>
    </r>
  </si>
  <si>
    <r>
      <rPr>
        <rFont val="Arial"/>
        <color rgb="FF000000"/>
        <sz val="10.0"/>
      </rPr>
      <t>Preparasi sampel</t>
    </r>
  </si>
  <si>
    <t>Blank</t>
  </si>
  <si>
    <r>
      <rPr>
        <rFont val="Arial"/>
        <color rgb="FF000000"/>
        <sz val="10.0"/>
      </rPr>
      <t>Pengukuran sampel</t>
    </r>
  </si>
  <si>
    <r>
      <rPr>
        <rFont val="Arial"/>
        <color rgb="FF000000"/>
        <sz val="10.0"/>
      </rPr>
      <t>Pengolahan data</t>
    </r>
  </si>
  <si>
    <r>
      <rPr>
        <rFont val="Arial"/>
        <color rgb="FF000000"/>
        <sz val="10.0"/>
      </rPr>
      <t>Mematikan instrument</t>
    </r>
  </si>
  <si>
    <r>
      <rPr>
        <rFont val="Arial"/>
        <b/>
        <color rgb="FF000000"/>
        <sz val="10.0"/>
      </rPr>
      <t>Total waktu pengerjaan</t>
    </r>
  </si>
  <si>
    <t>Jumlah Syringe</t>
  </si>
  <si>
    <t>Total_1</t>
  </si>
  <si>
    <t>Jumlah Whatman (50 k) / Nylon (30 k)</t>
  </si>
  <si>
    <t>Total_2</t>
  </si>
  <si>
    <t>Pelarut</t>
  </si>
  <si>
    <t>Volume</t>
  </si>
  <si>
    <t>Total_3</t>
  </si>
  <si>
    <t>Total_Bahan</t>
  </si>
  <si>
    <t>Merged Doc ID - Rekap GC-MS</t>
  </si>
  <si>
    <t>Merged Doc URL - Rekap GC-MS</t>
  </si>
  <si>
    <t>Link to merged Doc - Rekap GC-MS</t>
  </si>
  <si>
    <t>Document Merge Status - Rekap GC-MS</t>
  </si>
  <si>
    <t>Nanda Dewi R</t>
  </si>
  <si>
    <t>23175290A</t>
  </si>
  <si>
    <t>Farmasi/Universitas Setia Budi</t>
  </si>
  <si>
    <t>GC-MS</t>
  </si>
  <si>
    <t>Dendy</t>
  </si>
  <si>
    <t>38 + 7</t>
  </si>
  <si>
    <t>1YQu1FuyLYYFpQ5tlbxyPx2PVPInH-Ye8</t>
  </si>
  <si>
    <t>https://drive.google.com/file/d/1YQu1FuyLYYFpQ5tlbxyPx2PVPInH-Ye8/view?usp=drivesdk</t>
  </si>
  <si>
    <t>Document successfully created; Document successfully merged; PDF created; Manually run by labterpadu.unit.uns@gmail.com; Timestamp: Nov 8 2024 2:27 AM</t>
  </si>
  <si>
    <t>1_ApHqvZC52h7o3wXMli_sun_ConK9Huw</t>
  </si>
  <si>
    <t>https://drive.google.com/file/d/1_ApHqvZC52h7o3wXMli_sun_ConK9Huw/view?usp=drivesdk</t>
  </si>
  <si>
    <t>Mazlan</t>
  </si>
  <si>
    <t>T742208002</t>
  </si>
  <si>
    <t xml:space="preserve">Pascasarjana </t>
  </si>
  <si>
    <t>70 + 15</t>
  </si>
  <si>
    <t>n-heksana</t>
  </si>
  <si>
    <t>30 ml</t>
  </si>
  <si>
    <t>1P9V0ZfzjrEUe4ja4Az1Tcbu5SuLJ3t26</t>
  </si>
  <si>
    <t>https://drive.google.com/file/d/1P9V0ZfzjrEUe4ja4Az1Tcbu5SuLJ3t26/view?usp=drivesdk</t>
  </si>
  <si>
    <t>Document successfully created; Document successfully merged; PDF created; Manually run by labterpadu.unit.uns@gmail.com; Timestamp: Nov 8 2024 2:33 AM</t>
  </si>
  <si>
    <t xml:space="preserve">Nindy Samira Rahmi </t>
  </si>
  <si>
    <t>M0321049</t>
  </si>
  <si>
    <t>Kimia/MIPA/UNS</t>
  </si>
  <si>
    <t>45 + 15</t>
  </si>
  <si>
    <t>1gDuKlRNUq1dpYf_z2PlFvdkuI_bL_dZu</t>
  </si>
  <si>
    <t>https://drive.google.com/file/d/1gDuKlRNUq1dpYf_z2PlFvdkuI_bL_dZu/view?usp=drivesdk</t>
  </si>
  <si>
    <t>Document successfully created; Document successfully merged; PDF created; Manually run by labterpadu.unit.uns@gmail.com; Timestamp: Nov 8 2024 2:30 AM</t>
  </si>
  <si>
    <t>Halim Maylano</t>
  </si>
  <si>
    <t>K3321031</t>
  </si>
  <si>
    <t xml:space="preserve">Pendidikan Kimia </t>
  </si>
  <si>
    <t>15 + 15</t>
  </si>
  <si>
    <t>1RiuTuwmzo6O7qQAcJd-UKR7Doz5pAEiA</t>
  </si>
  <si>
    <t>https://drive.google.com/file/d/1RiuTuwmzo6O7qQAcJd-UKR7Doz5pAEiA/view?usp=drivesdk</t>
  </si>
  <si>
    <t>Document successfully created; Document successfully merged; PDF created; Manually run by labterpadu.unit.uns@gmail.com; Timestamp: Nov 18 2024 12:36 AM</t>
  </si>
  <si>
    <t>Pascasarjana</t>
  </si>
  <si>
    <t>1YpE_i7Xo0aCEM7AauGKKeFcbalRV8ZV5</t>
  </si>
  <si>
    <t>https://drive.google.com/file/d/1YpE_i7Xo0aCEM7AauGKKeFcbalRV8ZV5/view?usp=drivesdk</t>
  </si>
  <si>
    <t>Document successfully created; Document successfully merged; PDF created; Manually run by labterpadu.unit.uns@gmail.com; Timestamp: Dec 3 2024 9:18 PM</t>
  </si>
  <si>
    <t>Nindy Samira Rahmi</t>
  </si>
  <si>
    <t>kimia/FMIPA/UNS</t>
  </si>
  <si>
    <t>1htjZ1ZPf32I0KYns4PbS2upqYFeo3ZrO</t>
  </si>
  <si>
    <t>https://drive.google.com/file/d/1htjZ1ZPf32I0KYns4PbS2upqYFeo3ZrO/view?usp=drivesdk</t>
  </si>
  <si>
    <t>Mardiana</t>
  </si>
  <si>
    <t>S062402001</t>
  </si>
  <si>
    <t>44 + 15</t>
  </si>
  <si>
    <t>1OSur_85z0JFkxMOOnZUm9iqq6CTw32h4</t>
  </si>
  <si>
    <t>https://drive.google.com/file/d/1OSur_85z0JFkxMOOnZUm9iqq6CTw32h4/view?usp=drivesdk</t>
  </si>
  <si>
    <t>Document successfully created; Document successfully merged; PDF created; Manually run by labterpadu.unit.uns@gmail.com; Timestamp: Dec 18 2024 3:44 AM</t>
  </si>
  <si>
    <t>Retno Duwi Hardini</t>
  </si>
  <si>
    <t>S062108003</t>
  </si>
  <si>
    <t>S2-Kimia/FMIPA</t>
  </si>
  <si>
    <t>50 + 15</t>
  </si>
  <si>
    <t>13AB7gKofGw4LOMgQxOt4ayOHpOO82PJo</t>
  </si>
  <si>
    <t>https://drive.google.com/file/d/13AB7gKofGw4LOMgQxOt4ayOHpOO82PJo/view?usp=drivesdk</t>
  </si>
  <si>
    <t>Dendy &amp; Widyan</t>
  </si>
  <si>
    <t>16tH3cYjHPEUh7qYRPP7JHlD54KSDE2xi</t>
  </si>
  <si>
    <t>https://drive.google.com/file/d/16tH3cYjHPEUh7qYRPP7JHlD54KSDE2xi/view?usp=drivesdk</t>
  </si>
  <si>
    <t>Document successfully created; Document successfully merged; PDF created; Manually run by labterpadu.unit.uns@gmail.com; Timestamp: Dec 23 2024 11:18 PM</t>
  </si>
  <si>
    <t>37 + 15</t>
  </si>
  <si>
    <t>1mOiD4tWDsk9iCOri7zP9xQkpA8VmKO-f</t>
  </si>
  <si>
    <t>https://drive.google.com/file/d/1mOiD4tWDsk9iCOri7zP9xQkpA8VmKO-f/view?usp=drivesdk</t>
  </si>
  <si>
    <t>Document successfully created; Document successfully merged; PDF created; Manually run by labterpadu.unit.uns@gmail.com; Timestamp: Feb 16 2025 7:59 PM</t>
  </si>
  <si>
    <t>Dyah Ayu Fitria Ningsih</t>
  </si>
  <si>
    <t>M0321019</t>
  </si>
  <si>
    <t>S-1 Kimia/MIPA/UNS</t>
  </si>
  <si>
    <t>Roshid</t>
  </si>
  <si>
    <t>60 + 15</t>
  </si>
  <si>
    <t>1ErZTPYI2lyPJx1aPcy67Tw45LPAsAt95</t>
  </si>
  <si>
    <t>https://drive.google.com/file/d/1ErZTPYI2lyPJx1aPcy67Tw45LPAsAt95/view?usp=drivesdk</t>
  </si>
  <si>
    <t>Document successfully created; Document successfully merged; PDF created; Manually run by labterpadu.unit.uns@gmail.com; Timestamp: May 18 2025 9:45 PM</t>
  </si>
  <si>
    <t>M0321020</t>
  </si>
  <si>
    <t>48 + 15</t>
  </si>
  <si>
    <t>1xY-cDVLs87E-6eESqwuXvKDXC7V2j3bq</t>
  </si>
  <si>
    <t>https://drive.google.com/file/d/1xY-cDVLs87E-6eESqwuXvKDXC7V2j3bq/view?usp=drivesdk</t>
  </si>
  <si>
    <t>Sabella Vegasty</t>
  </si>
  <si>
    <t>S06230804</t>
  </si>
  <si>
    <t>S-2 Kimia/MIPA/UNS</t>
  </si>
  <si>
    <t>57 + 15</t>
  </si>
  <si>
    <t>1H_COBmdEIwPWHe9j2iwNsLLOa8OLqWY1</t>
  </si>
  <si>
    <t>https://drive.google.com/file/d/1H_COBmdEIwPWHe9j2iwNsLLOa8OLqWY1/view?usp=drivesdk</t>
  </si>
  <si>
    <t>Citra Nurlaela R</t>
  </si>
  <si>
    <t>M0321014</t>
  </si>
  <si>
    <t>56 + 15</t>
  </si>
  <si>
    <t>1S4RT8KtLq3Plu4UKMkk70X37ZbFr7epw</t>
  </si>
  <si>
    <t>https://drive.google.com/file/d/1S4RT8KtLq3Plu4UKMkk70X37ZbFr7epw/view?usp=drivesdk</t>
  </si>
  <si>
    <t>Layla Nadda Zabrina</t>
  </si>
  <si>
    <t>M0318035</t>
  </si>
  <si>
    <t>Kimia/FMIPA/UNS</t>
  </si>
  <si>
    <t>Gas Chromatography Mass Spectrometry (GC-MS)</t>
  </si>
  <si>
    <t>65 + 15</t>
  </si>
  <si>
    <t>1UenJrawKMtox-ofjff6S604owWZ1B56t</t>
  </si>
  <si>
    <t>https://drive.google.com/file/d/1UenJrawKMtox-ofjff6S604owWZ1B56t/view?usp=drivesdk</t>
  </si>
  <si>
    <t>Document successfully created; Document successfully merged; PDF created; Manually run by labterpadu.unit.uns@gmail.com; Timestamp: Jun 5 2025 3:01 AM</t>
  </si>
  <si>
    <t>Yulia Sandi Iswara</t>
  </si>
  <si>
    <t>M0321079</t>
  </si>
  <si>
    <t>77 + 15</t>
  </si>
  <si>
    <t>aseton</t>
  </si>
  <si>
    <t>1ofHlEOZPKxmskCi7xIS1-udo9GIkY9V4</t>
  </si>
  <si>
    <t>https://drive.google.com/file/d/1ofHlEOZPKxmskCi7xIS1-udo9GIkY9V4/view?usp=drivesdk</t>
  </si>
  <si>
    <t>Document successfully created; Document successfully merged; PDF created; Manually run by labterpadu.unit.uns@gmail.com; Timestamp: Jun 11 2025 12:51 AM</t>
  </si>
  <si>
    <t>Wanda Khairunnisa Wibowo</t>
  </si>
  <si>
    <t>M0623077</t>
  </si>
  <si>
    <t>S1 Farmasi/FMIPA/UNS</t>
  </si>
  <si>
    <t>1AnqqmrYH1TH1md8DI44BvdJr64MTIvV5</t>
  </si>
  <si>
    <t>https://drive.google.com/file/d/1AnqqmrYH1TH1md8DI44BvdJr64MTIvV5/view?usp=drivesdk</t>
  </si>
  <si>
    <t>Document successfully created; Document successfully merged; PDF created; Manually run by labterpadu.unit.uns@gmail.com; Timestamp: Jun 11 2025 5:55 AM</t>
  </si>
  <si>
    <t>36+15</t>
  </si>
  <si>
    <t>1-EZo-L_qnh9wIxwtlQzhG1T7LadeDfEY</t>
  </si>
  <si>
    <t>https://drive.google.com/file/d/1-EZo-L_qnh9wIxwtlQzhG1T7LadeDfEY/view?usp=drivesdk</t>
  </si>
  <si>
    <t>Document successfully created; Document successfully merged; PDF created; Manually run by labterpadu.unit.uns@gmail.com; Timestamp: Jun 15 2025 11:04 PM</t>
  </si>
  <si>
    <t>65+15</t>
  </si>
  <si>
    <t>1_REV0hn2OS6CfwHaLKDopwTW8vtEOx1s</t>
  </si>
  <si>
    <t>https://drive.google.com/file/d/1_REV0hn2OS6CfwHaLKDopwTW8vtEOx1s/view?usp=drivesdk</t>
  </si>
  <si>
    <t>Document successfully created; Document successfully merged; PDF created; Manually run by labterpadu.unit.uns@gmail.com; Timestamp: Jun 19 2025 11:09 PM</t>
  </si>
  <si>
    <t>Rohula Utami</t>
  </si>
  <si>
    <t>T652308006</t>
  </si>
  <si>
    <t>S-3 Ilmu Pertanian/FP/UNS</t>
  </si>
  <si>
    <t>50+15</t>
  </si>
  <si>
    <t>etanol</t>
  </si>
  <si>
    <t>1kGc-qh8RxpVi7e50Tat5TX_4F-MD35yX</t>
  </si>
  <si>
    <t>https://drive.google.com/file/d/1kGc-qh8RxpVi7e50Tat5TX_4F-MD35yX/view?usp=drivesdk</t>
  </si>
  <si>
    <t>Adelisa Monica Permadani</t>
  </si>
  <si>
    <t>K3322003</t>
  </si>
  <si>
    <t>S-1 Pendidikan Kimia/FKIP/UNS</t>
  </si>
  <si>
    <t>62+15</t>
  </si>
  <si>
    <t>1eOcViftL4I9OUANbnZ_1NadcchR3Xtcc</t>
  </si>
  <si>
    <t>https://drive.google.com/file/d/1eOcViftL4I9OUANbnZ_1NadcchR3Xtcc/view?usp=drivesdk</t>
  </si>
  <si>
    <t>Muhamad Fajrianor Lawi</t>
  </si>
  <si>
    <t>H0721096</t>
  </si>
  <si>
    <t>S-1 Agroteknologi/ FP/ UNS</t>
  </si>
  <si>
    <t>61+15</t>
  </si>
  <si>
    <t>1EK2XEnuOsQPy_qjqUM_hYIp9HdEef1vu</t>
  </si>
  <si>
    <t>https://drive.google.com/file/d/1EK2XEnuOsQPy_qjqUM_hYIp9HdEef1vu/view?usp=drivesdk</t>
  </si>
  <si>
    <t>Document successfully created; Document successfully merged; PDF created; Manually run by labterpadu.unit.uns@gmail.com; Timestamp: Jul 14 2025 4:42 AM</t>
  </si>
  <si>
    <t>Dwi Ardiana Setyawardhani</t>
  </si>
  <si>
    <t>197301311998022001</t>
  </si>
  <si>
    <t>Teknik kimia /  Fakultas teknik/UNS</t>
  </si>
  <si>
    <t>66+15</t>
  </si>
  <si>
    <t>1pGQ__eSCxKLBcmVq2hyVgvNSXFYav3ds</t>
  </si>
  <si>
    <t>https://drive.google.com/file/d/1pGQ__eSCxKLBcmVq2hyVgvNSXFYav3ds/view?usp=drivesdk</t>
  </si>
  <si>
    <t>Document successfully created; Document successfully merged; PDF created; Manually run by labterpadu.unit.uns@gmail.com; Timestamp: Jul 14 2025 4:43 AM</t>
  </si>
  <si>
    <t>M. Alkindi Sulthan Zhafran S</t>
  </si>
  <si>
    <t>D200210181</t>
  </si>
  <si>
    <t>Teknik Mesin / Teknik / Universitas Muhammadiyah Surakarta</t>
  </si>
  <si>
    <t>72+15</t>
  </si>
  <si>
    <t>1Qr16cQnvXb8W5g4PB_J7x_yrAlPXhOPR</t>
  </si>
  <si>
    <t>https://drive.google.com/file/d/1Qr16cQnvXb8W5g4PB_J7x_yrAlPXhOPR/view?usp=drivesdk</t>
  </si>
  <si>
    <t>Document successfully created; Document successfully merged; PDF created; Manually run by labterpadu.unit.uns@gmail.com; Timestamp: Aug 5 2025 9:26 PM</t>
  </si>
  <si>
    <t xml:space="preserve">Prof Dr Dwi Ardiana Setyawardhani </t>
  </si>
  <si>
    <t>Teknik kimia/Fak Teknik/UNS</t>
  </si>
  <si>
    <t>1PZtXDTDohq41_OA0xOl5PwEoChGerC1z</t>
  </si>
  <si>
    <t>https://drive.google.com/file/d/1PZtXDTDohq41_OA0xOl5PwEoChGerC1z/view?usp=drivesdk</t>
  </si>
  <si>
    <t>Document successfully created; Document successfully merged; PDF created; Manually run by labterpadu.unit.uns@gmail.com; Timestamp: Aug 5 2025 9:27 PM</t>
  </si>
  <si>
    <t>Litaskuri S.Nur.H</t>
  </si>
  <si>
    <t>SC1008</t>
  </si>
  <si>
    <t>Farmasi/Farmasi/STIKES Mambaul Ulum Surakarta</t>
  </si>
  <si>
    <t>55+15</t>
  </si>
  <si>
    <t>1PcEP5LjYY3S1zKbCF-pbxruzZQciiETK</t>
  </si>
  <si>
    <t>https://drive.google.com/file/d/1PcEP5LjYY3S1zKbCF-pbxruzZQciiETK/view?usp=drivesdk</t>
  </si>
  <si>
    <t>Vito Bintang Saputra</t>
  </si>
  <si>
    <t>M0321076</t>
  </si>
  <si>
    <t>35+15</t>
  </si>
  <si>
    <t>12pS2Talcs6P4Ij_S-5oEtG8QaV32r-t-</t>
  </si>
  <si>
    <t>https://drive.google.com/file/d/12pS2Talcs6P4Ij_S-5oEtG8QaV32r-t-/view?usp=drivesdk</t>
  </si>
  <si>
    <t>PT. Indo Acidatama Tbk.</t>
  </si>
  <si>
    <t>30+15</t>
  </si>
  <si>
    <t>1feIBsqmQwQ6803_PZ7NkE3pqI4ifwzFN</t>
  </si>
  <si>
    <t>https://drive.google.com/file/d/1feIBsqmQwQ6803_PZ7NkE3pqI4ifwzFN/view?usp=drivesdk</t>
  </si>
  <si>
    <t>Document successfully created; Document successfully merged; PDF created; Manually run by labterpadu.unit.uns@gmail.com; Timestamp: Oct 9 2025 4:18 AM</t>
  </si>
  <si>
    <t>Putri Aisyah Ali</t>
  </si>
  <si>
    <t>K3322080</t>
  </si>
  <si>
    <t>P Kimia/FKIP/UNS</t>
  </si>
  <si>
    <t>1Y3o3UkkkV-ErdF-GfQIT7nQITnzz6PIJ</t>
  </si>
  <si>
    <t>https://drive.google.com/file/d/1Y3o3UkkkV-ErdF-GfQIT7nQITnzz6PIJ/view?usp=drivesdk</t>
  </si>
  <si>
    <t>Document successfully created; Document successfully merged; PDF created; Manually run by labterpadu.unit.uns@gmail.com; Timestamp: Oct 21 2025 12:21 AM</t>
  </si>
  <si>
    <t>Jelita Tri Dewi Masta Ziliwu</t>
  </si>
  <si>
    <t>Farmasi Klinis/Kedokteran Gigi dan Ilmu Kesehatan/Universitas Prima Indonesia</t>
  </si>
  <si>
    <t>1AuZ9IcUmFvnw1gdgmCjbXcQTnQ9srxWn</t>
  </si>
  <si>
    <t>https://drive.google.com/file/d/1AuZ9IcUmFvnw1gdgmCjbXcQTnQ9srxWn/view?usp=drivesdk</t>
  </si>
  <si>
    <t>Document successfully created; Document successfully merged; PDF created; Manually run by labterpadu.unit.uns@gmail.com; Timestamp: Nov 6 2025 2:44 AM</t>
  </si>
  <si>
    <t>Rendy Chonata</t>
  </si>
  <si>
    <t>D200210180</t>
  </si>
  <si>
    <t>Teknik Mesin/FT/UMS</t>
  </si>
  <si>
    <t>10xjOq8alyqZZOqkf4_jTZHtwx5N4raIA</t>
  </si>
  <si>
    <t>https://drive.google.com/file/d/10xjOq8alyqZZOqkf4_jTZHtwx5N4raIA/view?usp=drivesdk</t>
  </si>
  <si>
    <t>Document successfully created; Document successfully merged; PDF created; Manually run by labterpadu.unit.uns@gmail.com; Timestamp: Oct 21 2025 12:22 AM</t>
  </si>
  <si>
    <t>Pertanian</t>
  </si>
  <si>
    <t>1UdJP3U5qISpyKIySPdrB3AoPdoIApUdR</t>
  </si>
  <si>
    <t>https://drive.google.com/file/d/1UdJP3U5qISpyKIySPdrB3AoPdoIApUdR/view?usp=drivesdk</t>
  </si>
  <si>
    <t>Document successfully created; Document successfully merged; PDF created; Manually run by labterpadu.unit.uns@gmail.com; Timestamp: Oct 28 2025 6:12 AM</t>
  </si>
  <si>
    <r>
      <rPr>
        <rFont val="Arial"/>
        <color rgb="FF000000"/>
        <sz val="10.0"/>
      </rPr>
      <t>Fakultas/Univ</t>
    </r>
  </si>
  <si>
    <t>Harga Total Alat</t>
  </si>
  <si>
    <t>Bahan</t>
  </si>
  <si>
    <t>Jumlah</t>
  </si>
  <si>
    <t>Harga satuan</t>
  </si>
  <si>
    <t>Harga Total</t>
  </si>
  <si>
    <t>Merged Doc ID - Sentrifuse</t>
  </si>
  <si>
    <t>Merged Doc URL - Sentrifuse</t>
  </si>
  <si>
    <t>Link to merged Doc - Sentrifuse</t>
  </si>
  <si>
    <t>Document Merge Status - Sentrifuse</t>
  </si>
  <si>
    <t>Eva Susilawati</t>
  </si>
  <si>
    <t>S532308020</t>
  </si>
  <si>
    <t>S2 Gizi / Pasca Sarjana / Universitas Sebelas Maret</t>
  </si>
  <si>
    <t>Sentrifuse</t>
  </si>
  <si>
    <t>Blue Tip</t>
  </si>
  <si>
    <t>1c9ycJSfv8Z-SxF3rvfl_Ya58G8K0mLw3</t>
  </si>
  <si>
    <t>https://drive.google.com/file/d/1c9ycJSfv8Z-SxF3rvfl_Ya58G8K0mLw3/view?usp=drivesdk</t>
  </si>
  <si>
    <t>Document successfully created; Document successfully merged; PDF created; Manually run by labterpadu.unit.uns@gmail.com; Timestamp: Dec 30 2024 8:40 PM</t>
  </si>
  <si>
    <t>Wahyu Aulia Hasibuan</t>
  </si>
  <si>
    <t>S532308037</t>
  </si>
  <si>
    <t>1RlcjiwkHSLO6JtweNzRMoByhbT4ZYUo1</t>
  </si>
  <si>
    <t>https://drive.google.com/file/d/1RlcjiwkHSLO6JtweNzRMoByhbT4ZYUo1/view?usp=drivesdk</t>
  </si>
  <si>
    <t>Document successfully created; Document successfully merged; PDF created; Manually run by labterpadu.unit.uns@gmail.com; Timestamp: Dec 30 2024 8:41 PM</t>
  </si>
  <si>
    <t>autocratn</t>
  </si>
  <si>
    <t>autocratp</t>
  </si>
  <si>
    <t>dataSheetName</t>
  </si>
  <si>
    <t>"Form Responses 2"</t>
  </si>
  <si>
    <t>"5.1"</t>
  </si>
  <si>
    <t>dataSheetId</t>
  </si>
  <si>
    <t>"1.245594991E9"</t>
  </si>
  <si>
    <t>updateTime</t>
  </si>
  <si>
    <t>"1.750400717299E12"</t>
  </si>
  <si>
    <t>vp</t>
  </si>
  <si>
    <t>ssId</t>
  </si>
  <si>
    <t>"11dSFaAiXIhCJa5OwYo4J-L5_R-wT6EeSSgszY0o4AGY"</t>
  </si>
  <si>
    <r>
      <rPr>
        <rFont val="Arial"/>
        <color rgb="FF000000"/>
        <sz val="10.0"/>
      </rPr>
      <t>Fakultas/Univ</t>
    </r>
  </si>
  <si>
    <t>Merged Doc ID - Kadar Air_Abu</t>
  </si>
  <si>
    <t>Merged Doc URL - Kadar Air_Abu</t>
  </si>
  <si>
    <t>Link to merged Doc - Kadar Air_Abu</t>
  </si>
  <si>
    <t>Document Merge Status - Kadar Air_Abu</t>
  </si>
  <si>
    <t xml:space="preserve"> Rory Ade Kurniawan</t>
  </si>
  <si>
    <t>A132202013</t>
  </si>
  <si>
    <t>ilmu lingkungan/pasca sarjana/uns</t>
  </si>
  <si>
    <t>Furnace (Kadar Abu)</t>
  </si>
  <si>
    <t>1ibVfvCIC04pMfgxsGH9mTrMtHXWSpxvi</t>
  </si>
  <si>
    <t>https://drive.google.com/file/d/1ibVfvCIC04pMfgxsGH9mTrMtHXWSpxvi/view?usp=drivesdk</t>
  </si>
  <si>
    <t>Document successfully created; Document successfully merged; PDF created; Manually run by labterpadu.unit.uns@gmail.com; Timestamp: Sep 26 2025 1:11 AM</t>
  </si>
  <si>
    <t>Oven (Kadar Air)</t>
  </si>
  <si>
    <t>Sartono</t>
  </si>
  <si>
    <t>1nRppHkhST7e6KZAvFt7j6Riq2BCuSnVA</t>
  </si>
  <si>
    <t>https://drive.google.com/file/d/1nRppHkhST7e6KZAvFt7j6Riq2BCuSnVA/view?usp=drivesdk</t>
  </si>
  <si>
    <t>SMA NEGERI 4 SURAKARTA</t>
  </si>
  <si>
    <t>1TBNdzBu31Mu4P4IoZwDHXkWGR7ANmAm8</t>
  </si>
  <si>
    <t>https://drive.google.com/file/d/1TBNdzBu31Mu4P4IoZwDHXkWGR7ANmAm8/view?usp=drivesdk</t>
  </si>
  <si>
    <t>Document successfully created; Document successfully merged; PDF created; Manually run by labterpadu.unit.uns@gmail.com; Timestamp: Oct 9 2025 4:59 AM</t>
  </si>
  <si>
    <r>
      <rPr>
        <rFont val="Arial"/>
        <color rgb="FF000000"/>
        <sz val="10.0"/>
      </rPr>
      <t>Fakultas/Univ</t>
    </r>
  </si>
  <si>
    <t>Merged Doc ID - Daya Serap Iod</t>
  </si>
  <si>
    <t>Merged Doc URL - Daya Serap Iod</t>
  </si>
  <si>
    <t>Link to merged Doc - Daya Serap Iod</t>
  </si>
  <si>
    <t>Document Merge Status - Daya Serap Iod</t>
  </si>
  <si>
    <t>Daya serap Iod</t>
  </si>
  <si>
    <t>1brb3L_04ewOpn1EEnYejZV_wBX1BKYqT</t>
  </si>
  <si>
    <t>https://drive.google.com/file/d/1brb3L_04ewOpn1EEnYejZV_wBX1BKYqT/view?usp=drivesdk</t>
  </si>
  <si>
    <t>Document successfully created; Document successfully merged; PDF created; Manually run by labterpadu.unit.uns@gmail.com; Timestamp: Sep 26 2025 1:26 AM</t>
  </si>
  <si>
    <r>
      <rPr>
        <rFont val="Arial"/>
        <color rgb="FF000000"/>
        <sz val="10.0"/>
      </rPr>
      <t>Fakultas/Univ</t>
    </r>
  </si>
  <si>
    <t>Jumlah Paket</t>
  </si>
  <si>
    <r>
      <rPr>
        <rFont val="Arial"/>
        <color rgb="FF000000"/>
        <sz val="10.0"/>
      </rPr>
      <t>Harga per paket</t>
    </r>
  </si>
  <si>
    <r>
      <rPr>
        <rFont val="Arial"/>
        <color rgb="FF000000"/>
        <sz val="10.0"/>
      </rPr>
      <t>Tambahan sampel</t>
    </r>
  </si>
  <si>
    <t>HargaTotal</t>
  </si>
  <si>
    <t>Menghidupkan alat</t>
  </si>
  <si>
    <t>Penstabilan</t>
  </si>
  <si>
    <t>Waktu retensi</t>
  </si>
  <si>
    <t>Waktu retensi x 2</t>
  </si>
  <si>
    <t>Preparasi pengukuran sampel</t>
  </si>
  <si>
    <t>Pencucian kolom2</t>
  </si>
  <si>
    <t>Pengolahan data</t>
  </si>
  <si>
    <t>Pencucian kolom sebelum dimatikan</t>
  </si>
  <si>
    <t>Mematikan instrument</t>
  </si>
  <si>
    <t>Total waktu pengerjaan</t>
  </si>
  <si>
    <t>Total Biaya Analisis</t>
  </si>
  <si>
    <t>Disposable syringe</t>
  </si>
  <si>
    <t>Total1</t>
  </si>
  <si>
    <t>Total2</t>
  </si>
  <si>
    <t>Jumlah Whatman 42</t>
  </si>
  <si>
    <t>Total3</t>
  </si>
  <si>
    <t>Total4</t>
  </si>
  <si>
    <t>Asetonitril</t>
  </si>
  <si>
    <t>Total5</t>
  </si>
  <si>
    <t>Metanol</t>
  </si>
  <si>
    <t>Harga_6</t>
  </si>
  <si>
    <t>Total6</t>
  </si>
  <si>
    <t>Water Injection</t>
  </si>
  <si>
    <t>Harga_7</t>
  </si>
  <si>
    <t>Total7</t>
  </si>
  <si>
    <t>Jumlah kertas saring</t>
  </si>
  <si>
    <t>Harga_8</t>
  </si>
  <si>
    <t>Total8</t>
  </si>
  <si>
    <t>Merged Doc ID - Rekap HPLC</t>
  </si>
  <si>
    <t>Merged Doc URL - Rekap HPLC</t>
  </si>
  <si>
    <t>Link to merged Doc - Rekap HPLC</t>
  </si>
  <si>
    <t>Document Merge Status - Rekap HPLC</t>
  </si>
  <si>
    <t xml:space="preserve">Kimia/FMIPA/Universitas Sebelas Maret </t>
  </si>
  <si>
    <t>HPLC</t>
  </si>
  <si>
    <t>1QZnS9PLNPOaQDWGRsKAPDmssbsnP0fI4</t>
  </si>
  <si>
    <t>https://drive.google.com/file/d/1QZnS9PLNPOaQDWGRsKAPDmssbsnP0fI4/view?usp=drivesdk</t>
  </si>
  <si>
    <t>Document successfully created; Document successfully merged; PDF created; Manually run by labterpadu.unit.uns@gmail.com; Timestamp: Sep 21 2024 9:36 AM</t>
  </si>
  <si>
    <t>Adlinisa Ghinanda</t>
  </si>
  <si>
    <t>M0620001</t>
  </si>
  <si>
    <t>S1 Farmasi FMIPA Universitas Sebelas Maret</t>
  </si>
  <si>
    <t>Dendy dan Widyan</t>
  </si>
  <si>
    <t>Asam fosfat</t>
  </si>
  <si>
    <t>11dsMBcxL8YYVdz7e29_p0u5Z1jOC8b7W</t>
  </si>
  <si>
    <t>https://drive.google.com/file/d/11dsMBcxL8YYVdz7e29_p0u5Z1jOC8b7W/view?usp=drivesdk</t>
  </si>
  <si>
    <t>Document successfully created; Document successfully merged; PDF created; Manually run by labterpadu.unit.uns@gmail.com; Timestamp: Dec 18 2024 10:25 PM</t>
  </si>
  <si>
    <t>Selasa,3 Desember 2024</t>
  </si>
  <si>
    <t>Lisa Sefriana</t>
  </si>
  <si>
    <t>S532308024</t>
  </si>
  <si>
    <t>S2 Ilmu Gizi UNS</t>
  </si>
  <si>
    <t>Annisa dan Widyan</t>
  </si>
  <si>
    <t>1hXls0OV4DjT3C0087-U9yZNP-7S0zT7k</t>
  </si>
  <si>
    <t>https://drive.google.com/file/d/1hXls0OV4DjT3C0087-U9yZNP-7S0zT7k/view?usp=drivesdk</t>
  </si>
  <si>
    <t>Document successfully created; Document successfully merged; PDF created; Manually run by labterpadu.unit.uns@gmail.com; Timestamp: Dec 3 2024 10:00 PM</t>
  </si>
  <si>
    <t xml:space="preserve">Eva Susilawati </t>
  </si>
  <si>
    <t xml:space="preserve">S532308020 </t>
  </si>
  <si>
    <t>S2 Ilmu Gizi / Pascasarjana / UNS</t>
  </si>
  <si>
    <t>1PfTAYPtreqJJi2AKjl5pKT7k-71CPuCc</t>
  </si>
  <si>
    <t>https://drive.google.com/file/d/1PfTAYPtreqJJi2AKjl5pKT7k-71CPuCc/view?usp=drivesdk</t>
  </si>
  <si>
    <t>Document successfully created; Document successfully merged; PDF created; Manually run by labterpadu.unit.uns@gmail.com; Timestamp: Dec 3 2024 9:55 PM</t>
  </si>
  <si>
    <t>1sBEvDe_imTAAr-XZlHY_VxRZWgwVOsLq</t>
  </si>
  <si>
    <t>https://drive.google.com/file/d/1sBEvDe_imTAAr-XZlHY_VxRZWgwVOsLq/view?usp=drivesdk</t>
  </si>
  <si>
    <t>Selasa,3 Desember 2025</t>
  </si>
  <si>
    <t>Lia Umi Khasanah</t>
  </si>
  <si>
    <t>T652008006</t>
  </si>
  <si>
    <t>S3 Ilmu Pertanian</t>
  </si>
  <si>
    <t>Badif, Dendy, Widyan</t>
  </si>
  <si>
    <t>1N6btOJR8wLDPfRl3iZXL0BxAuOyQG6Qi</t>
  </si>
  <si>
    <t>https://drive.google.com/file/d/1N6btOJR8wLDPfRl3iZXL0BxAuOyQG6Qi/view?usp=drivesdk</t>
  </si>
  <si>
    <t>Document successfully created; Document successfully merged; PDF created; Manually run by labterpadu.unit.uns@gmail.com; Timestamp: Oct 31 2024 11:45 PM</t>
  </si>
  <si>
    <t>ACN:MeOH</t>
  </si>
  <si>
    <t>16CHL8vrDb4xhFB1LhCcxmnQEf-MZVB57</t>
  </si>
  <si>
    <t>https://drive.google.com/file/d/16CHL8vrDb4xhFB1LhCcxmnQEf-MZVB57/view?usp=drivesdk</t>
  </si>
  <si>
    <t>Document successfully created; Document successfully merged; PDF created; Manually run by labterpadu.unit.uns@gmail.com; Timestamp: Dec 8 2024 10:29 PM</t>
  </si>
  <si>
    <t>ACN:Formic acid</t>
  </si>
  <si>
    <t>1licsAdnbpWyvndb1p0vgcffEIOHljjnu</t>
  </si>
  <si>
    <t>https://drive.google.com/file/d/1licsAdnbpWyvndb1p0vgcffEIOHljjnu/view?usp=drivesdk</t>
  </si>
  <si>
    <t>Document successfully created; Document successfully merged; PDF created; Manually run by labterpadu.unit.uns@gmail.com; Timestamp: Dec 6 2024 3:33 AM</t>
  </si>
  <si>
    <t>Rennanti Lunnadiyah Aprilia</t>
  </si>
  <si>
    <t>T652100808</t>
  </si>
  <si>
    <t>S3 Ilmu Pertanian/FP/UNS</t>
  </si>
  <si>
    <t>Widyan</t>
  </si>
  <si>
    <t>MeOH:WFI</t>
  </si>
  <si>
    <t>1JT4ZR74lbj7d2SRzQuUQL6gikqkIO53V</t>
  </si>
  <si>
    <t>https://drive.google.com/file/d/1JT4ZR74lbj7d2SRzQuUQL6gikqkIO53V/view?usp=drivesdk</t>
  </si>
  <si>
    <t>Document successfully created; Document successfully merged; PDF created; Manually run by labterpadu.unit.uns@gmail.com; Timestamp: Dec 10 2024 5:21 AM</t>
  </si>
  <si>
    <t>1sdyA4fRnN2tmPDuJd-lPpugMqTnvBgp-</t>
  </si>
  <si>
    <t>https://drive.google.com/file/d/1sdyA4fRnN2tmPDuJd-lPpugMqTnvBgp-/view?usp=drivesdk</t>
  </si>
  <si>
    <t>Document successfully created; Document successfully merged; PDF created; Manually run by labterpadu.unit.uns@gmail.com; Timestamp: Dec 18 2024 1:23 AM</t>
  </si>
  <si>
    <t>Fernanda Aulia Grahayanti</t>
  </si>
  <si>
    <t>J520210060</t>
  </si>
  <si>
    <t>Kedokteran Gigi/Universitas Muhammadiyah Surakarta</t>
  </si>
  <si>
    <t>1LOGlyaNkDgANPFb540B-NeaNsOiwoJmi</t>
  </si>
  <si>
    <t>https://drive.google.com/file/d/1LOGlyaNkDgANPFb540B-NeaNsOiwoJmi/view?usp=drivesdk</t>
  </si>
  <si>
    <t>Document successfully created; Document successfully merged; PDF created; Manually run by labterpadu.unit.uns@gmail.com; Timestamp: Feb 2 2025 9:16 PM</t>
  </si>
  <si>
    <t>Dwi Setiawan</t>
  </si>
  <si>
    <t>WFI</t>
  </si>
  <si>
    <t>13oNGplBHbPYSaGOeZF-PUl59zWHL45mL</t>
  </si>
  <si>
    <t>https://drive.google.com/file/d/13oNGplBHbPYSaGOeZF-PUl59zWHL45mL/view?usp=drivesdk</t>
  </si>
  <si>
    <t>Document successfully created; Document successfully merged; PDF created; Manually run by labterpadu.unit.uns@gmail.com; Timestamp: Jul 24 2025 5:16 AM</t>
  </si>
  <si>
    <t>WFI:MeOH</t>
  </si>
  <si>
    <t>1KTo_2Yspl8puhSl2ej82RXfQIaFOpJPB</t>
  </si>
  <si>
    <t>https://drive.google.com/file/d/1KTo_2Yspl8puhSl2ej82RXfQIaFOpJPB/view?usp=drivesdk</t>
  </si>
  <si>
    <t>Document successfully created; Document successfully merged; PDF created; Manually run by labterpadu.unit.uns@gmail.com; Timestamp: Jul 24 2025 5:17 AM</t>
  </si>
  <si>
    <t>Shima Priyanka Anti Tirani</t>
  </si>
  <si>
    <t>H0721150</t>
  </si>
  <si>
    <t>Agroteknologi/Pertanian/UNS</t>
  </si>
  <si>
    <t>1kqT8dinvyKXJHun0NUYQAsNTvrdcjasq</t>
  </si>
  <si>
    <t>https://drive.google.com/file/d/1kqT8dinvyKXJHun0NUYQAsNTvrdcjasq/view?usp=drivesdk</t>
  </si>
  <si>
    <t>Document successfully created; Document successfully merged; PDF created; Manually run by labterpadu.unit.uns@gmail.com; Timestamp: Jul 28 2025 4:23 AM</t>
  </si>
  <si>
    <t>Irfan Hanifah Saana</t>
  </si>
  <si>
    <t>CV Bintang Mitra Mulia</t>
  </si>
  <si>
    <t>1wcONXcA_09HdxADGB4SOs7ju5EuFb144</t>
  </si>
  <si>
    <t>https://drive.google.com/file/d/1wcONXcA_09HdxADGB4SOs7ju5EuFb144/view?usp=drivesdk</t>
  </si>
  <si>
    <t>Document successfully created; Document successfully merged; PDF created; Manually run by labterpadu.unit.uns@gmail.com; Timestamp: Sep 15 2025 12:26 AM</t>
  </si>
  <si>
    <t>Dwi Esterina Ayu Utami</t>
  </si>
  <si>
    <t>I0522035</t>
  </si>
  <si>
    <t>Teknik Kimia / Teknik / UNS</t>
  </si>
  <si>
    <t>Metanol:Asetonitril</t>
  </si>
  <si>
    <t>1koEN29xHJkiirGeo2CEd6ygs1IY5Gblu</t>
  </si>
  <si>
    <t>https://drive.google.com/file/d/1koEN29xHJkiirGeo2CEd6ygs1IY5Gblu/view?usp=drivesdk</t>
  </si>
  <si>
    <t>Document successfully created; Document successfully merged; PDF created; Manually run by labterpadu.unit.uns@gmail.com; Timestamp: Oct 20 2025 2:09 AM</t>
  </si>
  <si>
    <t>198007312008012012</t>
  </si>
  <si>
    <t>ITP/FP/UNS</t>
  </si>
  <si>
    <t>1BHOc3INyjU0vxX_RfnmpW-o7tlHHXXye</t>
  </si>
  <si>
    <t>https://drive.google.com/file/d/1BHOc3INyjU0vxX_RfnmpW-o7tlHHXXye/view?usp=drivesdk</t>
  </si>
  <si>
    <t>Document successfully created; Document successfully merged; PDF created; Manually run by labterpadu.unit.uns@gmail.com; Timestamp: Oct 30 2025 3:53 AM</t>
  </si>
  <si>
    <t>Yuniar Diah Pramesti</t>
  </si>
  <si>
    <t>A28226892</t>
  </si>
  <si>
    <t>S1 Farmasi / Fakultas Farmasi / Universitas Setia Budi</t>
  </si>
  <si>
    <t>1CFDtNGIFcXYJVPu0Zn_J_oSq-uBNsmlX</t>
  </si>
  <si>
    <t>https://drive.google.com/file/d/1CFDtNGIFcXYJVPu0Zn_J_oSq-uBNsmlX/view?usp=drivesdk</t>
  </si>
  <si>
    <t>Document successfully created; Document successfully merged; PDF created; Manually run by labterpadu.unit.uns@gmail.com; Timestamp: Nov 13 2025 12:26 AM</t>
  </si>
  <si>
    <r>
      <rPr>
        <rFont val="Arial"/>
        <color rgb="FF000000"/>
        <sz val="10.0"/>
      </rPr>
      <t>Fakultas/Univ</t>
    </r>
  </si>
  <si>
    <r>
      <rPr>
        <rFont val="Arial"/>
        <color rgb="FF000000"/>
        <sz val="10.0"/>
      </rPr>
      <t>Harga per tambahan</t>
    </r>
  </si>
  <si>
    <r>
      <rPr>
        <rFont val="Arial"/>
        <color rgb="FF000000"/>
        <sz val="10.0"/>
      </rPr>
      <t>Waktu retensi</t>
    </r>
  </si>
  <si>
    <r>
      <rPr>
        <rFont val="Arial"/>
        <color rgb="FF000000"/>
        <sz val="10.0"/>
      </rPr>
      <t>Persiapan instrument</t>
    </r>
  </si>
  <si>
    <r>
      <rPr>
        <rFont val="Arial"/>
        <color rgb="FF000000"/>
        <sz val="10.0"/>
      </rPr>
      <t>Preparasi sampel</t>
    </r>
  </si>
  <si>
    <r>
      <rPr>
        <rFont val="Arial"/>
        <color rgb="FF000000"/>
        <sz val="10.0"/>
      </rPr>
      <t>Pengukuran sampel</t>
    </r>
  </si>
  <si>
    <r>
      <rPr>
        <rFont val="Arial"/>
        <color rgb="FF000000"/>
        <sz val="10.0"/>
      </rPr>
      <t>Pengolahan data</t>
    </r>
  </si>
  <si>
    <r>
      <rPr>
        <rFont val="Arial"/>
        <color rgb="FF000000"/>
        <sz val="10.0"/>
      </rPr>
      <t>Mematikan instrument</t>
    </r>
  </si>
  <si>
    <r>
      <rPr>
        <rFont val="Arial"/>
        <b/>
        <color rgb="FF000000"/>
        <sz val="10.0"/>
      </rPr>
      <t>Total waktu pengerjaan</t>
    </r>
  </si>
  <si>
    <t>Merged Doc ID - Rekap GC-FID</t>
  </si>
  <si>
    <t>Merged Doc URL - Rekap GC-FID</t>
  </si>
  <si>
    <t>Link to merged Doc - Rekap GC-FID</t>
  </si>
  <si>
    <t>Document Merge Status - Rekap GC-FID</t>
  </si>
  <si>
    <t xml:space="preserve">Hana Prasita Larasati </t>
  </si>
  <si>
    <t xml:space="preserve">K3321032 </t>
  </si>
  <si>
    <t>Pendidikan kimia/FKIP/UNS</t>
  </si>
  <si>
    <t>GC-FID</t>
  </si>
  <si>
    <t>12 + 3</t>
  </si>
  <si>
    <t>1m2rySq1-9nQMyri71YopIWXKWNVfPgIO</t>
  </si>
  <si>
    <t>https://drive.google.com/file/d/1m2rySq1-9nQMyri71YopIWXKWNVfPgIO/view?usp=drivesdk</t>
  </si>
  <si>
    <t>Document successfully created; Document successfully merged; PDF created; Manually run by labterpadu.unit.uns@gmail.com; Timestamp: Aug 22 2024 10:35 PM</t>
  </si>
  <si>
    <t>Anggi Khoerul Jannah</t>
  </si>
  <si>
    <t>K3320007</t>
  </si>
  <si>
    <t>7 + 3</t>
  </si>
  <si>
    <t>1YqMxMmY8-cbTE8Fn9zxLQR6RnlyrxFJA</t>
  </si>
  <si>
    <t>https://drive.google.com/file/d/1YqMxMmY8-cbTE8Fn9zxLQR6RnlyrxFJA/view?usp=drivesdk</t>
  </si>
  <si>
    <t>Document successfully created; Document successfully merged; PDF created; Manually run by labterpadu.unit.uns@gmail.com; Timestamp: Aug 27 2024 2:57 AM</t>
  </si>
  <si>
    <t>Hana Prasita Larasati</t>
  </si>
  <si>
    <t>K3321032</t>
  </si>
  <si>
    <t>Pendidikan Kimia/FKIP/UNS</t>
  </si>
  <si>
    <t>1WpPt6RN2cMxtZH-R4NrLhJuN_PTlirNR</t>
  </si>
  <si>
    <t>https://drive.google.com/file/d/1WpPt6RN2cMxtZH-R4NrLhJuN_PTlirNR/view?usp=drivesdk</t>
  </si>
  <si>
    <t>Document successfully created; Document successfully merged; PDF created; Manually run by labterpadu.unit.uns@gmail.com; Timestamp: Oct 4 2024 2:02 AM</t>
  </si>
  <si>
    <t>Nur Rohmah Al Fiyani</t>
  </si>
  <si>
    <t>M0321054</t>
  </si>
  <si>
    <t>S1KIMIA/ FMIPA/ UNS</t>
  </si>
  <si>
    <t>13 + 3</t>
  </si>
  <si>
    <t>1o4bm9z-rKYopG8uwlNhCrVNI1_1bC7Xp</t>
  </si>
  <si>
    <t>https://drive.google.com/file/d/1o4bm9z-rKYopG8uwlNhCrVNI1_1bC7Xp/view?usp=drivesdk</t>
  </si>
  <si>
    <t>Document successfully created; Document successfully merged; PDF created; Manually run by labterpadu.unit.uns@gmail.com; Timestamp: Dec 5 2024 2:15 AM</t>
  </si>
  <si>
    <t xml:space="preserve">Vito Bintang Saputra </t>
  </si>
  <si>
    <t>Kimia</t>
  </si>
  <si>
    <t>15 + 3</t>
  </si>
  <si>
    <t>1bmhhulBCJFkhkPhwHVwmfaE0AfZLCXvP</t>
  </si>
  <si>
    <t>https://drive.google.com/file/d/1bmhhulBCJFkhkPhwHVwmfaE0AfZLCXvP/view?usp=drivesdk</t>
  </si>
  <si>
    <t>Document successfully created; Document successfully merged; PDF created; Manually run by labterpadu.unit.uns@gmail.com; Timestamp: Dec 5 2024 6:12 AM</t>
  </si>
  <si>
    <t>Dwi Safitri</t>
  </si>
  <si>
    <t>K3321022</t>
  </si>
  <si>
    <t>12+3</t>
  </si>
  <si>
    <t>1-wy2FjC5sv_HV3Mx_JOcCEw3Z6Sn63vx</t>
  </si>
  <si>
    <t>https://drive.google.com/file/d/1-wy2FjC5sv_HV3Mx_JOcCEw3Z6Sn63vx/view?usp=drivesdk</t>
  </si>
  <si>
    <t>Document successfully created; Document successfully merged; PDF created; Manually run by labterpadu.unit.uns@gmail.com; Timestamp: Dec 23 2024 10:35 PM</t>
  </si>
  <si>
    <t>1KcfE49nuZS9w3GVk89RoDrUPGwxeLqdq</t>
  </si>
  <si>
    <t>https://drive.google.com/file/d/1KcfE49nuZS9w3GVk89RoDrUPGwxeLqdq/view?usp=drivesdk</t>
  </si>
  <si>
    <t>Document successfully created; Document successfully merged; PDF created; Manually run by labterpadu.unit.uns@gmail.com; Timestamp: Dec 26 2024 9:20 PM</t>
  </si>
  <si>
    <t>9 + 3</t>
  </si>
  <si>
    <t>1EwuDpmx-RcFyCO-hPtErisl_7tSTXexq</t>
  </si>
  <si>
    <t>https://drive.google.com/file/d/1EwuDpmx-RcFyCO-hPtErisl_7tSTXexq/view?usp=drivesdk</t>
  </si>
  <si>
    <t>Document successfully created; Document successfully merged; PDF created; Manually run by labterpadu.unit.uns@gmail.com; Timestamp: Jan 9 2025 1:31 AM</t>
  </si>
  <si>
    <t>1y1xN1A4Wpwfu3ihlOJ-ZxLO4LGOSeHsS</t>
  </si>
  <si>
    <t>https://drive.google.com/file/d/1y1xN1A4Wpwfu3ihlOJ-ZxLO4LGOSeHsS/view?usp=drivesdk</t>
  </si>
  <si>
    <t>Document successfully created; Document successfully merged; PDF created; Manually run by labterpadu.unit.uns@gmail.com; Timestamp: Jan 9 2025 1:32 AM</t>
  </si>
  <si>
    <t>1ecI7HHxHcQ1X0ZLsyLOrXvoyzOFU6-QI</t>
  </si>
  <si>
    <t>https://drive.google.com/file/d/1ecI7HHxHcQ1X0ZLsyLOrXvoyzOFU6-QI/view?usp=drivesdk</t>
  </si>
  <si>
    <t>Document successfully created; Document successfully merged; PDF created; Manually run by labterpadu.unit.uns@gmail.com; Timestamp: Feb 3 2025 1:39 AM</t>
  </si>
  <si>
    <t>1mVGgW7NoVPFGIHVywgCs_D3uR0D5mpMY</t>
  </si>
  <si>
    <t>https://drive.google.com/file/d/1mVGgW7NoVPFGIHVywgCs_D3uR0D5mpMY/view?usp=drivesdk</t>
  </si>
  <si>
    <t>Document successfully created; Document successfully merged; PDF created; Manually run by labterpadu.unit.uns@gmail.com; Timestamp: Feb 5 2025 2:15 AM</t>
  </si>
  <si>
    <t>1rL42hNhq2reDmqdkh-dUvDjUQuqRF6Zx</t>
  </si>
  <si>
    <t>https://drive.google.com/file/d/1rL42hNhq2reDmqdkh-dUvDjUQuqRF6Zx/view?usp=drivesdk</t>
  </si>
  <si>
    <t>Document successfully created; Document successfully merged; PDF created; Manually run by labterpadu.unit.uns@gmail.com; Timestamp: Feb 16 2025 7:54 PM</t>
  </si>
  <si>
    <t>1jnWQsFZ4TSZ-CCUKxpfXMsIS3bH50Uep</t>
  </si>
  <si>
    <t>https://drive.google.com/file/d/1jnWQsFZ4TSZ-CCUKxpfXMsIS3bH50Uep/view?usp=drivesdk</t>
  </si>
  <si>
    <t>1fdd-4gHp-o4om5SAmEGHXIz1PTosO7vu</t>
  </si>
  <si>
    <t>https://drive.google.com/file/d/1fdd-4gHp-o4om5SAmEGHXIz1PTosO7vu/view?usp=drivesdk</t>
  </si>
  <si>
    <t>Document successfully created; Document successfully merged; PDF created; Manually run by labterpadu.unit.uns@gmail.com; Timestamp: Feb 26 2025 11:34 PM</t>
  </si>
  <si>
    <t>1CkTRrWDCWh34SvWCmnr_K1_9k_9o2mMN</t>
  </si>
  <si>
    <t>https://drive.google.com/file/d/1CkTRrWDCWh34SvWCmnr_K1_9k_9o2mMN/view?usp=drivesdk</t>
  </si>
  <si>
    <t>Document successfully created; Document successfully merged; PDF created; Manually run by labterpadu.unit.uns@gmail.com; Timestamp: Feb 26 2025 11:50 PM</t>
  </si>
  <si>
    <t>Pendidikan Kimia/ FKIP/ UNS</t>
  </si>
  <si>
    <t>1HnoNYxrQIte-ywj4uU__TFHAUAZLzr2m</t>
  </si>
  <si>
    <t>https://drive.google.com/file/d/1HnoNYxrQIte-ywj4uU__TFHAUAZLzr2m/view?usp=drivesdk</t>
  </si>
  <si>
    <t>Document successfully created; Document successfully merged; PDF created; Manually run by labterpadu.unit.uns@gmail.com; Timestamp: Feb 28 2025 12:55 AM</t>
  </si>
  <si>
    <t>1wmDtI2G2sR6a1xKx9msJlSD7cI3G8Agu</t>
  </si>
  <si>
    <t>https://drive.google.com/file/d/1wmDtI2G2sR6a1xKx9msJlSD7cI3G8Agu/view?usp=drivesdk</t>
  </si>
  <si>
    <t>Document successfully created; Document successfully merged; PDF created; Manually run by labterpadu.unit.uns@gmail.com; Timestamp: Feb 28 2025 3:50 AM</t>
  </si>
  <si>
    <t>1Yc4KURsHgUz3JITFHVXpUBFl5PW6uhv_</t>
  </si>
  <si>
    <t>https://drive.google.com/file/d/1Yc4KURsHgUz3JITFHVXpUBFl5PW6uhv_/view?usp=drivesdk</t>
  </si>
  <si>
    <t>Document successfully created; Document successfully merged; PDF created; Manually run by labterpadu.unit.uns@gmail.com; Timestamp: Mar 6 2025 4:12 AM</t>
  </si>
  <si>
    <t>K332132</t>
  </si>
  <si>
    <t>1-AROhlRHjzIii4IjzmzRbWg10XJlpLp0</t>
  </si>
  <si>
    <t>https://drive.google.com/file/d/1-AROhlRHjzIii4IjzmzRbWg10XJlpLp0/view?usp=drivesdk</t>
  </si>
  <si>
    <t>1nM8kOtA8O5M2x4vVPRefXRrll9VQcgzo</t>
  </si>
  <si>
    <t>https://drive.google.com/file/d/1nM8kOtA8O5M2x4vVPRefXRrll9VQcgzo/view?usp=drivesdk</t>
  </si>
  <si>
    <t>Document successfully created; Document successfully merged; PDF created; Manually run by labterpadu.unit.uns@gmail.com; Timestamp: Mar 13 2025 5:53 AM</t>
  </si>
  <si>
    <t>16bdqrhiSukCo0L1eCqQomZUwXzp1EVS-</t>
  </si>
  <si>
    <t>https://drive.google.com/file/d/16bdqrhiSukCo0L1eCqQomZUwXzp1EVS-/view?usp=drivesdk</t>
  </si>
  <si>
    <t>1O9gSc17UhUjajlUxdqfT-S-tcMXc7TRS</t>
  </si>
  <si>
    <t>https://drive.google.com/file/d/1O9gSc17UhUjajlUxdqfT-S-tcMXc7TRS/view?usp=drivesdk</t>
  </si>
  <si>
    <t>12YCv5tqMntVhewBJG8tzbQqD8gjSLK13</t>
  </si>
  <si>
    <t>https://drive.google.com/file/d/12YCv5tqMntVhewBJG8tzbQqD8gjSLK13/view?usp=drivesdk</t>
  </si>
  <si>
    <t>Document successfully created; Document successfully merged; PDF created; Manually run by labterpadu.unit.uns@gmail.com; Timestamp: Mar 23 2025 10:34 PM</t>
  </si>
  <si>
    <t>1DXu8l-S9kje15PxyBIDBoJqsysgtRhne</t>
  </si>
  <si>
    <t>https://drive.google.com/file/d/1DXu8l-S9kje15PxyBIDBoJqsysgtRhne/view?usp=drivesdk</t>
  </si>
  <si>
    <t>Document successfully created; Document successfully merged; PDF created; Manually run by labterpadu.unit.uns@gmail.com; Timestamp: Mar 24 2025 4:58 AM</t>
  </si>
  <si>
    <t>1ISSAO3eiuvwDkDnvWi_iSAxkd0i5ugS_</t>
  </si>
  <si>
    <t>https://drive.google.com/file/d/1ISSAO3eiuvwDkDnvWi_iSAxkd0i5ugS_/view?usp=drivesdk</t>
  </si>
  <si>
    <t>1LpSBvogH5BQMrU6OZ1VCMgyR-IAT1zIf</t>
  </si>
  <si>
    <t>https://drive.google.com/file/d/1LpSBvogH5BQMrU6OZ1VCMgyR-IAT1zIf/view?usp=drivesdk</t>
  </si>
  <si>
    <t>Document successfully created; Document successfully merged; PDF created; Manually run by labterpadu.unit.uns@gmail.com; Timestamp: Mar 25 2025 12:46 AM</t>
  </si>
  <si>
    <t>162a4YTcuB9tMi8y8WoT3V_DQS3x17XLl</t>
  </si>
  <si>
    <t>https://drive.google.com/file/d/162a4YTcuB9tMi8y8WoT3V_DQS3x17XLl/view?usp=drivesdk</t>
  </si>
  <si>
    <t>Document successfully created; Document successfully merged; PDF created; Manually run by labterpadu.unit.uns@gmail.com; Timestamp: Apr 13 2025 9:42 PM</t>
  </si>
  <si>
    <t xml:space="preserve">Dwi Safitri </t>
  </si>
  <si>
    <t>1oyB8dgZbnYjZhFNUQe7j5CnXpps5eGuE</t>
  </si>
  <si>
    <t>https://drive.google.com/file/d/1oyB8dgZbnYjZhFNUQe7j5CnXpps5eGuE/view?usp=drivesdk</t>
  </si>
  <si>
    <t>Document successfully created; Document successfully merged; PDF created; Manually run by labterpadu.unit.uns@gmail.com; Timestamp: Apr 15 2025 1:34 AM</t>
  </si>
  <si>
    <t xml:space="preserve">Pendidikan Kimia/FKIP/UNS </t>
  </si>
  <si>
    <t>11SrLctOIz7xNPhIfU4TGMHTbZ4Grxo6V</t>
  </si>
  <si>
    <t>https://drive.google.com/file/d/11SrLctOIz7xNPhIfU4TGMHTbZ4Grxo6V/view?usp=drivesdk</t>
  </si>
  <si>
    <t>Document successfully created; Document successfully merged; PDF created; Manually run by labterpadu.unit.uns@gmail.com; Timestamp: Apr 16 2025 3:07 AM</t>
  </si>
  <si>
    <t>1nccbRcVp72U2qv6bAtaFBmaxHoo7NULU</t>
  </si>
  <si>
    <t>https://drive.google.com/file/d/1nccbRcVp72U2qv6bAtaFBmaxHoo7NULU/view?usp=drivesdk</t>
  </si>
  <si>
    <t>Document successfully created; Document successfully merged; PDF created; Manually run by labterpadu.unit.uns@gmail.com; Timestamp: Apr 20 2025 10:18 PM</t>
  </si>
  <si>
    <t>19QGFn9iJGeY3Jvl-yN3xav2v1aRfLVoQ</t>
  </si>
  <si>
    <t>https://drive.google.com/file/d/19QGFn9iJGeY3Jvl-yN3xav2v1aRfLVoQ/view?usp=drivesdk</t>
  </si>
  <si>
    <t>Document successfully created; Document successfully merged; PDF created; Manually run by labterpadu.unit.uns@gmail.com; Timestamp: Apr 21 2025 2:40 AM</t>
  </si>
  <si>
    <t>1Q54XXDpdRcZ_erprehXqefkmD7lWjS81</t>
  </si>
  <si>
    <t>https://drive.google.com/file/d/1Q54XXDpdRcZ_erprehXqefkmD7lWjS81/view?usp=drivesdk</t>
  </si>
  <si>
    <t>1zy4j-AOmzsysgw7n-t9VkPeoPhag5YMn</t>
  </si>
  <si>
    <t>https://drive.google.com/file/d/1zy4j-AOmzsysgw7n-t9VkPeoPhag5YMn/view?usp=drivesdk</t>
  </si>
  <si>
    <t>Document successfully created; Document successfully merged; PDF created; Manually run by labterpadu.unit.uns@gmail.com; Timestamp: May 7 2025 1:57 AM</t>
  </si>
  <si>
    <t>13+3</t>
  </si>
  <si>
    <t>1901SScCOoa56VqTRZf6ZgXVAETqX4sdk</t>
  </si>
  <si>
    <t>https://drive.google.com/file/d/1901SScCOoa56VqTRZf6ZgXVAETqX4sdk/view?usp=drivesdk</t>
  </si>
  <si>
    <t>1nExAMJlksoWWfezkQBvdmqRXwa8wO-uf</t>
  </si>
  <si>
    <t>https://drive.google.com/file/d/1nExAMJlksoWWfezkQBvdmqRXwa8wO-uf/view?usp=drivesdk</t>
  </si>
  <si>
    <t>Document successfully created; Document successfully merged; PDF created; Manually run by labterpadu.unit.uns@gmail.com; Timestamp: May 7 2025 2:05 AM</t>
  </si>
  <si>
    <t>15_6zJAL6_pqYP9ajJ8R0HcKkB1iclAVs</t>
  </si>
  <si>
    <t>https://drive.google.com/file/d/15_6zJAL6_pqYP9ajJ8R0HcKkB1iclAVs/view?usp=drivesdk</t>
  </si>
  <si>
    <t>Document successfully created; Document successfully merged; PDF created; Manually run by labterpadu.unit.uns@gmail.com; Timestamp: May 7 2025 3:52 AM</t>
  </si>
  <si>
    <t>15+3</t>
  </si>
  <si>
    <t>1taXOMzptrgWJ6cCH-ydFLkiqfjm5tBAi</t>
  </si>
  <si>
    <t>https://drive.google.com/file/d/1taXOMzptrgWJ6cCH-ydFLkiqfjm5tBAi/view?usp=drivesdk</t>
  </si>
  <si>
    <t>Document successfully created; Document successfully merged; PDF created; Manually run by labterpadu.unit.uns@gmail.com; Timestamp: May 22 2025 1:03 AM</t>
  </si>
  <si>
    <t>Tiza Wikansari</t>
  </si>
  <si>
    <t>K3322099</t>
  </si>
  <si>
    <t>40 + 3</t>
  </si>
  <si>
    <t>1R_17JrE1swVvE4jUfcS0cspXgjLVHtuT</t>
  </si>
  <si>
    <t>https://drive.google.com/file/d/1R_17JrE1swVvE4jUfcS0cspXgjLVHtuT/view?usp=drivesdk</t>
  </si>
  <si>
    <t>305</t>
  </si>
  <si>
    <t>1mFgR82e63q21Vj0ZuhdYwpfZgrA8tmcX</t>
  </si>
  <si>
    <t>https://drive.google.com/file/d/1mFgR82e63q21Vj0ZuhdYwpfZgrA8tmcX/view?usp=drivesdk</t>
  </si>
  <si>
    <t>1s45YVYm2KGq_fWJ5EGsdnKgehWRlZJ1k</t>
  </si>
  <si>
    <t>https://drive.google.com/file/d/1s45YVYm2KGq_fWJ5EGsdnKgehWRlZJ1k/view?usp=drivesdk</t>
  </si>
  <si>
    <t>Document successfully created; Document successfully merged; PDF created; Manually run by labterpadu.unit.uns@gmail.com; Timestamp: Jun 1 2025 11:45 PM</t>
  </si>
  <si>
    <t>19G5Ff4MzghVUOF-nrDNIHz-wfk_gKZGR</t>
  </si>
  <si>
    <t>https://drive.google.com/file/d/19G5Ff4MzghVUOF-nrDNIHz-wfk_gKZGR/view?usp=drivesdk</t>
  </si>
  <si>
    <t>Document successfully created; Document successfully merged; PDF created; Manually run by labterpadu.unit.uns@gmail.com; Timestamp: Jun 1 2025 11:49 PM</t>
  </si>
  <si>
    <t>Tri Wahyu Novita</t>
  </si>
  <si>
    <t>K3322100</t>
  </si>
  <si>
    <t>11VWVeOMNrRIzqKD0VaxPJfbYL9LQSfFC</t>
  </si>
  <si>
    <t>https://drive.google.com/file/d/11VWVeOMNrRIzqKD0VaxPJfbYL9LQSfFC/view?usp=drivesdk</t>
  </si>
  <si>
    <t>Document successfully created; Document successfully merged; PDF created; Manually run by labterpadu.unit.uns@gmail.com; Timestamp: Jun 2 2025 5:24 AM</t>
  </si>
  <si>
    <t>28+3</t>
  </si>
  <si>
    <t>1kH95HXwHX4LM5XoP1-5SMBgVnvETL-jr</t>
  </si>
  <si>
    <t>https://drive.google.com/file/d/1kH95HXwHX4LM5XoP1-5SMBgVnvETL-jr/view?usp=drivesdk</t>
  </si>
  <si>
    <t>Document successfully created; Document successfully merged; PDF created; Manually run by labterpadu.unit.uns@gmail.com; Timestamp: Jun 2 2025 5:25 AM</t>
  </si>
  <si>
    <t>14+3</t>
  </si>
  <si>
    <t>1PxBkyUmVax3TeR50D57UexHc35M6O7tp</t>
  </si>
  <si>
    <t>https://drive.google.com/file/d/1PxBkyUmVax3TeR50D57UexHc35M6O7tp/view?usp=drivesdk</t>
  </si>
  <si>
    <t xml:space="preserve">Vito bintang saputra </t>
  </si>
  <si>
    <t>1EZHqFwVbuhaHdhj7QaKOz8Ro5rC_XgaF</t>
  </si>
  <si>
    <t>https://drive.google.com/file/d/1EZHqFwVbuhaHdhj7QaKOz8Ro5rC_XgaF/view?usp=drivesdk</t>
  </si>
  <si>
    <t>Document successfully created; Document successfully merged; PDF created; Manually run by labterpadu.unit.uns@gmail.com; Timestamp: Jun 11 2025 5:45 AM</t>
  </si>
  <si>
    <t xml:space="preserve">Tri Wahyu Novita </t>
  </si>
  <si>
    <t>Pendidikan Kimia/ FKIP/UNS</t>
  </si>
  <si>
    <t>1lYn76jsbqAG7l5wmnRpuJa5BJknc74Sr</t>
  </si>
  <si>
    <t>https://drive.google.com/file/d/1lYn76jsbqAG7l5wmnRpuJa5BJknc74Sr/view?usp=drivesdk</t>
  </si>
  <si>
    <t>1mUEpB_WHg-_DhcsXQavTRYFhmGecAqcY</t>
  </si>
  <si>
    <t>https://drive.google.com/file/d/1mUEpB_WHg-_DhcsXQavTRYFhmGecAqcY/view?usp=drivesdk</t>
  </si>
  <si>
    <t>Document successfully created; Document successfully merged; PDF created; Manually run by labterpadu.unit.uns@gmail.com; Timestamp: Jun 15 2025 10:48 PM</t>
  </si>
  <si>
    <t>1sl-SO6MZJg9RgRY8nbmr_h8U-x6gQek3</t>
  </si>
  <si>
    <t>https://drive.google.com/file/d/1sl-SO6MZJg9RgRY8nbmr_h8U-x6gQek3/view?usp=drivesdk</t>
  </si>
  <si>
    <t>1nDMpqjcU_fQRiHw5lSzpQX4lhOzJ-QLx</t>
  </si>
  <si>
    <t>https://drive.google.com/file/d/1nDMpqjcU_fQRiHw5lSzpQX4lhOzJ-QLx/view?usp=drivesdk</t>
  </si>
  <si>
    <t>1XSRZ0WREM_bEHhi2SLTL4oQiqp9XHsO8</t>
  </si>
  <si>
    <t>https://drive.google.com/file/d/1XSRZ0WREM_bEHhi2SLTL4oQiqp9XHsO8/view?usp=drivesdk</t>
  </si>
  <si>
    <t>Document successfully created; Document successfully merged; PDF created; Manually run by labterpadu.unit.uns@gmail.com; Timestamp: Jun 16 2025 12:38 AM</t>
  </si>
  <si>
    <t>1AtEbek0sSJFtYqJpTVlEhw4EC7_KYtq9</t>
  </si>
  <si>
    <t>https://drive.google.com/file/d/1AtEbek0sSJFtYqJpTVlEhw4EC7_KYtq9/view?usp=drivesdk</t>
  </si>
  <si>
    <t>Document successfully created; Document successfully merged; PDF created; Manually run by labterpadu.unit.uns@gmail.com; Timestamp: Jul 2 2025 11:24 PM</t>
  </si>
  <si>
    <t>1fcaon6SAjnOEDwejVwioXnEwbNhFZotV</t>
  </si>
  <si>
    <t>https://drive.google.com/file/d/1fcaon6SAjnOEDwejVwioXnEwbNhFZotV/view?usp=drivesdk</t>
  </si>
  <si>
    <t>Document successfully created; Document successfully merged; PDF created; Manually run by labterpadu.unit.uns@gmail.com; Timestamp: Jul 2 2025 11:25 PM</t>
  </si>
  <si>
    <t>1b6a-_3VZ_AQ26zWg1FaSuzpe9HKy9eU6</t>
  </si>
  <si>
    <t>https://drive.google.com/file/d/1b6a-_3VZ_AQ26zWg1FaSuzpe9HKy9eU6/view?usp=drivesdk</t>
  </si>
  <si>
    <t>1FSukRsEg8HYsa2_JoTgIc9ZpFN4JnKhh</t>
  </si>
  <si>
    <t>https://drive.google.com/file/d/1FSukRsEg8HYsa2_JoTgIc9ZpFN4JnKhh/view?usp=drivesdk</t>
  </si>
  <si>
    <t>15KCI_0ezleLzR88vu-d26TR-YaVr8MLW</t>
  </si>
  <si>
    <t>https://drive.google.com/file/d/15KCI_0ezleLzR88vu-d26TR-YaVr8MLW/view?usp=drivesdk</t>
  </si>
  <si>
    <t>Document successfully created; Document successfully merged; PDF created; Manually run by labterpadu.unit.uns@gmail.com; Timestamp: Jul 22 2025 10:10 PM</t>
  </si>
  <si>
    <t>1F2NNuP6xTb2YOLn1OseJdCAkR-ZITFUy</t>
  </si>
  <si>
    <t>https://drive.google.com/file/d/1F2NNuP6xTb2YOLn1OseJdCAkR-ZITFUy/view?usp=drivesdk</t>
  </si>
  <si>
    <t>1gJ7vC-Q7cEmv3NY2U1Kzem8qddZ6O3Ev</t>
  </si>
  <si>
    <t>https://drive.google.com/file/d/1gJ7vC-Q7cEmv3NY2U1Kzem8qddZ6O3Ev/view?usp=drivesdk</t>
  </si>
  <si>
    <t>Document successfully created; Document successfully merged; PDF created; Manually run by labterpadu.unit.uns@gmail.com; Timestamp: Jul 23 2025 11:04 PM</t>
  </si>
  <si>
    <t>28+4</t>
  </si>
  <si>
    <t>1OSMepCywNnnE_OaJd0FCtJB62LMG1yvt</t>
  </si>
  <si>
    <t>https://drive.google.com/file/d/1OSMepCywNnnE_OaJd0FCtJB62LMG1yvt/view?usp=drivesdk</t>
  </si>
  <si>
    <t>Document successfully created; Document successfully merged; PDF created; Manually run by labterpadu.unit.uns@gmail.com; Timestamp: Jul 28 2025 4:42 AM</t>
  </si>
  <si>
    <t>28+5</t>
  </si>
  <si>
    <t>1GSqtObn_P35XZRmjONjAh-YrUzzgvt_z</t>
  </si>
  <si>
    <t>https://drive.google.com/file/d/1GSqtObn_P35XZRmjONjAh-YrUzzgvt_z/view?usp=drivesdk</t>
  </si>
  <si>
    <t>1RJ0vKf7N63ZVYnZyax8-Y_yOEFkSV25T</t>
  </si>
  <si>
    <t>https://drive.google.com/file/d/1RJ0vKf7N63ZVYnZyax8-Y_yOEFkSV25T/view?usp=drivesdk</t>
  </si>
  <si>
    <t>Document successfully created; Document successfully merged; PDF created; Manually run by labterpadu.unit.uns@gmail.com; Timestamp: Aug 12 2025 1:38 AM</t>
  </si>
  <si>
    <t>1Og7GYOsvdqR21jZlPorrenjgom1-JlAn</t>
  </si>
  <si>
    <t>https://drive.google.com/file/d/1Og7GYOsvdqR21jZlPorrenjgom1-JlAn/view?usp=drivesdk</t>
  </si>
  <si>
    <t xml:space="preserve">Tiza Wikansari </t>
  </si>
  <si>
    <t xml:space="preserve">K3322099 </t>
  </si>
  <si>
    <t>Pendidikan kimia/ Fkip/ UNS</t>
  </si>
  <si>
    <t>12+5</t>
  </si>
  <si>
    <t>1qzCFgU_8vHE7vE3BLNlc1fU1XLhMaYLD</t>
  </si>
  <si>
    <t>https://drive.google.com/file/d/1qzCFgU_8vHE7vE3BLNlc1fU1XLhMaYLD/view?usp=drivesdk</t>
  </si>
  <si>
    <t>Document successfully created; Document successfully merged; PDF created; Manually run by labterpadu.unit.uns@gmail.com; Timestamp: Aug 28 2025 3:43 AM</t>
  </si>
  <si>
    <t>1XbGK2UH-WTeA9oxpX7gudiIlrUYk9wOU</t>
  </si>
  <si>
    <t>https://drive.google.com/file/d/1XbGK2UH-WTeA9oxpX7gudiIlrUYk9wOU/view?usp=drivesdk</t>
  </si>
  <si>
    <t>19t0NJwSlZk1z3q7AXEvTX1rlw1UNc9M9</t>
  </si>
  <si>
    <t>https://drive.google.com/file/d/19t0NJwSlZk1z3q7AXEvTX1rlw1UNc9M9/view?usp=drivesdk</t>
  </si>
  <si>
    <t>Document successfully created; Document successfully merged; PDF created; Manually run by labterpadu.unit.uns@gmail.com; Timestamp: Sep 11 2025 2:28 AM</t>
  </si>
  <si>
    <t>Fauziyah Azhari</t>
  </si>
  <si>
    <t>S062502001</t>
  </si>
  <si>
    <t>S2 Kimia/FMIPA/UNS</t>
  </si>
  <si>
    <t>15+5</t>
  </si>
  <si>
    <t>1lTE3KRZselNy9i6vyoYBJx2AFUb2eSHk</t>
  </si>
  <si>
    <t>https://drive.google.com/file/d/1lTE3KRZselNy9i6vyoYBJx2AFUb2eSHk/view?usp=drivesdk</t>
  </si>
  <si>
    <t>S062502002</t>
  </si>
  <si>
    <t>16yBirKO8N-RxOyLiwbXGyH_pVve4Cf03</t>
  </si>
  <si>
    <t>https://drive.google.com/file/d/16yBirKO8N-RxOyLiwbXGyH_pVve4Cf03/view?usp=drivesdk</t>
  </si>
  <si>
    <t>Document successfully created; Document successfully merged; PDF created; Manually run by labterpadu.unit.uns@gmail.com; Timestamp: Sep 11 2025 2:45 AM</t>
  </si>
  <si>
    <t>1qNyrU2co3GzZ0QhxdICn94hLtBn-ZlWd</t>
  </si>
  <si>
    <t>https://drive.google.com/file/d/1qNyrU2co3GzZ0QhxdICn94hLtBn-ZlWd/view?usp=drivesdk</t>
  </si>
  <si>
    <t>Document successfully created; Document successfully merged; PDF created; Manually run by labterpadu.unit.uns@gmail.com; Timestamp: Oct 13 2025 1:58 AM</t>
  </si>
  <si>
    <t>1_qvmeqw5tUQi39rERUuPCT33RHe6Vo39</t>
  </si>
  <si>
    <t>https://drive.google.com/file/d/1_qvmeqw5tUQi39rERUuPCT33RHe6Vo39/view?usp=drivesdk</t>
  </si>
  <si>
    <t>Umi Nafisah</t>
  </si>
  <si>
    <t>S3 Farmasi/Farmasi/Universitas Muhammadiyah Surakarta</t>
  </si>
  <si>
    <t>11+5</t>
  </si>
  <si>
    <t>1balHz6qKbhwFiReIenfItwyjmlq9Cq7_</t>
  </si>
  <si>
    <t>https://drive.google.com/file/d/1balHz6qKbhwFiReIenfItwyjmlq9Cq7_/view?usp=drivesdk</t>
  </si>
  <si>
    <t>Document successfully created; Document successfully merged; PDF created; Manually run by labterpadu.unit.uns@gmail.com; Timestamp: Oct 14 2025 12:11 AM</t>
  </si>
  <si>
    <t>1SiAEPy6sbbQrZ0MqeZAqJpLkpHObipUu</t>
  </si>
  <si>
    <t>https://drive.google.com/file/d/1SiAEPy6sbbQrZ0MqeZAqJpLkpHObipUu/view?usp=drivesdk</t>
  </si>
  <si>
    <t>Document successfully created; Document successfully merged; PDF created; Manually run by labterpadu.unit.uns@gmail.com; Timestamp: Oct 28 2025 5:30 AM</t>
  </si>
  <si>
    <t>1GshpPM4loF1W_zpFN9xtsHn9Lcb7TtwX</t>
  </si>
  <si>
    <t>https://drive.google.com/file/d/1GshpPM4loF1W_zpFN9xtsHn9Lcb7TtwX/view?usp=drivesdk</t>
  </si>
  <si>
    <t>Document successfully created; Document successfully merged; PDF created; Manually run by labterpadu.unit.uns@gmail.com; Timestamp: Oct 28 2025 10:11 AM</t>
  </si>
  <si>
    <t>1AH6N_s1IwZiK6-L0rZ-Pj_6mfewZuSSH</t>
  </si>
  <si>
    <t>https://drive.google.com/file/d/1AH6N_s1IwZiK6-L0rZ-Pj_6mfewZuSSH/view?usp=drivesdk</t>
  </si>
  <si>
    <t>Document successfully created; Document successfully merged; PDF created; Manually run by labterpadu.unit.uns@gmail.com; Timestamp: Oct 28 2025 10:12 AM</t>
  </si>
  <si>
    <t>Mustika Della Asti</t>
  </si>
  <si>
    <t>K3322068</t>
  </si>
  <si>
    <t>Widyan, Retno</t>
  </si>
  <si>
    <t>1s7BHEUQJTxUhNsx8G1iQDA5Kd9B8ERAq</t>
  </si>
  <si>
    <t>https://drive.google.com/file/d/1s7BHEUQJTxUhNsx8G1iQDA5Kd9B8ERAq/view?usp=drivesdk</t>
  </si>
  <si>
    <t>Document successfully created; Document successfully merged; PDF created; Manually run by labterpadu.unit.uns@gmail.com; Timestamp: Nov 4 2025 2:10 AM</t>
  </si>
  <si>
    <t>1chY6MtRhu-jD3F1QaARUEGcET7an3g5U</t>
  </si>
  <si>
    <t>https://drive.google.com/file/d/1chY6MtRhu-jD3F1QaARUEGcET7an3g5U/view?usp=drivesdk</t>
  </si>
  <si>
    <t>Document successfully created; Document successfully merged; PDF created; Manually run by labterpadu.unit.uns@gmail.com; Timestamp: Nov 12 2025 2:15 AM</t>
  </si>
  <si>
    <t>1YUtcQLLGcSWPU4C89Fe4m7d5fkMXcRUl</t>
  </si>
  <si>
    <t>https://drive.google.com/file/d/1YUtcQLLGcSWPU4C89Fe4m7d5fkMXcRUl/view?usp=drivesdk</t>
  </si>
  <si>
    <t>14+5</t>
  </si>
  <si>
    <t>1HaIolMsxvzPOIvyodsI0GP20GAi3K16q</t>
  </si>
  <si>
    <t>https://drive.google.com/file/d/1HaIolMsxvzPOIvyodsI0GP20GAi3K16q/view?usp=drivesdk</t>
  </si>
  <si>
    <t>Document successfully created; Document successfully merged; PDF created; Manually run by labterpadu.unit.uns@gmail.com; Timestamp: Nov 17 2025 2:52 AM</t>
  </si>
  <si>
    <t>1ZHLGJCn8PJmIhuH9JkPqs6oJPk3Z9sUh</t>
  </si>
  <si>
    <t>https://drive.google.com/file/d/1ZHLGJCn8PJmIhuH9JkPqs6oJPk3Z9sUh/view?usp=drivesdk</t>
  </si>
  <si>
    <t>Document successfully created; Document successfully merged; PDF created; Manually run by labterpadu.unit.uns@gmail.com; Timestamp: Nov 20 2025 10:13 PM</t>
  </si>
  <si>
    <r>
      <rPr>
        <rFont val="Arial"/>
        <color rgb="FF000000"/>
        <sz val="10.0"/>
      </rPr>
      <t>Tanggal Map Keluar</t>
    </r>
  </si>
  <si>
    <r>
      <rPr>
        <rFont val="Arial"/>
        <color rgb="FF000000"/>
        <sz val="10.0"/>
      </rPr>
      <t>Fakultas/Univ</t>
    </r>
  </si>
  <si>
    <t>Harga per paket</t>
  </si>
  <si>
    <t>Tambahan sampel</t>
  </si>
  <si>
    <r>
      <rPr>
        <rFont val="Arial"/>
        <color rgb="FF000000"/>
        <sz val="10.0"/>
      </rPr>
      <t>Harga per tambahan</t>
    </r>
  </si>
  <si>
    <r>
      <rPr>
        <rFont val="Arial"/>
        <color rgb="FF000000"/>
        <sz val="10.0"/>
      </rPr>
      <t>Waktu retensi</t>
    </r>
  </si>
  <si>
    <r>
      <rPr>
        <rFont val="Arial"/>
        <color rgb="FF000000"/>
        <sz val="10.0"/>
      </rPr>
      <t>Persiapan instrument</t>
    </r>
  </si>
  <si>
    <r>
      <rPr>
        <rFont val="Arial"/>
        <color rgb="FF000000"/>
        <sz val="10.0"/>
      </rPr>
      <t>Preparasi sampel</t>
    </r>
  </si>
  <si>
    <r>
      <rPr>
        <rFont val="Arial"/>
        <color rgb="FF000000"/>
        <sz val="10.0"/>
      </rPr>
      <t>Pengukuran sampel</t>
    </r>
  </si>
  <si>
    <r>
      <rPr>
        <rFont val="Arial"/>
        <color rgb="FF000000"/>
        <sz val="10.0"/>
      </rPr>
      <t>Pengolahan data</t>
    </r>
  </si>
  <si>
    <r>
      <rPr>
        <rFont val="Arial"/>
        <color rgb="FF000000"/>
        <sz val="10.0"/>
      </rPr>
      <t>Mematikan instrument</t>
    </r>
  </si>
  <si>
    <r>
      <rPr>
        <rFont val="Arial"/>
        <b/>
        <color rgb="FF000000"/>
        <sz val="10.0"/>
      </rPr>
      <t>Total waktu pengerjaan</t>
    </r>
  </si>
  <si>
    <t>Membran_Filter</t>
  </si>
  <si>
    <t>Jml</t>
  </si>
  <si>
    <t>Merged Doc ID - Rekap Old GC-FID</t>
  </si>
  <si>
    <t>Merged Doc URL - Rekap Old GC-FID</t>
  </si>
  <si>
    <t>Link to merged Doc - Rekap Old GC-FID</t>
  </si>
  <si>
    <t>Document Merge Status - Rekap Old GC-FID</t>
  </si>
  <si>
    <t>1oSyQZ7gq1qKagzuJoQ_qL9lyZ1yhOkcz</t>
  </si>
  <si>
    <t>https://drive.google.com/file/d/1oSyQZ7gq1qKagzuJoQ_qL9lyZ1yhOkcz/view?usp=drivesdk</t>
  </si>
  <si>
    <t>Document successfully created; Document successfully merged; PDF created; Manually run by labterpadu.unit.uns@gmail.com; Timestamp: Jan 9 2025 1:51 AM</t>
  </si>
  <si>
    <t>1oQTZsvvRNXL3CY2f2KeNAjpfi3x47_Rb</t>
  </si>
  <si>
    <t>https://drive.google.com/file/d/1oQTZsvvRNXL3CY2f2KeNAjpfi3x47_Rb/view?usp=drivesdk</t>
  </si>
  <si>
    <t>1SMMY4lZkFFCc60UM2oBYWMz3m_szlYri</t>
  </si>
  <si>
    <t>https://drive.google.com/file/d/1SMMY4lZkFFCc60UM2oBYWMz3m_szlYri/view?usp=drivesdk</t>
  </si>
  <si>
    <t>11AmyJf8EsdLB0hJWHUTMjcCJdObTGQrc</t>
  </si>
  <si>
    <t>https://drive.google.com/file/d/11AmyJf8EsdLB0hJWHUTMjcCJdObTGQrc/view?usp=drivesdk</t>
  </si>
  <si>
    <t>Document successfully created; Document successfully merged; PDF created; Manually run by labterpadu.unit.uns@gmail.com; Timestamp: Jan 9 2025 1:52 AM</t>
  </si>
  <si>
    <t>1k1EWn95GKYYGKpAiNzDS52BlcbJFgi9L</t>
  </si>
  <si>
    <t>https://drive.google.com/file/d/1k1EWn95GKYYGKpAiNzDS52BlcbJFgi9L/view?usp=drivesdk</t>
  </si>
  <si>
    <t>1A2qy6UkFnczIHkG5BPNw4ePbVk8aSJCd</t>
  </si>
  <si>
    <t>https://drive.google.com/file/d/1A2qy6UkFnczIHkG5BPNw4ePbVk8aSJCd/view?usp=drivesdk</t>
  </si>
  <si>
    <t>1dxFzK_lR3F-Vy-9-9iTupsMfZo59tW_0</t>
  </si>
  <si>
    <t>https://drive.google.com/file/d/1dxFzK_lR3F-Vy-9-9iTupsMfZo59tW_0/view?usp=drivesdk</t>
  </si>
  <si>
    <t>1QP7Dyxdf3loycVBXVkop06HJVK-pQcQ9</t>
  </si>
  <si>
    <t>https://drive.google.com/file/d/1QP7Dyxdf3loycVBXVkop06HJVK-pQcQ9/view?usp=drivesdk</t>
  </si>
  <si>
    <t>1qsgt8Zsytci5H7MMigAia7BrtD3piEVW</t>
  </si>
  <si>
    <t>https://drive.google.com/file/d/1qsgt8Zsytci5H7MMigAia7BrtD3piEVW/view?usp=drivesdk</t>
  </si>
  <si>
    <t>Document successfully created; Document successfully merged; PDF created; Manually run by labterpadu.unit.uns@gmail.com; Timestamp: Jan 9 2025 1:53 AM</t>
  </si>
  <si>
    <r>
      <rPr>
        <rFont val="Arial"/>
        <color rgb="FF000000"/>
        <sz val="10.0"/>
      </rPr>
      <t>Tanggal Map Keluar</t>
    </r>
  </si>
  <si>
    <r>
      <rPr>
        <rFont val="Arial"/>
        <color rgb="FF000000"/>
        <sz val="10.0"/>
      </rPr>
      <t>Fakultas/Univ</t>
    </r>
  </si>
  <si>
    <t>Instrument/Uji</t>
  </si>
  <si>
    <t>Jumlah Cawan</t>
  </si>
  <si>
    <t>Harga per Cawan</t>
  </si>
  <si>
    <t>Preparasi alat gelas &amp; media</t>
  </si>
  <si>
    <t>Setting alat autoclave</t>
  </si>
  <si>
    <t>Preparasi sampel</t>
  </si>
  <si>
    <t>Menuang media</t>
  </si>
  <si>
    <t>Regenerasi bakteri</t>
  </si>
  <si>
    <t>Setting inkubator</t>
  </si>
  <si>
    <t>Mengerjakan sampel</t>
  </si>
  <si>
    <t>Setting inkubator 2</t>
  </si>
  <si>
    <t>Pengamatan + ukur daya hambat</t>
  </si>
  <si>
    <t>Laporan</t>
  </si>
  <si>
    <r>
      <rPr>
        <rFont val="Arial"/>
        <b/>
        <color rgb="FF000000"/>
        <sz val="10.0"/>
      </rPr>
      <t>Total waktu pengerjaan</t>
    </r>
  </si>
  <si>
    <t>Merged Doc ID - Antibakteri</t>
  </si>
  <si>
    <t>Merged Doc URL - Antibakteri</t>
  </si>
  <si>
    <t>Link to merged Doc - Antibakteri</t>
  </si>
  <si>
    <t>Document Merge Status - Antibakteri</t>
  </si>
  <si>
    <t>Rohmadi</t>
  </si>
  <si>
    <t>T762102002</t>
  </si>
  <si>
    <t>PSDITM/Fak. Teknik/UNS</t>
  </si>
  <si>
    <t>Aktivitas Antibakteri</t>
  </si>
  <si>
    <t>Hartono, Pratiwi</t>
  </si>
  <si>
    <t>1WlSZslAiMeFaB9Bsz-g0dd4nnjZhV_6p</t>
  </si>
  <si>
    <t>https://drive.google.com/file/d/1WlSZslAiMeFaB9Bsz-g0dd4nnjZhV_6p/view?usp=drivesdk</t>
  </si>
  <si>
    <t>Document successfully created; Document successfully merged; PDF created; Manually run by labterpadu.unit.uns@gmail.com; Timestamp: Sep 12 2024 11:17 PM</t>
  </si>
  <si>
    <t>Shaffina Alya Ainun Naim</t>
  </si>
  <si>
    <t>K3320069</t>
  </si>
  <si>
    <t>1ncR57gNe3Lnu2C_FP4Da4miIhVhW68I5</t>
  </si>
  <si>
    <t>https://drive.google.com/file/d/1ncR57gNe3Lnu2C_FP4Da4miIhVhW68I5/view?usp=drivesdk</t>
  </si>
  <si>
    <t>Document successfully created; Document successfully merged; PDF created; Manually run by labterpadu.unit.uns@gmail.com; Timestamp: Sep 12 2024 11:23 PM</t>
  </si>
  <si>
    <t>Adiana</t>
  </si>
  <si>
    <t>S912308002</t>
  </si>
  <si>
    <t>Fisika</t>
  </si>
  <si>
    <t>1mCYewurGbIpY07YmrteHXMzx28WlYkDo</t>
  </si>
  <si>
    <t>https://drive.google.com/file/d/1mCYewurGbIpY07YmrteHXMzx28WlYkDo/view?usp=drivesdk</t>
  </si>
  <si>
    <t xml:space="preserve">                                                                                                                                                        </t>
  </si>
  <si>
    <t>Document successfully created; Document successfully merged; PDF created; Manually run by labterpadu.unit.uns@gmail.com; Timestamp: Oct 25 2024 12:19 AM</t>
  </si>
  <si>
    <t>S912308003</t>
  </si>
  <si>
    <t>1kg1G_eM3Tirvi-eD8nNaT6_hrfyyxNL6</t>
  </si>
  <si>
    <t>https://drive.google.com/file/d/1kg1G_eM3Tirvi-eD8nNaT6_hrfyyxNL6/view?usp=drivesdk</t>
  </si>
  <si>
    <t>Document successfully created; Document successfully merged; PDF created; Manually run by labterpadu.unit.uns@gmail.com; Timestamp: Oct 25 2024 1:31 AM</t>
  </si>
  <si>
    <t>Fadhila Shafa Fareza</t>
  </si>
  <si>
    <t>1ozpIXNgzWwUrkdntH_c4OxvsBVBvenjB</t>
  </si>
  <si>
    <t>https://drive.google.com/file/d/1ozpIXNgzWwUrkdntH_c4OxvsBVBvenjB/view?usp=drivesdk</t>
  </si>
  <si>
    <t>Document successfully created; Document successfully merged; PDF created; Manually run by labterpadu.unit.uns@gmail.com; Timestamp: Oct 25 2024 1:43 AM</t>
  </si>
  <si>
    <t>Revina Shella Febriany</t>
  </si>
  <si>
    <t>Universitas Negeri Semarang</t>
  </si>
  <si>
    <t>1uvVgX-oQWtnQm1Tlw8Rh7FwUvfz3FlXx</t>
  </si>
  <si>
    <t>https://drive.google.com/file/d/1uvVgX-oQWtnQm1Tlw8Rh7FwUvfz3FlXx/view?usp=drivesdk</t>
  </si>
  <si>
    <t>Document successfully created; Document successfully merged; PDF created; Manually run by labterpadu.unit.uns@gmail.com; Timestamp: Dec 23 2024 8:37 PM</t>
  </si>
  <si>
    <t>Adiana Musadewi</t>
  </si>
  <si>
    <t>S2 Fisika/UNS</t>
  </si>
  <si>
    <t>1bO8HeZZBubngW1pQ9EyhtaosbYFJrvl-</t>
  </si>
  <si>
    <t>https://drive.google.com/file/d/1bO8HeZZBubngW1pQ9EyhtaosbYFJrvl-/view?usp=drivesdk</t>
  </si>
  <si>
    <t>Document successfully created; Document successfully merged; PDF created; Manually run by labterpadu.unit.uns@gmail.com; Timestamp: Jan 30 2025 10:40 PM</t>
  </si>
  <si>
    <t>Natasya Shalla Evelin</t>
  </si>
  <si>
    <t>K2322058</t>
  </si>
  <si>
    <t>FKIP Fisika/UNS</t>
  </si>
  <si>
    <t>1gQSa2EpmY16qdn5Sa9bToUYQmyLz6xCM</t>
  </si>
  <si>
    <t>https://drive.google.com/file/d/1gQSa2EpmY16qdn5Sa9bToUYQmyLz6xCM/view?usp=drivesdk</t>
  </si>
  <si>
    <t>Document successfully created; Document successfully merged; PDF created; Manually run by labterpadu.unit.uns@gmail.com; Timestamp: Feb 12 2025 8:25 PM</t>
  </si>
  <si>
    <t>Nabilah Febria</t>
  </si>
  <si>
    <t xml:space="preserve">Universitas negeri semarang </t>
  </si>
  <si>
    <t>Non Akses</t>
  </si>
  <si>
    <t>1S6cNBHs1LBl7dHKr4clc5sixBHAxhfrH</t>
  </si>
  <si>
    <t>https://drive.google.com/file/d/1S6cNBHs1LBl7dHKr4clc5sixBHAxhfrH/view?usp=drivesdk</t>
  </si>
  <si>
    <t>Document successfully created; Document successfully merged; PDF created; Manually run by labterpadu.unit.uns@gmail.com; Timestamp: Mar 18 2025 3:09 AM</t>
  </si>
  <si>
    <t>Alief Almasyah</t>
  </si>
  <si>
    <t>M0221015</t>
  </si>
  <si>
    <t>FMIPA/UNS</t>
  </si>
  <si>
    <t>16p2NrbxbGbkYsRS7yWMMOwmhSSNzaeRh</t>
  </si>
  <si>
    <t>https://drive.google.com/file/d/16p2NrbxbGbkYsRS7yWMMOwmhSSNzaeRh/view?usp=drivesdk</t>
  </si>
  <si>
    <t>Document successfully created; Document successfully merged; PDF created; Manually run by labterpadu.unit.uns@gmail.com; Timestamp: May 9 2025 1:46 AM</t>
  </si>
  <si>
    <t>Shinta Wulan Asih</t>
  </si>
  <si>
    <t>K2321066</t>
  </si>
  <si>
    <t>1wZQjy-19s6TD4x7WzuOyW3QVoFjlwU5o</t>
  </si>
  <si>
    <t>https://drive.google.com/file/d/1wZQjy-19s6TD4x7WzuOyW3QVoFjlwU5o/view?usp=drivesdk</t>
  </si>
  <si>
    <t>Document successfully created; Document successfully merged; PDF created; Manually run by labterpadu.unit.uns@gmail.com; Timestamp: May 9 2025 1:52 AM</t>
  </si>
  <si>
    <t>Amylia Putri Anggraheani</t>
  </si>
  <si>
    <t>Kimia/FMIPA/UNNES</t>
  </si>
  <si>
    <t>1OfNAiqqQuUS7JiXl8QZUlD-XcQqfkaKl</t>
  </si>
  <si>
    <t>https://drive.google.com/file/d/1OfNAiqqQuUS7JiXl8QZUlD-XcQqfkaKl/view?usp=drivesdk</t>
  </si>
  <si>
    <t>Document successfully created; Document successfully merged; PDF created; Manually run by labterpadu.unit.uns@gmail.com; Timestamp: May 9 2025 1:57 AM</t>
  </si>
  <si>
    <t>236+244</t>
  </si>
  <si>
    <t>1gmJR-z_oCPTOlEY3gcWpoZAS0bnrpe1p</t>
  </si>
  <si>
    <t>https://drive.google.com/file/d/1gmJR-z_oCPTOlEY3gcWpoZAS0bnrpe1p/view?usp=drivesdk</t>
  </si>
  <si>
    <t>Document successfully created; Document successfully merged; PDF created; Manually run by labterpadu.unit.uns@gmail.com; Timestamp: May 19 2025 11:28 PM</t>
  </si>
  <si>
    <t>1VcfFacrCL46sJR9aX5Yoj1ZJyrQqZiUT</t>
  </si>
  <si>
    <t>https://drive.google.com/file/d/1VcfFacrCL46sJR9aX5Yoj1ZJyrQqZiUT/view?usp=drivesdk</t>
  </si>
  <si>
    <t>Document successfully created; Document successfully merged; PDF created; Manually run by labterpadu.unit.uns@gmail.com; Timestamp: May 28 2025 12:56 AM</t>
  </si>
  <si>
    <t>Ervica Ermalita</t>
  </si>
  <si>
    <t>11klDD80MZuvHBcgCikfZ7vlTiUUqvtFI</t>
  </si>
  <si>
    <t>https://drive.google.com/file/d/11klDD80MZuvHBcgCikfZ7vlTiUUqvtFI/view?usp=drivesdk</t>
  </si>
  <si>
    <t>Document successfully created; Document successfully merged; PDF created; Manually run by labterpadu.unit.uns@gmail.com; Timestamp: Jun 11 2025 3:38 AM</t>
  </si>
  <si>
    <t>Kiranda Dinata</t>
  </si>
  <si>
    <t>K2321040</t>
  </si>
  <si>
    <t>Pendidikan Fisika / FKIP / UNS</t>
  </si>
  <si>
    <t>1X1YlwsphnBKth7sLKPoEwr-BGut89SFs</t>
  </si>
  <si>
    <t>https://drive.google.com/file/d/1X1YlwsphnBKth7sLKPoEwr-BGut89SFs/view?usp=drivesdk</t>
  </si>
  <si>
    <t>Document successfully created; Document successfully merged; PDF created; Manually run by labterpadu.unit.uns@gmail.com; Timestamp: Jun 11 2025 10:14 PM</t>
  </si>
  <si>
    <t>Salma Nur Habibah</t>
  </si>
  <si>
    <t>M0221078</t>
  </si>
  <si>
    <t>Fisika/MIPA</t>
  </si>
  <si>
    <t>17jRfNYpxsXoVqjQN5OB16b6IbXyo4LKo</t>
  </si>
  <si>
    <t>https://drive.google.com/file/d/17jRfNYpxsXoVqjQN5OB16b6IbXyo4LKo/view?usp=drivesdk</t>
  </si>
  <si>
    <t>Iftitahul Khoiriyah</t>
  </si>
  <si>
    <t>K2321031</t>
  </si>
  <si>
    <t>Pendidikan Fisika/FKIP/UNS</t>
  </si>
  <si>
    <t>1LG-XIGzrvGqwdk32B0MkA9jDK7_Dijg9</t>
  </si>
  <si>
    <t>https://drive.google.com/file/d/1LG-XIGzrvGqwdk32B0MkA9jDK7_Dijg9/view?usp=drivesdk</t>
  </si>
  <si>
    <t>10CkVdy48s8OgOvAVZDWbRyJX9WzvjSdA</t>
  </si>
  <si>
    <t>https://drive.google.com/file/d/10CkVdy48s8OgOvAVZDWbRyJX9WzvjSdA/view?usp=drivesdk</t>
  </si>
  <si>
    <t>Document successfully created; Document successfully merged; PDF created; Manually run by labterpadu.unit.uns@gmail.com; Timestamp: Jun 23 2025 12:37 AM</t>
  </si>
  <si>
    <t>Dessy Natasya Putri</t>
  </si>
  <si>
    <t>Kimia / FMIPA / Universitas Negeri Semarang</t>
  </si>
  <si>
    <t>12HHm7isD8_CLfs7vJVAyDnxb14LHCme1</t>
  </si>
  <si>
    <t>https://drive.google.com/file/d/12HHm7isD8_CLfs7vJVAyDnxb14LHCme1/view?usp=drivesdk</t>
  </si>
  <si>
    <t>Document successfully created; Document successfully merged; PDF created; Manually run by labterpadu.unit.uns@gmail.com; Timestamp: Jun 23 2025 1:07 AM</t>
  </si>
  <si>
    <t>Raihan Alif Rahman</t>
  </si>
  <si>
    <t xml:space="preserve">Kimia/MIPA/Universitas Negeri Semarang </t>
  </si>
  <si>
    <t>1iIAJZ4HhFb188Awh9gVX5-Pwyt6SFPKK</t>
  </si>
  <si>
    <t>https://drive.google.com/file/d/1iIAJZ4HhFb188Awh9gVX5-Pwyt6SFPKK/view?usp=drivesdk</t>
  </si>
  <si>
    <t xml:space="preserve">Ernawati </t>
  </si>
  <si>
    <t>M0221034</t>
  </si>
  <si>
    <t>Fisika/FMIPA/UNS</t>
  </si>
  <si>
    <t>14vkdJT_DsAiHLG0puz0o2u2CMCXJ0mvG</t>
  </si>
  <si>
    <t>https://drive.google.com/file/d/14vkdJT_DsAiHLG0puz0o2u2CMCXJ0mvG/view?usp=drivesdk</t>
  </si>
  <si>
    <t xml:space="preserve">Salma Nur Habibah </t>
  </si>
  <si>
    <t xml:space="preserve">S1-Fisika/MIPA/Universitas Sebelas Maret </t>
  </si>
  <si>
    <t>1XxQ-9_HXN3L29QPyDYOGV3HD2OP7oiHa</t>
  </si>
  <si>
    <t>https://drive.google.com/file/d/1XxQ-9_HXN3L29QPyDYOGV3HD2OP7oiHa/view?usp=drivesdk</t>
  </si>
  <si>
    <t>Document successfully created; Document successfully merged; PDF created; Manually run by labterpadu.unit.uns@gmail.com; Timestamp: Jun 23 2025 1:08 AM</t>
  </si>
  <si>
    <t xml:space="preserve">Tasya Az-Zahra Setyorini </t>
  </si>
  <si>
    <t>S912502002</t>
  </si>
  <si>
    <t>S2 Ilmu Fisika/FMIPA/UNS</t>
  </si>
  <si>
    <t>1Iufuz7z5zFcr9lywhBSSICOcNrdzGYYA</t>
  </si>
  <si>
    <t>https://drive.google.com/file/d/1Iufuz7z5zFcr9lywhBSSICOcNrdzGYYA/view?usp=drivesdk</t>
  </si>
  <si>
    <t>Document successfully created; Document successfully merged; PDF created; Manually run by labterpadu.unit.uns@gmail.com; Timestamp: Aug 4 2025 11:38 PM</t>
  </si>
  <si>
    <t>Liana Kharisma</t>
  </si>
  <si>
    <t xml:space="preserve">J520220091 </t>
  </si>
  <si>
    <t xml:space="preserve">Pendidikan Kedokteran Gigi/Fakultas Kedokteran Gigi/Universitas Muhammadiyah Surakarta </t>
  </si>
  <si>
    <t>1qN9qcBx5HLNbTBmo1SDYxSvYGgm3MajT</t>
  </si>
  <si>
    <t>https://drive.google.com/file/d/1qN9qcBx5HLNbTBmo1SDYxSvYGgm3MajT/view?usp=drivesdk</t>
  </si>
  <si>
    <t>Document successfully created; Document successfully merged; PDF created; Manually run by labterpadu.unit.uns@gmail.com; Timestamp: Aug 4 2025 11:39 PM</t>
  </si>
  <si>
    <t>Nur Erika Putri Dewi</t>
  </si>
  <si>
    <t>1DUZ9Cx_-2C4sdfGOggmCZx2ogHbdlLaB</t>
  </si>
  <si>
    <t>https://drive.google.com/file/d/1DUZ9Cx_-2C4sdfGOggmCZx2ogHbdlLaB/view?usp=drivesdk</t>
  </si>
  <si>
    <t>Document successfully created; Document successfully merged; PDF created; Manually run by labterpadu.unit.uns@gmail.com; Timestamp: Aug 21 2025 4:04 AM</t>
  </si>
  <si>
    <t>1sz1uKpNSAgM4YTzSw29USsHmbZ7URmtp</t>
  </si>
  <si>
    <t>https://drive.google.com/file/d/1sz1uKpNSAgM4YTzSw29USsHmbZ7URmtp/view?usp=drivesdk</t>
  </si>
  <si>
    <t>1qFGH5t93zGOxAqoAXask6uY9Jh9QWwpu</t>
  </si>
  <si>
    <t>https://drive.google.com/file/d/1qFGH5t93zGOxAqoAXask6uY9Jh9QWwpu/view?usp=drivesdk</t>
  </si>
  <si>
    <t>Document successfully created; Document successfully merged; PDF created; Manually run by labterpadu.unit.uns@gmail.com; Timestamp: Sep 1 2025 2:11 AM</t>
  </si>
  <si>
    <t xml:space="preserve">Liana Kharisma </t>
  </si>
  <si>
    <t>J520220091</t>
  </si>
  <si>
    <t xml:space="preserve">Prodi Pendidikan Kedokteran Gigi / Fakultas Kedokteran Gigi / Universitas Muhammadiyah Surakarta  </t>
  </si>
  <si>
    <t>1UfcDfz6DXl7oTROpLmnEVCiSfvQYtxbG</t>
  </si>
  <si>
    <t>https://drive.google.com/file/d/1UfcDfz6DXl7oTROpLmnEVCiSfvQYtxbG/view?usp=drivesdk</t>
  </si>
  <si>
    <t>Document successfully created; Document successfully merged; PDF created; Manually run by labterpadu.unit.uns@gmail.com; Timestamp: Sep 4 2025 1:01 AM</t>
  </si>
  <si>
    <t>Nabilah Faradilla</t>
  </si>
  <si>
    <t>1nUGw6fO75iYCT0pGYHvKGhZHEX-51NRx</t>
  </si>
  <si>
    <t>https://drive.google.com/file/d/1nUGw6fO75iYCT0pGYHvKGhZHEX-51NRx/view?usp=drivesdk</t>
  </si>
  <si>
    <t>Document successfully created; Document successfully merged; PDF created; Manually run by labterpadu.unit.uns@gmail.com; Timestamp: Sep 11 2025 11:06 PM</t>
  </si>
  <si>
    <t>1InqrReDkhGXDzNpSN_alLvdJNRTZANmA</t>
  </si>
  <si>
    <t>https://drive.google.com/file/d/1InqrReDkhGXDzNpSN_alLvdJNRTZANmA/view?usp=drivesdk</t>
  </si>
  <si>
    <t>Document successfully created; Document successfully merged; PDF created; Manually run by labterpadu.unit.uns@gmail.com; Timestamp: Sep 11 2025 11:42 PM</t>
  </si>
  <si>
    <t>Nadia Indri Safitri</t>
  </si>
  <si>
    <t>K3322070</t>
  </si>
  <si>
    <t>Pendidikan Kimia/ FKIP /UNS</t>
  </si>
  <si>
    <t>1W-zUHF17njNaLuH-k2BPtulz0GV3P-kf</t>
  </si>
  <si>
    <t>https://drive.google.com/file/d/1W-zUHF17njNaLuH-k2BPtulz0GV3P-kf/view?usp=drivesdk</t>
  </si>
  <si>
    <t>Document successfully created; Document successfully merged; PDF created; Manually run by labterpadu.unit.uns@gmail.com; Timestamp: Sep 21 2025 10:19 PM</t>
  </si>
  <si>
    <t>Azzahra Aprilian Anindia Aufa</t>
  </si>
  <si>
    <t>M0221021</t>
  </si>
  <si>
    <t>S1 Fisika/FMIPA/UNS</t>
  </si>
  <si>
    <t>1x3WInapxYXdCGBHHcb6kn9rOuWJitM_h</t>
  </si>
  <si>
    <t>https://drive.google.com/file/d/1x3WInapxYXdCGBHHcb6kn9rOuWJitM_h/view?usp=drivesdk</t>
  </si>
  <si>
    <t>Document successfully created; Document successfully merged; PDF created; Manually run by labterpadu.unit.uns@gmail.com; Timestamp: Sep 24 2025 11:14 PM</t>
  </si>
  <si>
    <t>13Tjn4q3q9LRND0QHnbE78UEd9L6_iXr7</t>
  </si>
  <si>
    <t>https://drive.google.com/file/d/13Tjn4q3q9LRND0QHnbE78UEd9L6_iXr7/view?usp=drivesdk</t>
  </si>
  <si>
    <t>Document successfully created; Document successfully merged; PDF created; Manually run by labterpadu.unit.uns@gmail.com; Timestamp: Sep 30 2025 12:44 AM</t>
  </si>
  <si>
    <t>Hikmah Maulidina</t>
  </si>
  <si>
    <t>T782502003</t>
  </si>
  <si>
    <t>S3 Fisika</t>
  </si>
  <si>
    <t>10CLJoQgFWph7PFOxFgxfz66wFXpoBLGv</t>
  </si>
  <si>
    <t>https://drive.google.com/file/d/10CLJoQgFWph7PFOxFgxfz66wFXpoBLGv/view?usp=drivesdk</t>
  </si>
  <si>
    <t>Sophia Dewi Nur Anisa</t>
  </si>
  <si>
    <t>S912502003</t>
  </si>
  <si>
    <t>S2 Ilmu Fisika</t>
  </si>
  <si>
    <t>1MqijRUA783Yu46vZG0Ux8-lB2PO7rzLc</t>
  </si>
  <si>
    <t>https://drive.google.com/file/d/1MqijRUA783Yu46vZG0Ux8-lB2PO7rzLc/view?usp=drivesdk</t>
  </si>
  <si>
    <t>Document successfully created; Document successfully merged; PDF created; Manually run by labterpadu.unit.uns@gmail.com; Timestamp: Sep 30 2025 12:50 AM</t>
  </si>
  <si>
    <t>Alika Naila Khairunnisa</t>
  </si>
  <si>
    <t>13KQpPhMxI74Ae6zkN-YqXQR6TBToxr7K</t>
  </si>
  <si>
    <t>https://drive.google.com/file/d/13KQpPhMxI74Ae6zkN-YqXQR6TBToxr7K/view?usp=drivesdk</t>
  </si>
  <si>
    <t>Document successfully created; Document successfully merged; PDF created; Manually run by labterpadu.unit.uns@gmail.com; Timestamp: Oct 3 2025 1:27 AM</t>
  </si>
  <si>
    <t xml:space="preserve">Fisika/FMIPA/Universitas Sebelas Maret </t>
  </si>
  <si>
    <t>16MaKB_GhB3ZuLTv5zrfFruUgPAkeNNgz</t>
  </si>
  <si>
    <t>https://drive.google.com/file/d/16MaKB_GhB3ZuLTv5zrfFruUgPAkeNNgz/view?usp=drivesdk</t>
  </si>
  <si>
    <t>Document successfully created; Document successfully merged; PDF created; Manually run by labterpadu.unit.uns@gmail.com; Timestamp: Oct 21 2025 12:49 AM</t>
  </si>
  <si>
    <t>Seif Fakih Husein</t>
  </si>
  <si>
    <t>K2322080</t>
  </si>
  <si>
    <t>1dqbb4bfbSWV2oD_Y-WvItnF0WbhEIGTr</t>
  </si>
  <si>
    <t>https://drive.google.com/file/d/1dqbb4bfbSWV2oD_Y-WvItnF0WbhEIGTr/view?usp=drivesdk</t>
  </si>
  <si>
    <t>Naira Alba</t>
  </si>
  <si>
    <t>K3322072</t>
  </si>
  <si>
    <t>1GdGSs_WL0tueA6gqFBSESfsxAkRo5eE4</t>
  </si>
  <si>
    <t>https://drive.google.com/file/d/1GdGSs_WL0tueA6gqFBSESfsxAkRo5eE4/view?usp=drivesdk</t>
  </si>
  <si>
    <t>Document successfully created; Document successfully merged; PDF created; Manually run by labterpadu.unit.uns@gmail.com; Timestamp: Oct 28 2025 8:20 PM</t>
  </si>
  <si>
    <t>1mpN3JRRroRGcbthCskm4VdCIDEINrz2-</t>
  </si>
  <si>
    <t>https://drive.google.com/file/d/1mpN3JRRroRGcbthCskm4VdCIDEINrz2-/view?usp=drivesdk</t>
  </si>
  <si>
    <t>Document successfully created; Document successfully merged; PDF created; Manually run by labterpadu.unit.uns@gmail.com; Timestamp: Oct 28 2025 8:21 PM</t>
  </si>
  <si>
    <t>Lintang Nur Apriliani</t>
  </si>
  <si>
    <t>D500240077</t>
  </si>
  <si>
    <t>Teknik Kimia/FT/UMS</t>
  </si>
  <si>
    <t>1rM6qreuzoFS3cm0vT68dCquaFwvlyQjK</t>
  </si>
  <si>
    <t>https://drive.google.com/file/d/1rM6qreuzoFS3cm0vT68dCquaFwvlyQjK/view?usp=drivesdk</t>
  </si>
  <si>
    <t>Document successfully created; Document successfully merged; PDF created; Manually run by labterpadu.unit.uns@gmail.com; Timestamp: Nov 16 2025 11:32 PM</t>
  </si>
  <si>
    <t>Tasya Az-Zhra Setorini</t>
  </si>
  <si>
    <t>1NNh2W49LEintvQgQrXeiG1XOFXxPTfr4</t>
  </si>
  <si>
    <t>https://drive.google.com/file/d/1NNh2W49LEintvQgQrXeiG1XOFXxPTfr4/view?usp=drivesdk</t>
  </si>
  <si>
    <t>Patricia Nanda Setiani Tjawan</t>
  </si>
  <si>
    <t>Farmasi/Farmasi/Universitas Sanata Dharma</t>
  </si>
  <si>
    <t>1_Nn9NeYuQe00li8M4uunWrcJAU_3wu8v</t>
  </si>
  <si>
    <t>https://drive.google.com/file/d/1_Nn9NeYuQe00li8M4uunWrcJAU_3wu8v/view?usp=drivesdk</t>
  </si>
  <si>
    <t>Document successfully created; Document successfully merged; PDF created; Manually run by labterpadu.unit.uns@gmail.com; Timestamp: Nov 20 2025 11:06 PM</t>
  </si>
  <si>
    <t>Flavia Salsabila</t>
  </si>
  <si>
    <t xml:space="preserve">Farmasi/Farmasi/Universitas Sanata Dharma </t>
  </si>
  <si>
    <t>12kv3YeAdl9X1t0I2_7XU12IPwkuWAIL9</t>
  </si>
  <si>
    <t>https://drive.google.com/file/d/12kv3YeAdl9X1t0I2_7XU12IPwkuWAIL9/view?usp=drivesdk</t>
  </si>
  <si>
    <t xml:space="preserve">                            </t>
  </si>
  <si>
    <r>
      <rPr>
        <rFont val="Arial"/>
        <color rgb="FF000000"/>
        <sz val="10.0"/>
      </rPr>
      <t>Fakultas/Univ</t>
    </r>
  </si>
  <si>
    <t>Jumlah Pengukuran</t>
  </si>
  <si>
    <t>Particle Size</t>
  </si>
  <si>
    <t>Zeta Potensial</t>
  </si>
  <si>
    <t>Harga per pengukuran</t>
  </si>
  <si>
    <t>Total Biaya</t>
  </si>
  <si>
    <r>
      <rPr>
        <rFont val="Arial"/>
        <color rgb="FF000000"/>
        <sz val="10.0"/>
      </rPr>
      <t>Persiapan instrumen</t>
    </r>
  </si>
  <si>
    <r>
      <rPr>
        <rFont val="Arial"/>
        <color rgb="FF000000"/>
        <sz val="10.0"/>
      </rPr>
      <t>Preparasi sampel</t>
    </r>
  </si>
  <si>
    <r>
      <rPr>
        <rFont val="Arial"/>
        <color rgb="FF000000"/>
        <sz val="10.0"/>
      </rPr>
      <t>Preparasi tambahan</t>
    </r>
  </si>
  <si>
    <t>Pengukuran sampel zeta</t>
  </si>
  <si>
    <r>
      <rPr>
        <rFont val="Arial"/>
        <color rgb="FF000000"/>
        <sz val="10.0"/>
      </rPr>
      <t>Pengukuran sampel size</t>
    </r>
  </si>
  <si>
    <r>
      <rPr>
        <rFont val="Arial"/>
        <color rgb="FF000000"/>
        <sz val="10.0"/>
      </rPr>
      <t>Pengolahan data</t>
    </r>
  </si>
  <si>
    <r>
      <rPr>
        <rFont val="Arial"/>
        <color rgb="FF000000"/>
        <sz val="10.0"/>
      </rPr>
      <t>Mematikan instrument</t>
    </r>
  </si>
  <si>
    <r>
      <rPr>
        <rFont val="Arial"/>
        <b/>
        <color rgb="FF000000"/>
        <sz val="10.0"/>
      </rPr>
      <t>Total waktu pengerjaan</t>
    </r>
  </si>
  <si>
    <t>Merged Doc ID - Rekap PSA</t>
  </si>
  <si>
    <t>Merged Doc URL - Rekap PSA</t>
  </si>
  <si>
    <t>Link to merged Doc - Rekap PSA</t>
  </si>
  <si>
    <t>Document Merge Status - Rekap PSA</t>
  </si>
  <si>
    <t>Fiona Indah Setia Putri</t>
  </si>
  <si>
    <t>V3722021</t>
  </si>
  <si>
    <t>Vokasi</t>
  </si>
  <si>
    <t>PSA Particle Size</t>
  </si>
  <si>
    <t>1HYGM0R2bItqjHxy1hC8uJF8ndq99gEp8</t>
  </si>
  <si>
    <t>https://drive.google.com/file/d/1HYGM0R2bItqjHxy1hC8uJF8ndq99gEp8/view?usp=drivesdk</t>
  </si>
  <si>
    <t>Document successfully created; Document successfully merged; PDF created; Manually run by labterpadu.unit.uns@gmail.com; Timestamp: Aug 22 2024 10:37 PM</t>
  </si>
  <si>
    <t>Hana Prasita L</t>
  </si>
  <si>
    <t>FKIP</t>
  </si>
  <si>
    <t>PSA Zeta Potensial &amp; Particle Size</t>
  </si>
  <si>
    <t>15n1zeDBkg7XXuXTflammVmKSsJ7mDKdA</t>
  </si>
  <si>
    <t>https://drive.google.com/file/d/15n1zeDBkg7XXuXTflammVmKSsJ7mDKdA/view?usp=drivesdk</t>
  </si>
  <si>
    <t>Document successfully created; Document successfully merged; PDF created; Manually run by labterpadu.unit.uns@gmail.com; Timestamp: Aug 27 2024 4:52 AM</t>
  </si>
  <si>
    <t>Agung Prakoso</t>
  </si>
  <si>
    <t>S062302001</t>
  </si>
  <si>
    <t>Magister Kimia/FMIPA</t>
  </si>
  <si>
    <t>1W1FH10uNPADp8Wm1YvD7Zi7pdgel3WRD</t>
  </si>
  <si>
    <t>https://drive.google.com/file/d/1W1FH10uNPADp8Wm1YvD7Zi7pdgel3WRD/view?usp=drivesdk</t>
  </si>
  <si>
    <t>Document successfully created; Document successfully merged; PDF created; Manually run by labterpadu.unit.uns@gmail.com; Timestamp: Aug 27 2024 4:53 AM</t>
  </si>
  <si>
    <t>Prof Agus S</t>
  </si>
  <si>
    <t>UNDIP</t>
  </si>
  <si>
    <t>1QKPB2tYCb8zIinM8a0l8zfREHyFJl2vt</t>
  </si>
  <si>
    <t>https://drive.google.com/file/d/1QKPB2tYCb8zIinM8a0l8zfREHyFJl2vt/view?usp=drivesdk</t>
  </si>
  <si>
    <t>Wahyu Nur S</t>
  </si>
  <si>
    <t>S062208007</t>
  </si>
  <si>
    <t>PSA Zeta Potensial</t>
  </si>
  <si>
    <t>1hq-6NgM6ovfvowoXPmb1p0ZJm7IcquAh</t>
  </si>
  <si>
    <t>https://drive.google.com/file/d/1hq-6NgM6ovfvowoXPmb1p0ZJm7IcquAh/view?usp=drivesdk</t>
  </si>
  <si>
    <t>Document successfully created; Document successfully merged; PDF created; Manually run by labterpadu.unit.uns@gmail.com; Timestamp: Aug 29 2024 10:38 PM</t>
  </si>
  <si>
    <t>Pendidikan Kimia/FKIP</t>
  </si>
  <si>
    <t>1CCYpgZoMCOInuGLEXs_UuWNTh7-IV10I</t>
  </si>
  <si>
    <t>https://drive.google.com/file/d/1CCYpgZoMCOInuGLEXs_UuWNTh7-IV10I/view?usp=drivesdk</t>
  </si>
  <si>
    <t>Document successfully created; Document successfully merged; PDF created; Manually run by labterpadu.unit.uns@gmail.com; Timestamp: Sep 1 2024 10:34 PM</t>
  </si>
  <si>
    <t>1uesOUeLmoGj2sHgYdOt9lzKSbr4nKvu4</t>
  </si>
  <si>
    <t>https://drive.google.com/file/d/1uesOUeLmoGj2sHgYdOt9lzKSbr4nKvu4/view?usp=drivesdk</t>
  </si>
  <si>
    <t>Document successfully created; Document successfully merged; PDF created; Manually run by labterpadu.unit.uns@gmail.com; Timestamp: Sep 1 2024 10:36 PM</t>
  </si>
  <si>
    <t xml:space="preserve">Putri Rovita Sari </t>
  </si>
  <si>
    <t>R242220364</t>
  </si>
  <si>
    <t xml:space="preserve">Farmasi/Farmasi/Universitas Setia Budi </t>
  </si>
  <si>
    <t>1g9E5XC3njR1VqoKS6WABj1Ttjyfjehb6</t>
  </si>
  <si>
    <t>https://drive.google.com/file/d/1g9E5XC3njR1VqoKS6WABj1Ttjyfjehb6/view?usp=drivesdk</t>
  </si>
  <si>
    <t>Document successfully created; Document successfully merged; PDF created; Manually run by labterpadu.unit.uns@gmail.com; Timestamp: Sep 2 2024 4:43 AM</t>
  </si>
  <si>
    <t>Dede Arief Mahendra</t>
  </si>
  <si>
    <t>S1 Kimia/ Matematika dan Ilmu pengetahuan Alam/Universitas Negeri Surabaya</t>
  </si>
  <si>
    <t>1L60QgJaUUcdV2faIM4fErzZJc0diVgsM</t>
  </si>
  <si>
    <t>https://drive.google.com/file/d/1L60QgJaUUcdV2faIM4fErzZJc0diVgsM/view?usp=drivesdk</t>
  </si>
  <si>
    <t>Document successfully created; Document successfully merged; PDF created; Manually run by labterpadu.unit.uns@gmail.com; Timestamp: Sep 3 2024 1:36 AM</t>
  </si>
  <si>
    <t>Muhammad Aidil Samara</t>
  </si>
  <si>
    <t>I0420081</t>
  </si>
  <si>
    <t>Mesin/Teknik/Universitas Sebelas Maret</t>
  </si>
  <si>
    <t>1hQ2lgvBdQoP374XrBp_dnfI4clLpJRyq</t>
  </si>
  <si>
    <t>https://drive.google.com/file/d/1hQ2lgvBdQoP374XrBp_dnfI4clLpJRyq/view?usp=drivesdk</t>
  </si>
  <si>
    <t>Document successfully created; Document successfully merged; PDF created; Manually run by labterpadu.unit.uns@gmail.com; Timestamp: Sep 9 2024 12:09 AM</t>
  </si>
  <si>
    <t>Keisha Mumtaz Tsabita Adam</t>
  </si>
  <si>
    <t>V3722029</t>
  </si>
  <si>
    <t>D3 Farmasi/Sekolah Vokasi/Universitas Sebelas Maret</t>
  </si>
  <si>
    <t>16b_2U48wkRoOi6OBku7Yuhj-TUlmgC2_</t>
  </si>
  <si>
    <t>https://drive.google.com/file/d/16b_2U48wkRoOi6OBku7Yuhj-TUlmgC2_/view?usp=drivesdk</t>
  </si>
  <si>
    <t>Dian Yuliasih</t>
  </si>
  <si>
    <t>K3321020</t>
  </si>
  <si>
    <t>1FkZy01peOdmk0z5z71l9dPUZIg712_hb</t>
  </si>
  <si>
    <t>https://drive.google.com/file/d/1FkZy01peOdmk0z5z71l9dPUZIg712_hb/view?usp=drivesdk</t>
  </si>
  <si>
    <t>Document successfully created; Document successfully merged; PDF created; Manually run by labterpadu.unit.uns@gmail.com; Timestamp: Sep 12 2024 10:16 PM</t>
  </si>
  <si>
    <t>1VzU4BdaY_73eJyZMUofuE_kuxowF8oqA</t>
  </si>
  <si>
    <t>https://drive.google.com/file/d/1VzU4BdaY_73eJyZMUofuE_kuxowF8oqA/view?usp=drivesdk</t>
  </si>
  <si>
    <t>Document successfully created; Document successfully merged; PDF created; Manually run by labterpadu.unit.uns@gmail.com; Timestamp: Sep 17 2024 8:44 PM</t>
  </si>
  <si>
    <t>Dyah Ellyawati Kusumaningtyas M</t>
  </si>
  <si>
    <t>S062208003</t>
  </si>
  <si>
    <t>S2 Kimia FMIPA</t>
  </si>
  <si>
    <t>1dzq7dMsgs9bPamHtIESSEg9sXBO9qhgT</t>
  </si>
  <si>
    <t>https://drive.google.com/file/d/1dzq7dMsgs9bPamHtIESSEg9sXBO9qhgT/view?usp=drivesdk</t>
  </si>
  <si>
    <t>Document successfully created; Document successfully merged; PDF created; Manually run by labterpadu.unit.uns@gmail.com; Timestamp: Sep 20 2024 12:12 AM</t>
  </si>
  <si>
    <t>Kimia FMIPA</t>
  </si>
  <si>
    <t>1IcoJ79jyZyO2ltdnf7P-CugWquus-zTl</t>
  </si>
  <si>
    <t>https://drive.google.com/file/d/1IcoJ79jyZyO2ltdnf7P-CugWquus-zTl/view?usp=drivesdk</t>
  </si>
  <si>
    <t>Document successfully created; Document successfully merged; PDF created; Manually run by labterpadu.unit.uns@gmail.com; Timestamp: Sep 23 2024 1:30 AM</t>
  </si>
  <si>
    <t>Sofiyah Fitriani Mursyidah</t>
  </si>
  <si>
    <t>M0420085</t>
  </si>
  <si>
    <t>Biologi/FMIPA/UNS</t>
  </si>
  <si>
    <t>1tlYFVA9783h3Giuk0TYUVkQFyCBSDQfH</t>
  </si>
  <si>
    <t>https://drive.google.com/file/d/1tlYFVA9783h3Giuk0TYUVkQFyCBSDQfH/view?usp=drivesdk</t>
  </si>
  <si>
    <t>13yJmyOgKn7HP3i_yyosRgjrJhywL30yM</t>
  </si>
  <si>
    <t>https://drive.google.com/file/d/13yJmyOgKn7HP3i_yyosRgjrJhywL30yM/view?usp=drivesdk</t>
  </si>
  <si>
    <t>Document successfully created; Document successfully merged; PDF created; Manually run by labterpadu.unit.uns@gmail.com; Timestamp: Sep 23 2024 1:35 AM</t>
  </si>
  <si>
    <t xml:space="preserve"> </t>
  </si>
  <si>
    <t>11ez0qu2NrMAJLGR24-gCDCG5wTfuhlh7</t>
  </si>
  <si>
    <t>https://drive.google.com/file/d/11ez0qu2NrMAJLGR24-gCDCG5wTfuhlh7/view?usp=drivesdk</t>
  </si>
  <si>
    <t>Document successfully created; Document successfully merged; PDF created; Manually run by labterpadu.unit.uns@gmail.com; Timestamp: Sep 23 2024 4:38 AM</t>
  </si>
  <si>
    <t xml:space="preserve">Tia Febrianti </t>
  </si>
  <si>
    <t>V3722057</t>
  </si>
  <si>
    <t>D3 Farmasi/SV/UNS</t>
  </si>
  <si>
    <t>1qBOEBTV58QIT8XpmbKHSCkIagIz4iYRF</t>
  </si>
  <si>
    <t>https://drive.google.com/file/d/1qBOEBTV58QIT8XpmbKHSCkIagIz4iYRF/view?usp=drivesdk</t>
  </si>
  <si>
    <t>Wahyu Nur Safitriono</t>
  </si>
  <si>
    <t>S2-Kimia/MIPA/UNS</t>
  </si>
  <si>
    <t>1BQorZxfGCXq4m7JCgW7nIC_pCN8tarLu</t>
  </si>
  <si>
    <t>https://drive.google.com/file/d/1BQorZxfGCXq4m7JCgW7nIC_pCN8tarLu/view?usp=drivesdk</t>
  </si>
  <si>
    <t>Document successfully created; Document successfully merged; PDF created; Manually run by labterpadu.unit.uns@gmail.com; Timestamp: Sep 23 2024 4:58 AM</t>
  </si>
  <si>
    <t>Zacarich Widjoyo Arilo</t>
  </si>
  <si>
    <t xml:space="preserve">SMA Islam Al Azhar 1 </t>
  </si>
  <si>
    <t>1Zc-kg93wfE8krmH6Qjo0Sx3PsmOy9OKS</t>
  </si>
  <si>
    <t>https://drive.google.com/file/d/1Zc-kg93wfE8krmH6Qjo0Sx3PsmOy9OKS/view?usp=drivesdk</t>
  </si>
  <si>
    <t>Document successfully created; Document successfully merged; PDF created; Manually run by labterpadu.unit.uns@gmail.com; Timestamp: Sep 25 2024 9:07 AM</t>
  </si>
  <si>
    <t>K332015</t>
  </si>
  <si>
    <t>1KTRzU0UzVIjUPbGga5_PtVwGUMref_GP</t>
  </si>
  <si>
    <t>https://drive.google.com/file/d/1KTRzU0UzVIjUPbGga5_PtVwGUMref_GP/view?usp=drivesdk</t>
  </si>
  <si>
    <t>Document successfully created; Document successfully merged; PDF created; Manually run by labterpadu.unit.uns@gmail.com; Timestamp: Sep 25 2024 9:02 AM</t>
  </si>
  <si>
    <t>18cYVhK7HbLwLX14LnbzeLhwtxsr9raaY</t>
  </si>
  <si>
    <t>https://drive.google.com/file/d/18cYVhK7HbLwLX14LnbzeLhwtxsr9raaY/view?usp=drivesdk</t>
  </si>
  <si>
    <t>Document successfully created; Document successfully merged; PDF created; Manually run by labterpadu.unit.uns@gmail.com; Timestamp: Sep 30 2024 4:14 AM</t>
  </si>
  <si>
    <t>Milkazia Elda</t>
  </si>
  <si>
    <t>V3722034</t>
  </si>
  <si>
    <t>1srcyVNK0O4Yekgv4mxQw7pN7Hu4BD_oE</t>
  </si>
  <si>
    <t>https://drive.google.com/file/d/1srcyVNK0O4Yekgv4mxQw7pN7Hu4BD_oE/view?usp=drivesdk</t>
  </si>
  <si>
    <t>Document successfully created; Document successfully merged; PDF created; Manually run by labterpadu.unit.uns@gmail.com; Timestamp: Oct 1 2024 1:06 AM</t>
  </si>
  <si>
    <t xml:space="preserve">Heydar Ruffa </t>
  </si>
  <si>
    <t>1SMG9fngGMAl6lgLzBE2IBmgvGxMe2Shh</t>
  </si>
  <si>
    <t>https://drive.google.com/file/d/1SMG9fngGMAl6lgLzBE2IBmgvGxMe2Shh/view?usp=drivesdk</t>
  </si>
  <si>
    <t>Document successfully created; Document successfully merged; PDF created; Manually run by labterpadu.unit.uns@gmail.com; Timestamp: Oct 2 2024 12:49 AM</t>
  </si>
  <si>
    <t>Risha Oktia Kirana</t>
  </si>
  <si>
    <t>SMA Muhammadyah 1 Surakarta</t>
  </si>
  <si>
    <t>1GYYvyeWDTkc751ptHwB_L2vkjy9adwPK</t>
  </si>
  <si>
    <t>https://drive.google.com/file/d/1GYYvyeWDTkc751ptHwB_L2vkjy9adwPK/view?usp=drivesdk</t>
  </si>
  <si>
    <t>Document successfully created; Document successfully merged; PDF created; Manually run by labterpadu.unit.uns@gmail.com; Timestamp: Oct 7 2024 5:38 AM</t>
  </si>
  <si>
    <t>DHIMAS TIYA CANDRA</t>
  </si>
  <si>
    <t>R242220361</t>
  </si>
  <si>
    <t>S2 FARMASI /FARMASI/UNIVERSITAS SETIA BUDI</t>
  </si>
  <si>
    <t>1Hmq8nxhjVjrMm9rgyEUVe2RfifdP3W8g</t>
  </si>
  <si>
    <t>https://drive.google.com/file/d/1Hmq8nxhjVjrMm9rgyEUVe2RfifdP3W8g/view?usp=drivesdk</t>
  </si>
  <si>
    <t>Document successfully created; Document successfully merged; PDF created; Manually run by labterpadu.unit.uns@gmail.com; Timestamp: Oct 7 2024 11:31 PM</t>
  </si>
  <si>
    <t>S2 Kimia/MIPA</t>
  </si>
  <si>
    <t>1hb3RxMGUmb5kVSfSCFEmt1f8dCihpiGZ</t>
  </si>
  <si>
    <t>https://drive.google.com/file/d/1hb3RxMGUmb5kVSfSCFEmt1f8dCihpiGZ/view?usp=drivesdk</t>
  </si>
  <si>
    <t>Document successfully created; Document successfully merged; PDF created; Manually run by labterpadu.unit.uns@gmail.com; Timestamp: Oct 8 2024 1:33 AM</t>
  </si>
  <si>
    <t>Yusuf August Arrafii Rozak Mulki</t>
  </si>
  <si>
    <t>V3722059</t>
  </si>
  <si>
    <t>D3 Farmasi/Vokasi/Universitas Sebelas Maret</t>
  </si>
  <si>
    <t>1y5QwigTUrSP1vIYUGNuSdRkRJXfTTIhI</t>
  </si>
  <si>
    <t>https://drive.google.com/file/d/1y5QwigTUrSP1vIYUGNuSdRkRJXfTTIhI/view?usp=drivesdk</t>
  </si>
  <si>
    <t>Document successfully created; Document successfully merged; PDF created; Manually run by labterpadu.unit.uns@gmail.com; Timestamp: Oct 11 2024 3:59 AM</t>
  </si>
  <si>
    <t>Magister Kimia/FMIPA/UNS</t>
  </si>
  <si>
    <t>1PiYJuXNkVxY2F3BtYfPWNEbHwvzG5gm5</t>
  </si>
  <si>
    <t>https://drive.google.com/file/d/1PiYJuXNkVxY2F3BtYfPWNEbHwvzG5gm5/view?usp=drivesdk</t>
  </si>
  <si>
    <t>Document successfully created; Document successfully merged; PDF created; Manually run by labterpadu.unit.uns@gmail.com; Timestamp: Oct 11 2024 4:04 AM</t>
  </si>
  <si>
    <t>PT IFARS</t>
  </si>
  <si>
    <t>PT IFARS Pharmaceutical Laboratories</t>
  </si>
  <si>
    <t>1YTsxJ1Vmp7_EXUEL2qA9KyDpfnD-28U3</t>
  </si>
  <si>
    <t>https://drive.google.com/file/d/1YTsxJ1Vmp7_EXUEL2qA9KyDpfnD-28U3/view?usp=drivesdk</t>
  </si>
  <si>
    <t>Document successfully created; Document successfully merged; PDF created; Manually run by labterpadu.unit.uns@gmail.com; Timestamp: Oct 14 2024 4:53 AM</t>
  </si>
  <si>
    <t>1Wg51AUUixJjeqWcBkRmNDy38kX-CXbcr</t>
  </si>
  <si>
    <t>https://drive.google.com/file/d/1Wg51AUUixJjeqWcBkRmNDy38kX-CXbcr/view?usp=drivesdk</t>
  </si>
  <si>
    <t>Document successfully created; Document successfully merged; PDF created; Manually run by labterpadu.unit.uns@gmail.com; Timestamp: Oct 15 2024 5:27 AM</t>
  </si>
  <si>
    <t>1Qf1v064RxEHC5_pEExDZBXTdllile1O1</t>
  </si>
  <si>
    <t>https://drive.google.com/file/d/1Qf1v064RxEHC5_pEExDZBXTdllile1O1/view?usp=drivesdk</t>
  </si>
  <si>
    <t>1w26qtQyHweEjhdGS-umLsvNuNj4eqnD5</t>
  </si>
  <si>
    <t>https://drive.google.com/file/d/1w26qtQyHweEjhdGS-umLsvNuNj4eqnD5/view?usp=drivesdk</t>
  </si>
  <si>
    <t>Document successfully created; Document successfully merged; PDF created; Manually run by labterpadu.unit.uns@gmail.com; Timestamp: Oct 25 2024 2:42 AM</t>
  </si>
  <si>
    <t>Hilmi Yazid</t>
  </si>
  <si>
    <t>D100200141</t>
  </si>
  <si>
    <t>Teknik Sipil / Teknik / Universitas Muhammadiyah Surakarta</t>
  </si>
  <si>
    <t>16oyY752jkUEJ3O-i4gU6iGjrzr15iTAB</t>
  </si>
  <si>
    <t>https://drive.google.com/file/d/16oyY752jkUEJ3O-i4gU6iGjrzr15iTAB/view?usp=drivesdk</t>
  </si>
  <si>
    <t>Document successfully created; Document successfully merged; PDF created; Manually run by labterpadu.unit.uns@gmail.com; Timestamp: Oct 31 2024 5:25 AM</t>
  </si>
  <si>
    <t xml:space="preserve">Rizki Puspawati </t>
  </si>
  <si>
    <t xml:space="preserve">V3722047 </t>
  </si>
  <si>
    <t xml:space="preserve">D3 Farmasi / Sekolah Vokasi / Universitas Sebelas Maret </t>
  </si>
  <si>
    <t>1A1Sdz3v4L3lE2533QN-45drJw4dbrwXX</t>
  </si>
  <si>
    <t>https://drive.google.com/file/d/1A1Sdz3v4L3lE2533QN-45drJw4dbrwXX/view?usp=drivesdk</t>
  </si>
  <si>
    <t>Document successfully created; Document successfully merged; PDF created; Manually run by labterpadu.unit.uns@gmail.com; Timestamp: Nov 5 2024 8:59 PM</t>
  </si>
  <si>
    <t>Aprillia Revathatia Cahyalaguna</t>
  </si>
  <si>
    <t>V3722009</t>
  </si>
  <si>
    <t>D3 Farmasi Sekolah Vokasi Universitas Sebelas Maret</t>
  </si>
  <si>
    <t>19OkqhorYVRjpGqbo5vHQHhR4AVWLZeK-</t>
  </si>
  <si>
    <t>https://drive.google.com/file/d/19OkqhorYVRjpGqbo5vHQHhR4AVWLZeK-/view?usp=drivesdk</t>
  </si>
  <si>
    <t>Document successfully created; Document successfully merged; PDF created; Manually run by labterpadu.unit.uns@gmail.com; Timestamp: Nov 6 2024 10:11 PM</t>
  </si>
  <si>
    <t>Ade Eka Yuniar</t>
  </si>
  <si>
    <t>V43722001</t>
  </si>
  <si>
    <t>Sekolah Vokasi</t>
  </si>
  <si>
    <t>1HNJjXLHX6G3lv8AybQunklzUiit9NkuH</t>
  </si>
  <si>
    <t>https://drive.google.com/file/d/1HNJjXLHX6G3lv8AybQunklzUiit9NkuH/view?usp=drivesdk</t>
  </si>
  <si>
    <t>Document successfully created; Document successfully merged; PDF created; Manually run by labterpadu.unit.uns@gmail.com; Timestamp: Nov 9 2024 2:03 AM</t>
  </si>
  <si>
    <t xml:space="preserve">Dr. Widya Mudyantini, M. Si. </t>
  </si>
  <si>
    <t>UPT Lab Terpadu Div Biologi</t>
  </si>
  <si>
    <t>19RZuEpSU8FWnwG1FLH47fJqn7JNzFZuG</t>
  </si>
  <si>
    <t>https://drive.google.com/file/d/19RZuEpSU8FWnwG1FLH47fJqn7JNzFZuG/view?usp=drivesdk</t>
  </si>
  <si>
    <t>Document successfully created; Document successfully merged; PDF created; Manually run by labterpadu.unit.uns@gmail.com; Timestamp: Nov 22 2024 2:37 AM</t>
  </si>
  <si>
    <t xml:space="preserve">Sindi Nur Rahma Putri </t>
  </si>
  <si>
    <t>V3722053</t>
  </si>
  <si>
    <t>D3 Farmasi/Sekolah Vokasi/UNS</t>
  </si>
  <si>
    <t>12Ccsb1iE5O9U8aL8ly860yzmfV-5dMGI</t>
  </si>
  <si>
    <t>https://drive.google.com/file/d/12Ccsb1iE5O9U8aL8ly860yzmfV-5dMGI/view?usp=drivesdk</t>
  </si>
  <si>
    <t xml:space="preserve">Arfa Fairuziyah Firdausy Divinda Haya </t>
  </si>
  <si>
    <t>M0619010</t>
  </si>
  <si>
    <t xml:space="preserve">S1 Farmasi / FMIPA / UNS </t>
  </si>
  <si>
    <t>1xmmCuMAYv4DP5yTgNp8TnapgN032GsNe</t>
  </si>
  <si>
    <t>https://drive.google.com/file/d/1xmmCuMAYv4DP5yTgNp8TnapgN032GsNe/view?usp=drivesdk</t>
  </si>
  <si>
    <t>Document successfully created; Document successfully merged; PDF created; Manually run by labterpadu.unit.uns@gmail.com; Timestamp: Dec 2 2024 12:28 AM</t>
  </si>
  <si>
    <t>Nadia Octaviani Faiq Salsabila</t>
  </si>
  <si>
    <t>M0321047</t>
  </si>
  <si>
    <t>S1 Kimia/FMIPA/UNS</t>
  </si>
  <si>
    <t>12mhkzUlt87TWffYT7dNr5Lfw7uFfQNrV</t>
  </si>
  <si>
    <t>https://drive.google.com/file/d/12mhkzUlt87TWffYT7dNr5Lfw7uFfQNrV/view?usp=drivesdk</t>
  </si>
  <si>
    <t>Document successfully created; Document successfully merged; PDF created; Manually run by labterpadu.unit.uns@gmail.com; Timestamp: Dec 5 2024 7:27 AM</t>
  </si>
  <si>
    <t>Rizki Puspawati</t>
  </si>
  <si>
    <t>V3722047</t>
  </si>
  <si>
    <t>1jgwudx4wJUpZgIMJn4uv8sxSwfrS34By</t>
  </si>
  <si>
    <t>https://drive.google.com/file/d/1jgwudx4wJUpZgIMJn4uv8sxSwfrS34By/view?usp=drivesdk</t>
  </si>
  <si>
    <t>Document successfully created; Document successfully merged; PDF created; Manually run by labterpadu.unit.uns@gmail.com; Timestamp: Dec 9 2024 10:27 PM</t>
  </si>
  <si>
    <t>Aji Prasetya</t>
  </si>
  <si>
    <t>M0619003</t>
  </si>
  <si>
    <t>Farmasi/MIPA/UNS</t>
  </si>
  <si>
    <t>Annisa &amp; Dendy</t>
  </si>
  <si>
    <t>19KQ5HkoVsVQitpjOYEQVqt7S0yR_uV5O</t>
  </si>
  <si>
    <t>https://drive.google.com/file/d/19KQ5HkoVsVQitpjOYEQVqt7S0yR_uV5O/view?usp=drivesdk</t>
  </si>
  <si>
    <t>Document successfully created; Document successfully merged; PDF created; Manually run by labterpadu.unit.uns@gmail.com; Timestamp: Dec 18 2024 3:51 AM</t>
  </si>
  <si>
    <t>Dendy &amp; Annisa</t>
  </si>
  <si>
    <t>19qcS0uN5lA1kG_162axZadBvw-_hWAcZ</t>
  </si>
  <si>
    <t>https://drive.google.com/file/d/19qcS0uN5lA1kG_162axZadBvw-_hWAcZ/view?usp=drivesdk</t>
  </si>
  <si>
    <t>Document successfully created; Document successfully merged; PDF created; Manually run by labterpadu.unit.uns@gmail.com; Timestamp: Dec 18 2024 3:35 AM</t>
  </si>
  <si>
    <t>Akhmad Faruq Alhikami</t>
  </si>
  <si>
    <t>1r8YnYmiehuppJa5HKunrTOa_o-8dCIq-</t>
  </si>
  <si>
    <t>https://drive.google.com/file/d/1r8YnYmiehuppJa5HKunrTOa_o-8dCIq-/view?usp=drivesdk</t>
  </si>
  <si>
    <t>Document successfully created; Document successfully merged; PDF created; Manually run by labterpadu.unit.uns@gmail.com; Timestamp: Dec 19 2024 10:50 PM</t>
  </si>
  <si>
    <t xml:space="preserve">Muhammad Irgi Maulana </t>
  </si>
  <si>
    <t>V3722035</t>
  </si>
  <si>
    <t>D3 farmasi/ Sekolah Vokasi/ Universitas sebelas maret</t>
  </si>
  <si>
    <t>1qxlcupnJ60VGyoJBXvpE9hutH0epA74X</t>
  </si>
  <si>
    <t>https://drive.google.com/file/d/1qxlcupnJ60VGyoJBXvpE9hutH0epA74X/view?usp=drivesdk</t>
  </si>
  <si>
    <t>Document successfully created; Document successfully merged; PDF created; Manually run by labterpadu.unit.uns@gmail.com; Timestamp: Dec 20 2024 3:05 AM</t>
  </si>
  <si>
    <t>Agus S</t>
  </si>
  <si>
    <t>1zphqDjIDSe4c_SF90brNnfHpD9I9xNDV</t>
  </si>
  <si>
    <t>https://drive.google.com/file/d/1zphqDjIDSe4c_SF90brNnfHpD9I9xNDV/view?usp=drivesdk</t>
  </si>
  <si>
    <t>Document successfully created; Document successfully merged; PDF created; Manually run by labterpadu.unit.uns@gmail.com; Timestamp: Jan 3 2025 3:02 AM</t>
  </si>
  <si>
    <t>Amri abdulah</t>
  </si>
  <si>
    <t>T762208001</t>
  </si>
  <si>
    <t>Teknik mesin/Fakultas Teknik/UNS</t>
  </si>
  <si>
    <t>1SZoGJMlXMNPxOw9G-H6FXmaV6Tr4g7KJ</t>
  </si>
  <si>
    <t>https://drive.google.com/file/d/1SZoGJMlXMNPxOw9G-H6FXmaV6Tr4g7KJ/view?usp=drivesdk</t>
  </si>
  <si>
    <t>Document successfully created; Document successfully merged; PDF created; Manually run by labterpadu.unit.uns@gmail.com; Timestamp: Jan 7 2025 3:35 AM</t>
  </si>
  <si>
    <t>Muhammad Yusuf</t>
  </si>
  <si>
    <t>S1 Teknik Mesin/Teknik/Universitas Jember</t>
  </si>
  <si>
    <t>115eUgmNycnBSeQF8aOTJH6wlNmlAM2xj</t>
  </si>
  <si>
    <t>https://drive.google.com/file/d/115eUgmNycnBSeQF8aOTJH6wlNmlAM2xj/view?usp=drivesdk</t>
  </si>
  <si>
    <t>Document successfully created; Document successfully merged; PDF created; Manually run by labterpadu.unit.uns@gmail.com; Timestamp: Jan 12 2025 10:35 PM</t>
  </si>
  <si>
    <t>1aAELrzdHw6B1TDQ25KWXLu2FPSBM3fK8</t>
  </si>
  <si>
    <t>https://drive.google.com/file/d/1aAELrzdHw6B1TDQ25KWXLu2FPSBM3fK8/view?usp=drivesdk</t>
  </si>
  <si>
    <t>1O5cMqQn6xW1F0lmVAKI9ljd2gu-X1Mix</t>
  </si>
  <si>
    <t>https://drive.google.com/file/d/1O5cMqQn6xW1F0lmVAKI9ljd2gu-X1Mix/view?usp=drivesdk</t>
  </si>
  <si>
    <t>Document successfully created; Document successfully merged; PDF created; Manually run by labterpadu.unit.uns@gmail.com; Timestamp: Jan 22 2025 2:30 AM</t>
  </si>
  <si>
    <t>11yyKq9VW_JO_lP2pMSGUgH-2WoxyaWDK</t>
  </si>
  <si>
    <t>https://drive.google.com/file/d/11yyKq9VW_JO_lP2pMSGUgH-2WoxyaWDK/view?usp=drivesdk</t>
  </si>
  <si>
    <t>Document successfully created; Document successfully merged; PDF created; Manually run by labterpadu.unit.uns@gmail.com; Timestamp: Jan 30 2025 11:27 PM</t>
  </si>
  <si>
    <t>Nabila Permana Syahrani</t>
  </si>
  <si>
    <t>M0621029</t>
  </si>
  <si>
    <t>Farmasi/FMIP/UNS</t>
  </si>
  <si>
    <t>13lVI4lUOvomajnLT74vobiCmxPxx-ceS</t>
  </si>
  <si>
    <t>https://drive.google.com/file/d/13lVI4lUOvomajnLT74vobiCmxPxx-ceS/view?usp=drivesdk</t>
  </si>
  <si>
    <t>Document successfully created; Document successfully merged; PDF created; Manually run by labterpadu.unit.uns@gmail.com; Timestamp: Feb 6 2025 9:51 PM</t>
  </si>
  <si>
    <t>13_OSIyd-CUbJZWt3o6jMwDk3xO2-j0_r</t>
  </si>
  <si>
    <t>https://drive.google.com/file/d/13_OSIyd-CUbJZWt3o6jMwDk3xO2-j0_r/view?usp=drivesdk</t>
  </si>
  <si>
    <t>Document successfully created; Document successfully merged; PDF created; Manually run by labterpadu.unit.uns@gmail.com; Timestamp: Mar 12 2025 5:32 AM</t>
  </si>
  <si>
    <t>PT Ifars</t>
  </si>
  <si>
    <t>1OUNkzRuoqCsOEteENd24CPNn4_DiNuYb</t>
  </si>
  <si>
    <t>https://drive.google.com/file/d/1OUNkzRuoqCsOEteENd24CPNn4_DiNuYb/view?usp=drivesdk</t>
  </si>
  <si>
    <t>Document successfully created; Document successfully merged; PDF created; Manually run by labterpadu.unit.uns@gmail.com; Timestamp: Feb 24 2025 1:37 AM</t>
  </si>
  <si>
    <t>116 Pelatihan</t>
  </si>
  <si>
    <t xml:space="preserve">Catur Pramono </t>
  </si>
  <si>
    <t>T762308001</t>
  </si>
  <si>
    <t xml:space="preserve">S3 Teknik Mesin </t>
  </si>
  <si>
    <t>Pelatihan</t>
  </si>
  <si>
    <t>1x0yPqZLyDUt0UM55iU6zYaxsIOEGBjUB</t>
  </si>
  <si>
    <t>https://drive.google.com/file/d/1x0yPqZLyDUt0UM55iU6zYaxsIOEGBjUB/view?usp=drivesdk</t>
  </si>
  <si>
    <t>Document successfully created; Document successfully merged; PDF created; Manually run by labterpadu.unit.uns@gmail.com; Timestamp: Feb 24 2025 1:38 AM</t>
  </si>
  <si>
    <t>117 Pelatihan</t>
  </si>
  <si>
    <t>Yastutik</t>
  </si>
  <si>
    <t>T652208014</t>
  </si>
  <si>
    <t>S3 Ilmu Pangan UNS</t>
  </si>
  <si>
    <t>1_yhhZN565IUtfHLbZ9LWL-vrmnT3vRvD</t>
  </si>
  <si>
    <t>https://drive.google.com/file/d/1_yhhZN565IUtfHLbZ9LWL-vrmnT3vRvD/view?usp=drivesdk</t>
  </si>
  <si>
    <t>119 Pelatihan</t>
  </si>
  <si>
    <t>Anindya Prakasita Wibowo</t>
  </si>
  <si>
    <t>J520220059</t>
  </si>
  <si>
    <t>S1 Kedokteran Gigi</t>
  </si>
  <si>
    <t>Dendy, Widyan</t>
  </si>
  <si>
    <t>1cHuofNxboSQAzG0kqx3l3hAhueZCXcBj</t>
  </si>
  <si>
    <t>https://drive.google.com/file/d/1cHuofNxboSQAzG0kqx3l3hAhueZCXcBj/view?usp=drivesdk</t>
  </si>
  <si>
    <t>Document successfully created; Document successfully merged; PDF created; Manually run by labterpadu.unit.uns@gmail.com; Timestamp: May 16 2025 3:36 AM</t>
  </si>
  <si>
    <t>120 Pelatihan</t>
  </si>
  <si>
    <t>Beti Cahyaning Astuti</t>
  </si>
  <si>
    <t>T652208004</t>
  </si>
  <si>
    <t>S3 Ilmu Pertanian FP UNS</t>
  </si>
  <si>
    <t>1mKzxZ3wFiwS_GcetCxAQCGCyVKKlOMtE</t>
  </si>
  <si>
    <t>https://drive.google.com/file/d/1mKzxZ3wFiwS_GcetCxAQCGCyVKKlOMtE/view?usp=drivesdk</t>
  </si>
  <si>
    <t>121 Pelatihan</t>
  </si>
  <si>
    <t>UPT Laboratorium FMIPA</t>
  </si>
  <si>
    <t>1jkiE3_h_rrFJ2gTXdDINPnUBL4XYSSWF</t>
  </si>
  <si>
    <t>https://drive.google.com/file/d/1jkiE3_h_rrFJ2gTXdDINPnUBL4XYSSWF/view?usp=drivesdk</t>
  </si>
  <si>
    <t>Document successfully created; Document successfully merged; PDF created; Manually run by labterpadu.unit.uns@gmail.com; Timestamp: May 16 2025 3:37 AM</t>
  </si>
  <si>
    <t>122 Pelatihan</t>
  </si>
  <si>
    <t>Hilma Anzalna</t>
  </si>
  <si>
    <t>J520220079</t>
  </si>
  <si>
    <t>S1 FKG UMS</t>
  </si>
  <si>
    <t>1TxcjUdEUOdw5JEwk0SeLMYVlNWnhj7IQ</t>
  </si>
  <si>
    <t>https://drive.google.com/file/d/1TxcjUdEUOdw5JEwk0SeLMYVlNWnhj7IQ/view?usp=drivesdk</t>
  </si>
  <si>
    <t>Document successfully created; Document successfully merged; PDF created; Manually run by labterpadu.unit.uns@gmail.com; Timestamp: Feb 24 2025 1:39 AM</t>
  </si>
  <si>
    <t>123 Pelatihan</t>
  </si>
  <si>
    <t>S062308004</t>
  </si>
  <si>
    <t>S2 Kimia FMIPA UNS</t>
  </si>
  <si>
    <t>16lMNcK9xnDgPoCFX1gUHmx9P2aAlY4lK</t>
  </si>
  <si>
    <t>https://drive.google.com/file/d/16lMNcK9xnDgPoCFX1gUHmx9P2aAlY4lK/view?usp=drivesdk</t>
  </si>
  <si>
    <t>124 Pelatihan</t>
  </si>
  <si>
    <t>Sri hastuti</t>
  </si>
  <si>
    <t>19710408199702201</t>
  </si>
  <si>
    <t>Upt lab terpadu</t>
  </si>
  <si>
    <t>1BkVzKl8_oNTmNtebxO3WygCoi1jnrEnO</t>
  </si>
  <si>
    <t>https://drive.google.com/file/d/1BkVzKl8_oNTmNtebxO3WygCoi1jnrEnO/view?usp=drivesdk</t>
  </si>
  <si>
    <t>Document successfully created; Document successfully merged; PDF created; Manually run by labterpadu.unit.uns@gmail.com; Timestamp: Mar 13 2025 12:53 AM</t>
  </si>
  <si>
    <t>126 Pelatihan</t>
  </si>
  <si>
    <t>Dr. Nanik Dwi Nurhayati, S.Si, M.Si</t>
  </si>
  <si>
    <t>197211152006042001</t>
  </si>
  <si>
    <t xml:space="preserve"> Pendidikan Kimia UNS </t>
  </si>
  <si>
    <t>1phcw1uEclZdJZn-lp2ZEKDne1pBOq27Y</t>
  </si>
  <si>
    <t>https://drive.google.com/file/d/1phcw1uEclZdJZn-lp2ZEKDne1pBOq27Y/view?usp=drivesdk</t>
  </si>
  <si>
    <t>Document successfully created; Document successfully merged; PDF created; Manually run by labterpadu.unit.uns@gmail.com; Timestamp: Feb 24 2025 1:58 AM</t>
  </si>
  <si>
    <t>Agus S.</t>
  </si>
  <si>
    <t>1TEinXBn0NNl9FYpIl0s6kSXGt72-hbui</t>
  </si>
  <si>
    <t>https://drive.google.com/file/d/1TEinXBn0NNl9FYpIl0s6kSXGt72-hbui/view?usp=drivesdk</t>
  </si>
  <si>
    <t>Document successfully created; Document successfully merged; PDF created; Manually run by labterpadu.unit.uns@gmail.com; Timestamp: Feb 26 2025 10:58 PM</t>
  </si>
  <si>
    <t>Iis Nurhasanah</t>
  </si>
  <si>
    <t>1byoUKMpypeHvv5ts6tgYsY7wZXlWZMzq</t>
  </si>
  <si>
    <t>https://drive.google.com/file/d/1byoUKMpypeHvv5ts6tgYsY7wZXlWZMzq/view?usp=drivesdk</t>
  </si>
  <si>
    <t>Document successfully created; Document successfully merged; PDF created; Manually run by labterpadu.unit.uns@gmail.com; Timestamp: Feb 27 2025 11:16 PM</t>
  </si>
  <si>
    <t>1lHjQq1o74EpJvyxMTRak4hpjbpxEWw-f</t>
  </si>
  <si>
    <t>https://drive.google.com/file/d/1lHjQq1o74EpJvyxMTRak4hpjbpxEWw-f/view?usp=drivesdk</t>
  </si>
  <si>
    <t>Dwi Ayu Pusparini</t>
  </si>
  <si>
    <t>K3321021</t>
  </si>
  <si>
    <t>Pendidikan Kimia / FKIP / UNS</t>
  </si>
  <si>
    <t>1UvT091hla4yM98xq3karTDZ2GAiucgeY</t>
  </si>
  <si>
    <t>https://drive.google.com/file/d/1UvT091hla4yM98xq3karTDZ2GAiucgeY/view?usp=drivesdk</t>
  </si>
  <si>
    <t>Widya Kartika</t>
  </si>
  <si>
    <t>NIP : 2408-014.00.05.05</t>
  </si>
  <si>
    <t>PT Bengawan Synergy Meditech</t>
  </si>
  <si>
    <t>1509OFiTijYdTUGkKbaxDh_A19fB4BdYO</t>
  </si>
  <si>
    <t>https://drive.google.com/file/d/1509OFiTijYdTUGkKbaxDh_A19fB4BdYO/view?usp=drivesdk</t>
  </si>
  <si>
    <t>Document successfully created; Document successfully merged; PDF created; Manually run by labterpadu.unit.uns@gmail.com; Timestamp: Mar 13 2025 11:59 PM</t>
  </si>
  <si>
    <t>Aqila Ekaputri Ghaisani</t>
  </si>
  <si>
    <t>I0421024</t>
  </si>
  <si>
    <t>Teknik Mesin/Fakultas Teknik/UNS</t>
  </si>
  <si>
    <t>18msaV6uE2cHRUTSWn5cT8IoKIdbnrSe0</t>
  </si>
  <si>
    <t>https://drive.google.com/file/d/18msaV6uE2cHRUTSWn5cT8IoKIdbnrSe0/view?usp=drivesdk</t>
  </si>
  <si>
    <t>Document successfully created; Document successfully merged; PDF created; Manually run by labterpadu.unit.uns@gmail.com; Timestamp: Mar 26 2025 10:20 PM</t>
  </si>
  <si>
    <t>Hasbullah</t>
  </si>
  <si>
    <t>Fisika/MIPA/Universitas Lambung Mangkurat</t>
  </si>
  <si>
    <t>1TCYInV7f71tSlYptuOv79tOzLBEb_Ppk</t>
  </si>
  <si>
    <t>https://drive.google.com/file/d/1TCYInV7f71tSlYptuOv79tOzLBEb_Ppk/view?usp=drivesdk</t>
  </si>
  <si>
    <t>Document successfully created; Document successfully merged; PDF created; Manually run by labterpadu.unit.uns@gmail.com; Timestamp: Mar 26 2025 6:15 AM</t>
  </si>
  <si>
    <t>Lutfiani Ainur Nisa</t>
  </si>
  <si>
    <t>Fakultas Teknologi Pertanian/UB</t>
  </si>
  <si>
    <t>18YhDENJBE1iuCdTEDW5fPPML-YXo9qFS</t>
  </si>
  <si>
    <t>https://drive.google.com/file/d/18YhDENJBE1iuCdTEDW5fPPML-YXo9qFS/view?usp=drivesdk</t>
  </si>
  <si>
    <t>Document successfully created; Document successfully merged; PDF created; Manually run by labterpadu.unit.uns@gmail.com; Timestamp: May 7 2025 3:53 AM</t>
  </si>
  <si>
    <t>Rischa Oktaviana Christy P</t>
  </si>
  <si>
    <t>M0621039</t>
  </si>
  <si>
    <t>Farmasi/FMIPA/UNS</t>
  </si>
  <si>
    <t>1oCTJXT6b8EpyzLfEXK6qaut1q6ZAefxj</t>
  </si>
  <si>
    <t>https://drive.google.com/file/d/1oCTJXT6b8EpyzLfEXK6qaut1q6ZAefxj/view?usp=drivesdk</t>
  </si>
  <si>
    <t>Rafida Laili Pujiandari</t>
  </si>
  <si>
    <t>M0621037</t>
  </si>
  <si>
    <t>1tXHLQIYEjTRFsWC3AqQsHc-bOKea0f9M</t>
  </si>
  <si>
    <t>https://drive.google.com/file/d/1tXHLQIYEjTRFsWC3AqQsHc-bOKea0f9M/view?usp=drivesdk</t>
  </si>
  <si>
    <t>Nabila Ayu Azzahra</t>
  </si>
  <si>
    <t>V3722036</t>
  </si>
  <si>
    <t>D3 Farmasi</t>
  </si>
  <si>
    <t>1kDfV-c06GSVCQIJHz5Pthw55qpDsXCp3</t>
  </si>
  <si>
    <t>https://drive.google.com/file/d/1kDfV-c06GSVCQIJHz5Pthw55qpDsXCp3/view?usp=drivesdk</t>
  </si>
  <si>
    <t>Alvyan Naufal Rizandy</t>
  </si>
  <si>
    <t>I0420155</t>
  </si>
  <si>
    <t>18JJ8DZhx6M1y2Cu94V9JcTGZ93ERATQA</t>
  </si>
  <si>
    <t>https://drive.google.com/file/d/18JJ8DZhx6M1y2Cu94V9JcTGZ93ERATQA/view?usp=drivesdk</t>
  </si>
  <si>
    <t>1jkFVrxlsnHANp1O5NN6fVdQIv6EVl2lb</t>
  </si>
  <si>
    <t>https://drive.google.com/file/d/1jkFVrxlsnHANp1O5NN6fVdQIv6EVl2lb/view?usp=drivesdk</t>
  </si>
  <si>
    <t>Document successfully created; Document successfully merged; PDF created; Manually run by labterpadu.unit.uns@gmail.com; Timestamp: May 14 2025 7:40 AM</t>
  </si>
  <si>
    <t>Gaceia Tatha Pramita</t>
  </si>
  <si>
    <t>SMAN 1 Maospati</t>
  </si>
  <si>
    <t>1TYTJHnv9J7gzcQSOTMjq6Sc-jiy1utvC</t>
  </si>
  <si>
    <t>https://drive.google.com/file/d/1TYTJHnv9J7gzcQSOTMjq6Sc-jiy1utvC/view?usp=drivesdk</t>
  </si>
  <si>
    <t>Document successfully created; Document successfully merged; PDF created; Manually run by labterpadu.unit.uns@gmail.com; Timestamp: Jun 2 2025 3:54 AM</t>
  </si>
  <si>
    <t>Fadilah Hasna Khoiriyah</t>
  </si>
  <si>
    <t>M0321022</t>
  </si>
  <si>
    <t>1Gd6ua88yMVM0Lz1bSt_HvsB8ts6gwnQ7</t>
  </si>
  <si>
    <t>https://drive.google.com/file/d/1Gd6ua88yMVM0Lz1bSt_HvsB8ts6gwnQ7/view?usp=drivesdk</t>
  </si>
  <si>
    <t>Document successfully created; Document successfully merged; PDF created; Manually run by labterpadu.unit.uns@gmail.com; Timestamp: May 21 2025 3:19 AM</t>
  </si>
  <si>
    <t>Khairunnisa</t>
  </si>
  <si>
    <t>K3321038</t>
  </si>
  <si>
    <t>1HGI8L2qQlcbK7G65kgeJtOhaBEDmCOZi</t>
  </si>
  <si>
    <t>https://drive.google.com/file/d/1HGI8L2qQlcbK7G65kgeJtOhaBEDmCOZi/view?usp=drivesdk</t>
  </si>
  <si>
    <t>Document successfully created; Document successfully merged; PDF created; Manually run by labterpadu.unit.uns@gmail.com; Timestamp: May 26 2025 1:33 AM</t>
  </si>
  <si>
    <t>Ravita Tia Handayani</t>
  </si>
  <si>
    <t>K3321059</t>
  </si>
  <si>
    <t>1eL3vxtU8Coji7Rp41K30ohq5kSpUvUcX</t>
  </si>
  <si>
    <t>https://drive.google.com/file/d/1eL3vxtU8Coji7Rp41K30ohq5kSpUvUcX/view?usp=drivesdk</t>
  </si>
  <si>
    <t>Rizqon Farisi</t>
  </si>
  <si>
    <t>M0621040</t>
  </si>
  <si>
    <t>1r8fCfLxSSq_U0mPpBHfwt5fOnz4l-ReD</t>
  </si>
  <si>
    <t>https://drive.google.com/file/d/1r8fCfLxSSq_U0mPpBHfwt5fOnz4l-ReD/view?usp=drivesdk</t>
  </si>
  <si>
    <t>Document successfully created; Document successfully merged; PDF created; Manually run by labterpadu.unit.uns@gmail.com; Timestamp: May 26 2025 1:34 AM</t>
  </si>
  <si>
    <t>1vx4guOVVyb_GJQM86SJo99wHT6ur5wkX</t>
  </si>
  <si>
    <t>https://drive.google.com/file/d/1vx4guOVVyb_GJQM86SJo99wHT6ur5wkX/view?usp=drivesdk</t>
  </si>
  <si>
    <t>Kuni Kamaliyah</t>
  </si>
  <si>
    <t>K3321040</t>
  </si>
  <si>
    <t>1Hb5z0qM3NY1NDy43XJVIO2FQ5jPGdTjc</t>
  </si>
  <si>
    <t>https://drive.google.com/file/d/1Hb5z0qM3NY1NDy43XJVIO2FQ5jPGdTjc/view?usp=drivesdk</t>
  </si>
  <si>
    <t>Document successfully created; Document successfully merged; PDF created; Manually run by labterpadu.unit.uns@gmail.com; Timestamp: May 27 2025 9:56 PM</t>
  </si>
  <si>
    <t>1ubWZ1PA-kGnhynEvpUZ8VTODoh2GMimt</t>
  </si>
  <si>
    <t>https://drive.google.com/file/d/1ubWZ1PA-kGnhynEvpUZ8VTODoh2GMimt/view?usp=drivesdk</t>
  </si>
  <si>
    <t>Talika Alunk Henrirallez</t>
  </si>
  <si>
    <t>S1 Farmasi/STIKES Bhakti Husada Mulia</t>
  </si>
  <si>
    <t>1kd02KfEfb2Mvvuj09Jli6uG-NiRAmnb1</t>
  </si>
  <si>
    <t>https://drive.google.com/file/d/1kd02KfEfb2Mvvuj09Jli6uG-NiRAmnb1/view?usp=drivesdk</t>
  </si>
  <si>
    <t>Sugiarti</t>
  </si>
  <si>
    <t>1cxBrPIBnkqhnTEPWhh-QY-DSFKX6xoXZ</t>
  </si>
  <si>
    <t>https://drive.google.com/file/d/1cxBrPIBnkqhnTEPWhh-QY-DSFKX6xoXZ/view?usp=drivesdk</t>
  </si>
  <si>
    <t>1c3Ir-_sdkoNfaBEhe-6zwkQKRnd5hPIS</t>
  </si>
  <si>
    <t>https://drive.google.com/file/d/1c3Ir-_sdkoNfaBEhe-6zwkQKRnd5hPIS/view?usp=drivesdk</t>
  </si>
  <si>
    <t>Cendikia N H</t>
  </si>
  <si>
    <t>1FMQjId6QYkKoVXLTsTbVN2sHyQXEJ0Y3</t>
  </si>
  <si>
    <t>https://drive.google.com/file/d/1FMQjId6QYkKoVXLTsTbVN2sHyQXEJ0Y3/view?usp=drivesdk</t>
  </si>
  <si>
    <t>1DSg-udFv7E-lbsyEWGHVYY-iC2DwoonG</t>
  </si>
  <si>
    <t>https://drive.google.com/file/d/1DSg-udFv7E-lbsyEWGHVYY-iC2DwoonG/view?usp=drivesdk</t>
  </si>
  <si>
    <t>Document successfully created; Document successfully merged; PDF created; Manually run by labterpadu.unit.uns@gmail.com; Timestamp: Jun 11 2025 9:08 PM</t>
  </si>
  <si>
    <t>Rizka Widya Maharani</t>
  </si>
  <si>
    <t>K3321062</t>
  </si>
  <si>
    <t>Widyan dan Roshid</t>
  </si>
  <si>
    <t>1nEMzIGWFbzJLL_lh6b0hXD3fbARTBeq3</t>
  </si>
  <si>
    <t>https://drive.google.com/file/d/1nEMzIGWFbzJLL_lh6b0hXD3fbARTBeq3/view?usp=drivesdk</t>
  </si>
  <si>
    <t>Rizqi Apriliyani</t>
  </si>
  <si>
    <t>M0321064</t>
  </si>
  <si>
    <t>1VvPMwhbRXuLws5BjtcVKqIpNfuSY7Qse</t>
  </si>
  <si>
    <t>https://drive.google.com/file/d/1VvPMwhbRXuLws5BjtcVKqIpNfuSY7Qse/view?usp=drivesdk</t>
  </si>
  <si>
    <t>Document successfully created; Document successfully merged; PDF created; Manually run by labterpadu.unit.uns@gmail.com; Timestamp: Jun 17 2025 4:35 AM</t>
  </si>
  <si>
    <t>Farrel Yoga</t>
  </si>
  <si>
    <t>I021055</t>
  </si>
  <si>
    <t>1BCZH-ugdC3G2pHP2V0Wivo9BC3D3BgBi</t>
  </si>
  <si>
    <t>https://drive.google.com/file/d/1BCZH-ugdC3G2pHP2V0Wivo9BC3D3BgBi/view?usp=drivesdk</t>
  </si>
  <si>
    <t>Document successfully created; Document successfully merged; PDF created; Manually run by labterpadu.unit.uns@gmail.com; Timestamp: Jun 20 2025 5:25 AM</t>
  </si>
  <si>
    <t>Revian Alifino Revaza</t>
  </si>
  <si>
    <t>M0321060</t>
  </si>
  <si>
    <t>1Ogt6GSXUxovq7JpyTnQYeelFPhT0OSWJ</t>
  </si>
  <si>
    <t>https://drive.google.com/file/d/1Ogt6GSXUxovq7JpyTnQYeelFPhT0OSWJ/view?usp=drivesdk</t>
  </si>
  <si>
    <t>Dianita W</t>
  </si>
  <si>
    <t>1w-sQt643a6kXUtbuiX0VhSChAt0ZutY3</t>
  </si>
  <si>
    <t>https://drive.google.com/file/d/1w-sQt643a6kXUtbuiX0VhSChAt0ZutY3/view?usp=drivesdk</t>
  </si>
  <si>
    <t>Document successfully created; Document successfully merged; PDF created; Manually run by labterpadu.unit.uns@gmail.com; Timestamp: Jun 20 2025 5:26 AM</t>
  </si>
  <si>
    <t>1MHQg1jeMHrwC21VESBXf8l9MUFvq86hT</t>
  </si>
  <si>
    <t>https://drive.google.com/file/d/1MHQg1jeMHrwC21VESBXf8l9MUFvq86hT/view?usp=drivesdk</t>
  </si>
  <si>
    <t>1Sim_3VDB9n_kkrZ6W4DKHHaKUFNMhjnq</t>
  </si>
  <si>
    <t>https://drive.google.com/file/d/1Sim_3VDB9n_kkrZ6W4DKHHaKUFNMhjnq/view?usp=drivesdk</t>
  </si>
  <si>
    <t>Document successfully created; Document successfully merged; PDF created; Manually run by labterpadu.unit.uns@gmail.com; Timestamp: Jun 30 2025 1:03 AM</t>
  </si>
  <si>
    <t>18aGHYw-YkyNUR1KP_Ez7IcKlGP_AQDCA</t>
  </si>
  <si>
    <t>https://drive.google.com/file/d/18aGHYw-YkyNUR1KP_Ez7IcKlGP_AQDCA/view?usp=drivesdk</t>
  </si>
  <si>
    <t>Evelyn Benedikta Sutanto</t>
  </si>
  <si>
    <t>M0622023</t>
  </si>
  <si>
    <t>1VL1TKandXJM925W70tNT6LWuaBp8jTJ5</t>
  </si>
  <si>
    <t>https://drive.google.com/file/d/1VL1TKandXJM925W70tNT6LWuaBp8jTJ5/view?usp=drivesdk</t>
  </si>
  <si>
    <t>Document successfully created; Document successfully merged; PDF created; Manually run by labterpadu.unit.uns@gmail.com; Timestamp: Jul 1 2025 7:35 AM</t>
  </si>
  <si>
    <t>S1-Kimia/FMIPA/UNS</t>
  </si>
  <si>
    <t>1vCOr8QOyeZZMZiW-57-lMwk9prZ-RVF-</t>
  </si>
  <si>
    <t>https://drive.google.com/file/d/1vCOr8QOyeZZMZiW-57-lMwk9prZ-RVF-/view?usp=drivesdk</t>
  </si>
  <si>
    <t>Document successfully created; Document successfully merged; PDF created; Manually run by labterpadu.unit.uns@gmail.com; Timestamp: Jul 3 2025 3:41 AM</t>
  </si>
  <si>
    <t>Orien Prilita</t>
  </si>
  <si>
    <t>M0216066</t>
  </si>
  <si>
    <t>Fisika/MIPA/UNS</t>
  </si>
  <si>
    <t>1ELZhfEJbEPB4Rc3P9E5BczCQjp869_Qj</t>
  </si>
  <si>
    <t>https://drive.google.com/file/d/1ELZhfEJbEPB4Rc3P9E5BczCQjp869_Qj/view?usp=drivesdk</t>
  </si>
  <si>
    <t>1pI5dvLHLu5rSfZ7d7ZnOuqECPnjDgTPU</t>
  </si>
  <si>
    <t>https://drive.google.com/file/d/1pI5dvLHLu5rSfZ7d7ZnOuqECPnjDgTPU/view?usp=drivesdk</t>
  </si>
  <si>
    <t>Document successfully created; Document successfully merged; PDF created; Manually run by labterpadu.unit.uns@gmail.com; Timestamp: Jul 7 2025 7:35 AM</t>
  </si>
  <si>
    <t>Youstiana Dwi Rusita</t>
  </si>
  <si>
    <t>23/524275/PFA/00320</t>
  </si>
  <si>
    <t>Universitas Gajah Mada</t>
  </si>
  <si>
    <t>1K2xlPUqxzjO6BR9GaAkUb6TDCS6TOltR</t>
  </si>
  <si>
    <t>https://drive.google.com/file/d/1K2xlPUqxzjO6BR9GaAkUb6TDCS6TOltR/view?usp=drivesdk</t>
  </si>
  <si>
    <t>14w5JuH-poCj0uBFI1_uhMLns4D45vdYy</t>
  </si>
  <si>
    <t>https://drive.google.com/file/d/14w5JuH-poCj0uBFI1_uhMLns4D45vdYy/view?usp=drivesdk</t>
  </si>
  <si>
    <t>Document successfully created; Document successfully merged; PDF created; Manually run by labterpadu.unit.uns@gmail.com; Timestamp: Jul 9 2025 3:11 AM</t>
  </si>
  <si>
    <t>Ashrifathia Haifani</t>
  </si>
  <si>
    <t>M0622011</t>
  </si>
  <si>
    <t>1qoNbO6GEptvRjujA4cJlvCwbKT4EEz-u</t>
  </si>
  <si>
    <t>https://drive.google.com/file/d/1qoNbO6GEptvRjujA4cJlvCwbKT4EEz-u/view?usp=drivesdk</t>
  </si>
  <si>
    <t>Document successfully created; Document successfully merged; PDF created; Manually run by labterpadu.unit.uns@gmail.com; Timestamp: Jul 9 2025 3:12 AM</t>
  </si>
  <si>
    <t>Aan Kartika Fitirani</t>
  </si>
  <si>
    <t>K3321001</t>
  </si>
  <si>
    <t>1Vex1qFh4-g5Xhktvd-FBctRurWTSKQeI</t>
  </si>
  <si>
    <t>https://drive.google.com/file/d/1Vex1qFh4-g5Xhktvd-FBctRurWTSKQeI/view?usp=drivesdk</t>
  </si>
  <si>
    <t>Rifkarosita Putri Ginaris</t>
  </si>
  <si>
    <t>0604059401</t>
  </si>
  <si>
    <t>S1 Farmasi/ STIKES Tujuh Belas</t>
  </si>
  <si>
    <t>1e2W1R9BlG7TvCeqnZteV1JRWqsG9U_yv</t>
  </si>
  <si>
    <t>https://drive.google.com/file/d/1e2W1R9BlG7TvCeqnZteV1JRWqsG9U_yv/view?usp=drivesdk</t>
  </si>
  <si>
    <t>Document successfully created; Document successfully merged; PDF created; Manually run by labterpadu.unit.uns@gmail.com; Timestamp: Jul 10 2025 10:50 PM</t>
  </si>
  <si>
    <t>1v6X6-XaKDyMB49Hwtsf0urhMEUZTwNiR</t>
  </si>
  <si>
    <t>https://drive.google.com/file/d/1v6X6-XaKDyMB49Hwtsf0urhMEUZTwNiR/view?usp=drivesdk</t>
  </si>
  <si>
    <t>1_VZyJnpXyQ76qo7xuH0J2JXaBUXYo7b2</t>
  </si>
  <si>
    <t>https://drive.google.com/file/d/1_VZyJnpXyQ76qo7xuH0J2JXaBUXYo7b2/view?usp=drivesdk</t>
  </si>
  <si>
    <t>Document successfully created; Document successfully merged; PDF created; Manually run by labterpadu.unit.uns@gmail.com; Timestamp: Aug 25 2025 4:12 AM</t>
  </si>
  <si>
    <t>1b1uyEkRR_1U7KQCtvE6xCjecB87BH3eG</t>
  </si>
  <si>
    <t>https://drive.google.com/file/d/1b1uyEkRR_1U7KQCtvE6xCjecB87BH3eG/view?usp=drivesdk</t>
  </si>
  <si>
    <t>Document successfully created; Document successfully merged; PDF created; Manually run by labterpadu.unit.uns@gmail.com; Timestamp: Jul 15 2025 6:25 AM</t>
  </si>
  <si>
    <t>Ryan Fauzy</t>
  </si>
  <si>
    <t>M0622066</t>
  </si>
  <si>
    <t>S-1 Farmasi/ FMIPA/ Universitas Sebelas Maret</t>
  </si>
  <si>
    <t>1DCar9oy89cJn-gYVHP6e5-ScbzSKqtWe</t>
  </si>
  <si>
    <t>https://drive.google.com/file/d/1DCar9oy89cJn-gYVHP6e5-ScbzSKqtWe/view?usp=drivesdk</t>
  </si>
  <si>
    <t>Document successfully created; Document successfully merged; PDF created; Manually run by labterpadu.unit.uns@gmail.com; Timestamp: Jul 23 2025 11:18 PM</t>
  </si>
  <si>
    <t>M0622067</t>
  </si>
  <si>
    <t>1qbjMiffCIiC9btuCAG4y7oVyTuhhLhQ-</t>
  </si>
  <si>
    <t>https://drive.google.com/file/d/1qbjMiffCIiC9btuCAG4y7oVyTuhhLhQ-/view?usp=drivesdk</t>
  </si>
  <si>
    <t>Document successfully created; Document successfully merged; PDF created; Manually run by labterpadu.unit.uns@gmail.com; Timestamp: Jul 31 2025 5:13 AM</t>
  </si>
  <si>
    <t>17CQeDJCDb9ZXB0VWIPMXY1FauGxv_sQo</t>
  </si>
  <si>
    <t>https://drive.google.com/file/d/17CQeDJCDb9ZXB0VWIPMXY1FauGxv_sQo/view?usp=drivesdk</t>
  </si>
  <si>
    <t>Document successfully created; Document successfully merged; PDF created; Manually run by labterpadu.unit.uns@gmail.com; Timestamp: Aug 5 2025 5:46 AM</t>
  </si>
  <si>
    <t>Dzakiyach Aufa Furqony</t>
  </si>
  <si>
    <t>K3322031</t>
  </si>
  <si>
    <t>152CuccZK_qOSJ__1_60d_R7WxbkYFDQ2</t>
  </si>
  <si>
    <t>https://drive.google.com/file/d/152CuccZK_qOSJ__1_60d_R7WxbkYFDQ2/view?usp=drivesdk</t>
  </si>
  <si>
    <t>1sqYyVui5scXxZyphhB_qO7LQpNEf6N6f</t>
  </si>
  <si>
    <t>https://drive.google.com/file/d/1sqYyVui5scXxZyphhB_qO7LQpNEf6N6f/view?usp=drivesdk</t>
  </si>
  <si>
    <t>1pWQsLdFA56gf4u4RkM50PBphnHv8klhY</t>
  </si>
  <si>
    <t>https://drive.google.com/file/d/1pWQsLdFA56gf4u4RkM50PBphnHv8klhY/view?usp=drivesdk</t>
  </si>
  <si>
    <t>Document successfully created; Document successfully merged; PDF created; Manually run by labterpadu.unit.uns@gmail.com; Timestamp: Aug 25 2025 4:13 AM</t>
  </si>
  <si>
    <t>Anida Faizatur Rahmah</t>
  </si>
  <si>
    <t>K3322014</t>
  </si>
  <si>
    <t>1Cghz1trKbC5cEVVPKj9J0tNwgHDgowVh</t>
  </si>
  <si>
    <t>https://drive.google.com/file/d/1Cghz1trKbC5cEVVPKj9J0tNwgHDgowVh/view?usp=drivesdk</t>
  </si>
  <si>
    <t>Document successfully created; Document successfully merged; PDF created; Manually run by labterpadu.unit.uns@gmail.com; Timestamp: Aug 26 2025 2:38 AM</t>
  </si>
  <si>
    <t>Faradila Putri Dewinta Azzahra</t>
  </si>
  <si>
    <t>M0322039</t>
  </si>
  <si>
    <t>18jQzu-oRtteVx7hmJ38OGxdCS5aznfFB</t>
  </si>
  <si>
    <t>https://drive.google.com/file/d/18jQzu-oRtteVx7hmJ38OGxdCS5aznfFB/view?usp=drivesdk</t>
  </si>
  <si>
    <t>Document successfully created; Document successfully merged; PDF created; Manually run by labterpadu.unit.uns@gmail.com; Timestamp: Aug 26 2025 2:40 AM</t>
  </si>
  <si>
    <t>Suhendro Trinugroho</t>
  </si>
  <si>
    <t>T752202004</t>
  </si>
  <si>
    <t>Doktor/Teknik/UNS</t>
  </si>
  <si>
    <t>17zIbOjpGWKU5e-EctOxNQ7hhmGAMMX4z</t>
  </si>
  <si>
    <t>https://drive.google.com/file/d/17zIbOjpGWKU5e-EctOxNQ7hhmGAMMX4z/view?usp=drivesdk</t>
  </si>
  <si>
    <t>Document successfully created; Document successfully merged; PDF created; Manually run by labterpadu.unit.uns@gmail.com; Timestamp: Aug 27 2025 5:05 AM</t>
  </si>
  <si>
    <t>Agnes Sabila Dekatrin Budi Susanti</t>
  </si>
  <si>
    <t>K3322004</t>
  </si>
  <si>
    <t>Pendidikan Kimia, Fakultas Keguruan dan Ilmu Pendidikan, Universitas Sebelas Maret Surakarta</t>
  </si>
  <si>
    <t>1eziSkfOZyAHONqNmVNZzUyQj1VeHzKe7</t>
  </si>
  <si>
    <t>https://drive.google.com/file/d/1eziSkfOZyAHONqNmVNZzUyQj1VeHzKe7/view?usp=drivesdk</t>
  </si>
  <si>
    <r>
      <rPr/>
      <t xml:space="preserve">Dr. rer. nat. Maulidan Firdaus, S.Si., </t>
    </r>
    <r>
      <rPr>
        <color rgb="FF1155CC"/>
        <u/>
      </rPr>
      <t>M.Sc</t>
    </r>
  </si>
  <si>
    <t>1gqZWmtBXRnsGYsRHgvZtL8BhqKuaS81R</t>
  </si>
  <si>
    <t>https://drive.google.com/file/d/1gqZWmtBXRnsGYsRHgvZtL8BhqKuaS81R/view?usp=drivesdk</t>
  </si>
  <si>
    <t>Document successfully created; Document successfully merged; PDF created; Manually run by labterpadu.unit.uns@gmail.com; Timestamp: Sep 3 2025 10:41 PM</t>
  </si>
  <si>
    <t>apt. Yetti Hariningsih, M. Farm.</t>
  </si>
  <si>
    <t>Universitas An Nasher</t>
  </si>
  <si>
    <t>12RA7KOXfF17CA-olPqo1Mc77dS0qaZdZ</t>
  </si>
  <si>
    <t>https://drive.google.com/file/d/12RA7KOXfF17CA-olPqo1Mc77dS0qaZdZ/view?usp=drivesdk</t>
  </si>
  <si>
    <t>Document successfully created; Document successfully merged; PDF created; Manually run by labterpadu.unit.uns@gmail.com; Timestamp: Sep 10 2025 2:07 AM</t>
  </si>
  <si>
    <t>Stevy S</t>
  </si>
  <si>
    <t>1iry96pejknw92QU5Y70udw2UbyQKI8gf</t>
  </si>
  <si>
    <t>https://drive.google.com/file/d/1iry96pejknw92QU5Y70udw2UbyQKI8gf/view?usp=drivesdk</t>
  </si>
  <si>
    <t>Document successfully created; Document successfully merged; PDF created; Manually run by labterpadu.unit.uns@gmail.com; Timestamp: Sep 11 2025 4:30 AM</t>
  </si>
  <si>
    <t>1lKcMfetoYJlVdYpHcCCuK3cEskwXqInR</t>
  </si>
  <si>
    <t>https://drive.google.com/file/d/1lKcMfetoYJlVdYpHcCCuK3cEskwXqInR/view?usp=drivesdk</t>
  </si>
  <si>
    <t>Document successfully created; Document successfully merged; PDF created; Manually run by labterpadu.unit.uns@gmail.com; Timestamp: Sep 17 2025 5:11 AM</t>
  </si>
  <si>
    <t>1W5fd8gxCrktWon3mwvUiSjMhg7ij1Ooe</t>
  </si>
  <si>
    <t>https://drive.google.com/file/d/1W5fd8gxCrktWon3mwvUiSjMhg7ij1Ooe/view?usp=drivesdk</t>
  </si>
  <si>
    <t>Mei Suhartono</t>
  </si>
  <si>
    <t>1HbIzCTGB91qa9hIv4CNRksYq1qVhrxWm</t>
  </si>
  <si>
    <t>https://drive.google.com/file/d/1HbIzCTGB91qa9hIv4CNRksYq1qVhrxWm/view?usp=drivesdk</t>
  </si>
  <si>
    <t>Document successfully created; Document successfully merged; PDF created; Manually run by labterpadu.unit.uns@gmail.com; Timestamp: Oct 2 2025 3:57 AM</t>
  </si>
  <si>
    <t>1217gmrrnl9fKFYNw-UHmndYGs9RjRlUj</t>
  </si>
  <si>
    <t>https://drive.google.com/file/d/1217gmrrnl9fKFYNw-UHmndYGs9RjRlUj/view?usp=drivesdk</t>
  </si>
  <si>
    <t>1cGGrN_GD5nLRMyMuyQ0P2HCljlPvlJj7</t>
  </si>
  <si>
    <t>https://drive.google.com/file/d/1cGGrN_GD5nLRMyMuyQ0P2HCljlPvlJj7/view?usp=drivesdk</t>
  </si>
  <si>
    <t>Document successfully created; Document successfully merged; PDF created; Manually run by labterpadu.unit.uns@gmail.com; Timestamp: Oct 2 2025 3:58 AM</t>
  </si>
  <si>
    <t>1JjNZpNFXiTZf8bVn4kH1cZUenIQbyqHN</t>
  </si>
  <si>
    <t>https://drive.google.com/file/d/1JjNZpNFXiTZf8bVn4kH1cZUenIQbyqHN/view?usp=drivesdk</t>
  </si>
  <si>
    <t>1gVEBhI-ioTOrY-mrlMPQvOKfTE2lX3QT</t>
  </si>
  <si>
    <t>https://drive.google.com/file/d/1gVEBhI-ioTOrY-mrlMPQvOKfTE2lX3QT/view?usp=drivesdk</t>
  </si>
  <si>
    <t>Rafli rinaldi</t>
  </si>
  <si>
    <t>M0622056</t>
  </si>
  <si>
    <t>Farmasi/FMIPA/Universitas sebelas maret</t>
  </si>
  <si>
    <t>1hrq0vyT9yJk3zImz-Dki12rEx_69W7La</t>
  </si>
  <si>
    <t>https://drive.google.com/file/d/1hrq0vyT9yJk3zImz-Dki12rEx_69W7La/view?usp=drivesdk</t>
  </si>
  <si>
    <t>Document successfully created; Document successfully merged; PDF created; Manually run by labterpadu.unit.uns@gmail.com; Timestamp: Oct 13 2025 9:29 PM</t>
  </si>
  <si>
    <t>Godeliva Adriani</t>
  </si>
  <si>
    <t>Umum</t>
  </si>
  <si>
    <t>1C1CrXUoNjUAd29j0UKiTGrcPwSgTFNa3</t>
  </si>
  <si>
    <t>https://drive.google.com/file/d/1C1CrXUoNjUAd29j0UKiTGrcPwSgTFNa3/view?usp=drivesdk</t>
  </si>
  <si>
    <t>Document successfully created; Document successfully merged; PDF created; Manually run by labterpadu.unit.uns@gmail.com; Timestamp: Oct 13 2025 9:30 PM</t>
  </si>
  <si>
    <t xml:space="preserve">Aura Raudhatul Jannah </t>
  </si>
  <si>
    <t xml:space="preserve">J520220074 </t>
  </si>
  <si>
    <t xml:space="preserve">Kedokteran Gigi / Kedokteran Gigi / Universitas Muhammadiyah Surakarta </t>
  </si>
  <si>
    <t>1MDI7xR7pyG4ZiRZCK3XOqHspQCdXX9NL</t>
  </si>
  <si>
    <t>https://drive.google.com/file/d/1MDI7xR7pyG4ZiRZCK3XOqHspQCdXX9NL/view?usp=drivesdk</t>
  </si>
  <si>
    <t>NAURA KAYANA HANANIA</t>
  </si>
  <si>
    <t>SMA NEGERI 1 SURAKARTA</t>
  </si>
  <si>
    <t>1XoPtNIvbQBsNbt_lc8Veuiy9n6enuinW</t>
  </si>
  <si>
    <t>https://drive.google.com/file/d/1XoPtNIvbQBsNbt_lc8Veuiy9n6enuinW/view?usp=drivesdk</t>
  </si>
  <si>
    <t>PT IFARS PHARMACEUTICAL LABORATORIES</t>
  </si>
  <si>
    <t>1tPm-qUIZa-hkMrMTq0cV_vcRBc2h2z5c</t>
  </si>
  <si>
    <t>https://drive.google.com/file/d/1tPm-qUIZa-hkMrMTq0cV_vcRBc2h2z5c/view?usp=drivesdk</t>
  </si>
  <si>
    <t>Renaldi Noaf Pratama</t>
  </si>
  <si>
    <t>Teknologi Industri Pertanian/Fakultas Pertanian/Universitas Lampung</t>
  </si>
  <si>
    <t>1QpmvCIQrk84GatY4n3WVjvNMUuyluhe_</t>
  </si>
  <si>
    <t>https://drive.google.com/file/d/1QpmvCIQrk84GatY4n3WVjvNMUuyluhe_/view?usp=drivesdk</t>
  </si>
  <si>
    <t>1e4mKnssjatHQ8d1_bVyTHYPVcH-gsfxW</t>
  </si>
  <si>
    <t>https://drive.google.com/file/d/1e4mKnssjatHQ8d1_bVyTHYPVcH-gsfxW/view?usp=drivesdk</t>
  </si>
  <si>
    <t>Document successfully created; Document successfully merged; PDF created; Manually run by labterpadu.unit.uns@gmail.com; Timestamp: Oct 15 2025 3:24 AM</t>
  </si>
  <si>
    <t xml:space="preserve">PSA Zeta Potensial </t>
  </si>
  <si>
    <t>1jhfkBUcqBEYNpAfTs0TZchiHcAlpim_D</t>
  </si>
  <si>
    <t>https://drive.google.com/file/d/1jhfkBUcqBEYNpAfTs0TZchiHcAlpim_D/view?usp=drivesdk</t>
  </si>
  <si>
    <t>M Ibnu R</t>
  </si>
  <si>
    <t>1l-AWwFEofQa0loVs28exKRIS8uagUT3R</t>
  </si>
  <si>
    <t>https://drive.google.com/file/d/1l-AWwFEofQa0loVs28exKRIS8uagUT3R/view?usp=drivesdk</t>
  </si>
  <si>
    <t>Document successfully created; Document successfully merged; PDF created; Manually run by labterpadu.unit.uns@gmail.com; Timestamp: Oct 27 2025 4:56 AM</t>
  </si>
  <si>
    <t>Oktovin</t>
  </si>
  <si>
    <t>1kSKhMZ5mnrmmDejIAH8yMpdfY8VYeUq2</t>
  </si>
  <si>
    <t>https://drive.google.com/file/d/1kSKhMZ5mnrmmDejIAH8yMpdfY8VYeUq2/view?usp=drivesdk</t>
  </si>
  <si>
    <t>1CyfVIC9lgj4StHdM2w3u3akRpzpYFZev</t>
  </si>
  <si>
    <t>https://drive.google.com/file/d/1CyfVIC9lgj4StHdM2w3u3akRpzpYFZev/view?usp=drivesdk</t>
  </si>
  <si>
    <t>Document successfully created; Document successfully merged; PDF created; Manually run by labterpadu.unit.uns@gmail.com; Timestamp: Oct 28 2025 5:24 AM</t>
  </si>
  <si>
    <t>1oZ_xDYdjgHdaVYNQ6UswPvd4AZlhrMmL</t>
  </si>
  <si>
    <t>https://drive.google.com/file/d/1oZ_xDYdjgHdaVYNQ6UswPvd4AZlhrMmL/view?usp=drivesdk</t>
  </si>
  <si>
    <t>Ummi Hani Puspaningrum</t>
  </si>
  <si>
    <t>S902502005</t>
  </si>
  <si>
    <t>S2 Biosains/FMIPA/UNS</t>
  </si>
  <si>
    <t>1NUV5Tr_l5QF1LpmOlpftyZENpVpMDDCL</t>
  </si>
  <si>
    <t>https://drive.google.com/file/d/1NUV5Tr_l5QF1LpmOlpftyZENpVpMDDCL/view?usp=drivesdk</t>
  </si>
  <si>
    <t>Document successfully created; Document successfully merged; PDF created; Manually run by labterpadu.unit.uns@gmail.com; Timestamp: Oct 28 2025 10:46 PM</t>
  </si>
  <si>
    <t>1hylFwp-IsH7ALynKhtHCTKj2VF6Kkmi_</t>
  </si>
  <si>
    <t>https://drive.google.com/file/d/1hylFwp-IsH7ALynKhtHCTKj2VF6Kkmi_/view?usp=drivesdk</t>
  </si>
  <si>
    <t>Document successfully created; Document successfully merged; PDF created; Manually run by labterpadu.unit.uns@gmail.com; Timestamp: Oct 29 2025 12:30 AM</t>
  </si>
  <si>
    <t>Laelatul Fadilah</t>
  </si>
  <si>
    <t>K3322060</t>
  </si>
  <si>
    <t>1e8qyOZoJeXA7UpyKmncpuE3Mhuhfe0gJ</t>
  </si>
  <si>
    <t>https://drive.google.com/file/d/1e8qyOZoJeXA7UpyKmncpuE3Mhuhfe0gJ/view?usp=drivesdk</t>
  </si>
  <si>
    <t>Document successfully created; Document successfully merged; PDF created; Manually run by labterpadu.unit.uns@gmail.com; Timestamp: Nov 3 2025 5:08 AM</t>
  </si>
  <si>
    <t>1DPUiAVJ8eRsJ04ep_bXqkk8qwrO_Lpei</t>
  </si>
  <si>
    <t>https://drive.google.com/file/d/1DPUiAVJ8eRsJ04ep_bXqkk8qwrO_Lpei/view?usp=drivesdk</t>
  </si>
  <si>
    <t>1xGBtlZyJBhFy8UptoMRsq_-wPDDk_9xW</t>
  </si>
  <si>
    <t>https://drive.google.com/file/d/1xGBtlZyJBhFy8UptoMRsq_-wPDDk_9xW/view?usp=drivesdk</t>
  </si>
  <si>
    <t>Rafli Rinaldi</t>
  </si>
  <si>
    <t>1qOqRTbmz0_yp-1SdFvtpeBIJsUk5-lPO</t>
  </si>
  <si>
    <t>https://drive.google.com/file/d/1qOqRTbmz0_yp-1SdFvtpeBIJsUk5-lPO/view?usp=drivesdk</t>
  </si>
  <si>
    <t>Document successfully created; Document successfully merged; PDF created; Manually run by labterpadu.unit.uns@gmail.com; Timestamp: Nov 4 2025 11:13 PM</t>
  </si>
  <si>
    <t>132G6q2YxgszE9lEYHA-mhLCWqFKeS-PV</t>
  </si>
  <si>
    <t>https://drive.google.com/file/d/132G6q2YxgszE9lEYHA-mhLCWqFKeS-PV/view?usp=drivesdk</t>
  </si>
  <si>
    <t>Wahyu Febrilia</t>
  </si>
  <si>
    <t>K3319078</t>
  </si>
  <si>
    <t>1qqCw1CG7O7tiNYmcD9vBps6eXQEylYqy</t>
  </si>
  <si>
    <t>https://drive.google.com/file/d/1qqCw1CG7O7tiNYmcD9vBps6eXQEylYqy/view?usp=drivesdk</t>
  </si>
  <si>
    <t>Document successfully created; Document successfully merged; PDF created; Manually run by labterpadu.unit.uns@gmail.com; Timestamp: Nov 7 2025 2:14 AM</t>
  </si>
  <si>
    <t>1ZVhFMbr5nz-6HJQ7KXVo7i-MhbPE9yrn</t>
  </si>
  <si>
    <t>https://drive.google.com/file/d/1ZVhFMbr5nz-6HJQ7KXVo7i-MhbPE9yrn/view?usp=drivesdk</t>
  </si>
  <si>
    <t>Document successfully created; Document successfully merged; PDF created; Manually run by labterpadu.unit.uns@gmail.com; Timestamp: Nov 23 2025 8:50 PM</t>
  </si>
  <si>
    <r>
      <rPr>
        <rFont val="&quot;Times New Roman&quot;, serif"/>
        <color rgb="FF000000"/>
        <sz val="12.0"/>
      </rPr>
      <t>Tanggal Map Keluar</t>
    </r>
  </si>
  <si>
    <r>
      <rPr>
        <rFont val="&quot;Times New Roman&quot;, serif"/>
        <color rgb="FF000000"/>
        <sz val="12.0"/>
      </rPr>
      <t>Hari, Tanggal pembuatan rekap</t>
    </r>
  </si>
  <si>
    <r>
      <rPr>
        <rFont val="&quot;Times New Roman&quot;, serif"/>
        <color rgb="FF000000"/>
        <sz val="12.0"/>
      </rPr>
      <t>Pembuat Rekap</t>
    </r>
  </si>
  <si>
    <r>
      <rPr>
        <rFont val="&quot;Times New Roman&quot;, serif"/>
        <color rgb="FF000000"/>
        <sz val="12.0"/>
      </rPr>
      <t>Agenda</t>
    </r>
  </si>
  <si>
    <r>
      <rPr>
        <rFont val="&quot;Times New Roman&quot;, serif"/>
        <color rgb="FF000000"/>
        <sz val="12.0"/>
      </rPr>
      <t>Nama</t>
    </r>
  </si>
  <si>
    <r>
      <rPr>
        <rFont val="&quot;Times New Roman&quot;, serif"/>
        <color rgb="FF000000"/>
        <sz val="12.0"/>
      </rPr>
      <t>NIM/NIP</t>
    </r>
  </si>
  <si>
    <r>
      <rPr>
        <rFont val="&quot;Times New Roman&quot;, serif"/>
        <color rgb="FF000000"/>
        <sz val="12.0"/>
      </rPr>
      <t>Fakultas/Univ</t>
    </r>
  </si>
  <si>
    <r>
      <rPr>
        <rFont val="&quot;Times New Roman&quot;, serif"/>
        <color rgb="FF000000"/>
        <sz val="12.0"/>
      </rPr>
      <t>Akses Lab</t>
    </r>
  </si>
  <si>
    <r>
      <rPr>
        <rFont val="&quot;Times New Roman&quot;, serif"/>
        <color rgb="FF000000"/>
        <sz val="12.0"/>
      </rPr>
      <t>Instrument</t>
    </r>
  </si>
  <si>
    <r>
      <rPr>
        <rFont val="&quot;Times New Roman&quot;, serif"/>
        <color rgb="FF000000"/>
        <sz val="12.0"/>
      </rPr>
      <t>Operator</t>
    </r>
  </si>
  <si>
    <r>
      <rPr>
        <rFont val="&quot;Times New Roman&quot;, serif"/>
        <color rgb="FF000000"/>
        <sz val="12.0"/>
      </rPr>
      <t>Jumlah Sampel</t>
    </r>
  </si>
  <si>
    <r>
      <rPr>
        <rFont val="&quot;Times New Roman&quot;, serif"/>
        <color rgb="FF000000"/>
        <sz val="12.0"/>
      </rPr>
      <t>Harga per Sampel</t>
    </r>
  </si>
  <si>
    <r>
      <rPr>
        <rFont val="&quot;Times New Roman&quot;, serif"/>
        <color rgb="FF000000"/>
        <sz val="12.0"/>
      </rPr>
      <t>Pengkondisian</t>
    </r>
  </si>
  <si>
    <r>
      <rPr>
        <rFont val="&quot;Times New Roman&quot;, serif"/>
        <color rgb="FF000000"/>
        <sz val="12.0"/>
      </rPr>
      <t>Preparasi dan Pengukuran</t>
    </r>
  </si>
  <si>
    <r>
      <rPr>
        <rFont val="&quot;Times New Roman&quot;, serif"/>
        <color rgb="FF000000"/>
        <sz val="12.0"/>
      </rPr>
      <t>Pengolahan Data</t>
    </r>
  </si>
  <si>
    <r>
      <rPr>
        <rFont val="&quot;Times New Roman&quot;, serif"/>
        <color rgb="FF000000"/>
        <sz val="12.0"/>
      </rPr>
      <t>Mematikan instrument</t>
    </r>
  </si>
  <si>
    <r>
      <rPr>
        <rFont val="&quot;Times New Roman&quot;, serif"/>
        <b/>
        <color rgb="FF000000"/>
        <sz val="12.0"/>
      </rPr>
      <t>Total waktu pengerjaan</t>
    </r>
  </si>
  <si>
    <t>Merged Doc ID - Rekap ATR-FTIR</t>
  </si>
  <si>
    <t>Merged Doc URL - Rekap ATR-FTIR</t>
  </si>
  <si>
    <t>Link to merged Doc - Rekap ATR-FTIR</t>
  </si>
  <si>
    <t>Document Merge Status - Rekap ATR-FTIR</t>
  </si>
  <si>
    <t>Hastuti DA</t>
  </si>
  <si>
    <t>Rasyifah Husna Qaniah</t>
  </si>
  <si>
    <t>K3321058</t>
  </si>
  <si>
    <t>ATR-FTIR</t>
  </si>
  <si>
    <t>Badif</t>
  </si>
  <si>
    <t>17IXPfZs0pyhzPUPYxxqgtQyya8gIIXUv</t>
  </si>
  <si>
    <t>https://drive.google.com/file/d/17IXPfZs0pyhzPUPYxxqgtQyya8gIIXUv/view?usp=drivesdk</t>
  </si>
  <si>
    <t>Document successfully created; Document successfully merged; PDF created; Manually run by hastutidiah@staff.uns.ac.id; Timestamp: Aug 23 2024 12:02 AM</t>
  </si>
  <si>
    <t>HAstuti DA</t>
  </si>
  <si>
    <t>Nur Afifah Muthmainnah</t>
  </si>
  <si>
    <t>S912302002</t>
  </si>
  <si>
    <t>Ilmu Fisika/FMIPA/UNS</t>
  </si>
  <si>
    <t>1tWu4oLaSL7o24l2AKQWEQHaiLbrsBZlG</t>
  </si>
  <si>
    <t>https://drive.google.com/file/d/1tWu4oLaSL7o24l2AKQWEQHaiLbrsBZlG/view?usp=drivesdk</t>
  </si>
  <si>
    <t>Document successfully created; Document successfully merged; PDF created; Manually run by hastutidiah@staff.uns.ac.id; Timestamp: Aug 28 2024 1:29 AM</t>
  </si>
  <si>
    <t>1cr7Uemgz9qnWil_Yax2WVTZ1KmEMWDIV</t>
  </si>
  <si>
    <t>https://drive.google.com/file/d/1cr7Uemgz9qnWil_Yax2WVTZ1KmEMWDIV/view?usp=drivesdk</t>
  </si>
  <si>
    <t>Document successfully created; Document successfully merged; PDF created; Manually run by labterpadu.unit.uns@gmail.com; Timestamp: Aug 29 2024 3:39 AM</t>
  </si>
  <si>
    <t>Putri Sholehah</t>
  </si>
  <si>
    <t>M0321056</t>
  </si>
  <si>
    <t>1iei8mGpvdCRg90oPHQqoHRHIjjb_gtcI</t>
  </si>
  <si>
    <t>https://drive.google.com/file/d/1iei8mGpvdCRg90oPHQqoHRHIjjb_gtcI/view?usp=drivesdk</t>
  </si>
  <si>
    <t>Document successfully created; Document successfully merged; PDF created; Manually run by labterpadu.unit.uns@gmail.com; Timestamp: Aug 29 2024 3:42 AM</t>
  </si>
  <si>
    <t>Dyah Ellyawati Kusumaningtyas Maharani</t>
  </si>
  <si>
    <t>S2 Kimia</t>
  </si>
  <si>
    <t>1UuP5D6j5jH2ip1WeODNfDimH_VrMbOty</t>
  </si>
  <si>
    <t>https://drive.google.com/file/d/1UuP5D6j5jH2ip1WeODNfDimH_VrMbOty/view?usp=drivesdk</t>
  </si>
  <si>
    <t>Document successfully created; Document successfully merged; PDF created; Manually run by labterpadu.unit.uns@gmail.com; Timestamp: Aug 29 2024 3:40 AM</t>
  </si>
  <si>
    <t>nala ridwanul</t>
  </si>
  <si>
    <t>M0321006</t>
  </si>
  <si>
    <t>Badif dan Widyan</t>
  </si>
  <si>
    <t>1uiMX89j4s7h0r7f2DfKUDPva1Afba9TI</t>
  </si>
  <si>
    <t>https://drive.google.com/file/d/1uiMX89j4s7h0r7f2DfKUDPva1Afba9TI/view?usp=drivesdk</t>
  </si>
  <si>
    <t>Document successfully created; Document successfully merged; PDF created; Manually run by labterpadu.unit.uns@gmail.com; Timestamp: Sep 5 2024 4:41 AM</t>
  </si>
  <si>
    <t>Prof. Dr.-Ing. Ir. Silviana, S.T., M.T., IPM., ASEAN Eng.</t>
  </si>
  <si>
    <t xml:space="preserve">Teknik Kimia Universitas Diponegoro </t>
  </si>
  <si>
    <t>1Mo9OHZzvF4YpwZ9IVXUOHxZEXpkyFsw4</t>
  </si>
  <si>
    <t>https://drive.google.com/file/d/1Mo9OHZzvF4YpwZ9IVXUOHxZEXpkyFsw4/view?usp=drivesdk</t>
  </si>
  <si>
    <t>Document successfully created; Document successfully merged; PDF created; Manually run by labterpadu.unit.uns@gmail.com; Timestamp: Sep 11 2024 12:17 AM</t>
  </si>
  <si>
    <t>Ardy Dwi Saputra</t>
  </si>
  <si>
    <t>K2320016</t>
  </si>
  <si>
    <t>Pendidikan Fisika</t>
  </si>
  <si>
    <t>18ROm-zWcrjn3s0k6RvS_f8_LisTI2SQ_</t>
  </si>
  <si>
    <t>https://drive.google.com/file/d/18ROm-zWcrjn3s0k6RvS_f8_LisTI2SQ_/view?usp=drivesdk</t>
  </si>
  <si>
    <t>Document successfully created; Document successfully merged; PDF created; Manually run by labterpadu.unit.uns@gmail.com; Timestamp: Sep 11 2024 2:31 AM</t>
  </si>
  <si>
    <t>1J6hMGW0rmxdekoUqeNDXrLyR1y47vgcZ</t>
  </si>
  <si>
    <t>https://drive.google.com/file/d/1J6hMGW0rmxdekoUqeNDXrLyR1y47vgcZ/view?usp=drivesdk</t>
  </si>
  <si>
    <t>Document successfully created; Document successfully merged; PDF created; Manually run by labterpadu.unit.uns@gmail.com; Timestamp: Sep 20 2024 12:26 AM</t>
  </si>
  <si>
    <t>Nala Ridhwanul Mu'izzah</t>
  </si>
  <si>
    <t xml:space="preserve"> S062308003</t>
  </si>
  <si>
    <t>1EcJ8oz6KLpfBa-ojtb_7ZZt_H8d67aMR</t>
  </si>
  <si>
    <t>https://drive.google.com/file/d/1EcJ8oz6KLpfBa-ojtb_7ZZt_H8d67aMR/view?usp=drivesdk</t>
  </si>
  <si>
    <t>Document successfully created; Document successfully merged; PDF created; Manually run by labterpadu.unit.uns@gmail.com; Timestamp: Sep 24 2024 11:54 PM</t>
  </si>
  <si>
    <t>1FMc4D9mit-gFz6G8ul0t2HMPXaEzanaq</t>
  </si>
  <si>
    <t>https://drive.google.com/file/d/1FMc4D9mit-gFz6G8ul0t2HMPXaEzanaq/view?usp=drivesdk</t>
  </si>
  <si>
    <t>Document successfully created; Document successfully merged; PDF created; Manually run by labterpadu.unit.uns@gmail.com; Timestamp: Sep 24 2024 4:28 AM</t>
  </si>
  <si>
    <t>K3321015</t>
  </si>
  <si>
    <t>1432rAPv7QCt8J1X3_pP2DOtH3SurAuYH</t>
  </si>
  <si>
    <t>https://drive.google.com/file/d/1432rAPv7QCt8J1X3_pP2DOtH3SurAuYH/view?usp=drivesdk</t>
  </si>
  <si>
    <t>Document successfully created; Document successfully merged; PDF created; Manually run by labterpadu.unit.uns@gmail.com; Timestamp: Oct 1 2024 10:29 PM</t>
  </si>
  <si>
    <t>1EN5rFM4nSaYFKHjY1GxK368ZtaCIcQZr</t>
  </si>
  <si>
    <t>https://drive.google.com/file/d/1EN5rFM4nSaYFKHjY1GxK368ZtaCIcQZr/view?usp=drivesdk</t>
  </si>
  <si>
    <t>1Z7lXPTx48cyPsLzB9QHeXpHw5-mE8-dA</t>
  </si>
  <si>
    <t>https://drive.google.com/file/d/1Z7lXPTx48cyPsLzB9QHeXpHw5-mE8-dA/view?usp=drivesdk</t>
  </si>
  <si>
    <t>Document successfully created; Document successfully merged; PDF created; Manually run by labterpadu.unit.uns@gmail.com; Timestamp: Oct 9 2024 3:37 AM</t>
  </si>
  <si>
    <t>Eka Nur Fazriyani</t>
  </si>
  <si>
    <t>K3321077</t>
  </si>
  <si>
    <t>12tJdyguJ2ygorD8Q7ur6sSki9myw4GHd</t>
  </si>
  <si>
    <t>https://drive.google.com/file/d/12tJdyguJ2ygorD8Q7ur6sSki9myw4GHd/view?usp=drivesdk</t>
  </si>
  <si>
    <t>Document successfully created; Document successfully merged; PDF created; Manually run by labterpadu.unit.uns@gmail.com; Timestamp: Oct 8 2024 4:53 AM</t>
  </si>
  <si>
    <t>Retno Apriyani</t>
  </si>
  <si>
    <t>K3321061</t>
  </si>
  <si>
    <t>1FoLZ1cg6l3jBdPk16qoV7JrtF_WixJ4X</t>
  </si>
  <si>
    <t>https://drive.google.com/file/d/1FoLZ1cg6l3jBdPk16qoV7JrtF_WixJ4X/view?usp=drivesdk</t>
  </si>
  <si>
    <t>Document successfully created; Document successfully merged; PDF created; Manually run by labterpadu.unit.uns@gmail.com; Timestamp: Oct 14 2024 11:29 PM</t>
  </si>
  <si>
    <t>Muhammad Fahmi</t>
  </si>
  <si>
    <t>M0318045</t>
  </si>
  <si>
    <t>1eMISpdGGx23PKBARKgQrTw1E_zs1Aezv</t>
  </si>
  <si>
    <t>https://drive.google.com/file/d/1eMISpdGGx23PKBARKgQrTw1E_zs1Aezv/view?usp=drivesdk</t>
  </si>
  <si>
    <t>Document successfully created; Document successfully merged; PDF created; Manually run by labterpadu.unit.uns@gmail.com; Timestamp: Oct 15 2024 4:53 AM</t>
  </si>
  <si>
    <t>Syahwa Agustin Rahmawati</t>
  </si>
  <si>
    <t>M0621047</t>
  </si>
  <si>
    <t>1ppxL6yEq0PJL2qgJ4leUch0er2hyaDGu</t>
  </si>
  <si>
    <t>https://drive.google.com/file/d/1ppxL6yEq0PJL2qgJ4leUch0er2hyaDGu/view?usp=drivesdk</t>
  </si>
  <si>
    <t>Document successfully created; Document successfully merged; PDF created; Manually run by labterpadu.unit.uns@gmail.com; Timestamp: Oct 16 2024 3:46 AM</t>
  </si>
  <si>
    <t>1fzZ1d_Wm_rmA-LVzseBK2IAz-rptiENY</t>
  </si>
  <si>
    <t>https://drive.google.com/file/d/1fzZ1d_Wm_rmA-LVzseBK2IAz-rptiENY/view?usp=drivesdk</t>
  </si>
  <si>
    <t>Document successfully created; Document successfully merged; PDF created; Manually run by labterpadu.unit.uns@gmail.com; Timestamp: Oct 22 2024 8:17 AM</t>
  </si>
  <si>
    <t>1PEZ0M9S30lnnCcIwYktCLsT6QkR624Md</t>
  </si>
  <si>
    <t>https://drive.google.com/file/d/1PEZ0M9S30lnnCcIwYktCLsT6QkR624Md/view?usp=drivesdk</t>
  </si>
  <si>
    <t>Document successfully created; Document successfully merged; PDF created; Manually run by labterpadu.unit.uns@gmail.com; Timestamp: Nov 4 2024 2:48 AM</t>
  </si>
  <si>
    <t>1esGSdyzZOrS_ppWket7Ppk3enxgESrIW</t>
  </si>
  <si>
    <t>https://drive.google.com/file/d/1esGSdyzZOrS_ppWket7Ppk3enxgESrIW/view?usp=drivesdk</t>
  </si>
  <si>
    <t>Document successfully created; Document successfully merged; PDF created; Manually run by labterpadu.unit.uns@gmail.com; Timestamp: Nov 8 2024 4:18 AM</t>
  </si>
  <si>
    <t>1mE9CzhYe-yiUondDtNBqChUE8cQaLu7Q</t>
  </si>
  <si>
    <t>https://drive.google.com/file/d/1mE9CzhYe-yiUondDtNBqChUE8cQaLu7Q/view?usp=drivesdk</t>
  </si>
  <si>
    <t>149TnejRIT0fc28-X2ihGJvoaZdsO7i49</t>
  </si>
  <si>
    <t>https://drive.google.com/file/d/149TnejRIT0fc28-X2ihGJvoaZdsO7i49/view?usp=drivesdk</t>
  </si>
  <si>
    <t>Document successfully created; Document successfully merged; PDF created; Manually run by labterpadu.unit.uns@gmail.com; Timestamp: Nov 26 2024 5:15 AM</t>
  </si>
  <si>
    <t>19V3pJnb-zJyCvWrzYCVSpxLlmz3cTtYr</t>
  </si>
  <si>
    <t>https://drive.google.com/file/d/19V3pJnb-zJyCvWrzYCVSpxLlmz3cTtYr/view?usp=drivesdk</t>
  </si>
  <si>
    <t>1ztvaSP7fYP36DjkfA4hHewsO0JbcAxhk</t>
  </si>
  <si>
    <t>https://drive.google.com/file/d/1ztvaSP7fYP36DjkfA4hHewsO0JbcAxhk/view?usp=drivesdk</t>
  </si>
  <si>
    <t>Friska Amelia Putri Agustina</t>
  </si>
  <si>
    <t>K2322031</t>
  </si>
  <si>
    <t>S1 Pendidikan Fisika/FKIP/UNS</t>
  </si>
  <si>
    <t>1Sl21pzJJ1-SY9yZvZDyLc61IBSu2xPYm</t>
  </si>
  <si>
    <t>https://drive.google.com/file/d/1Sl21pzJJ1-SY9yZvZDyLc61IBSu2xPYm/view?usp=drivesdk</t>
  </si>
  <si>
    <t>Document successfully created; Document successfully merged; PDF created; Manually run by labterpadu.unit.uns@gmail.com; Timestamp: Dec 3 2024 5:41 AM</t>
  </si>
  <si>
    <t>1uXW8HQaivw_VzF7S1xak4WPxYiru8dEK</t>
  </si>
  <si>
    <t>https://drive.google.com/file/d/1uXW8HQaivw_VzF7S1xak4WPxYiru8dEK/view?usp=drivesdk</t>
  </si>
  <si>
    <t>Kitra Kartika Edi</t>
  </si>
  <si>
    <t>K2322044</t>
  </si>
  <si>
    <t>12ol2-cVewLUj8y1ae1WDd8Gk_rheiVly</t>
  </si>
  <si>
    <t>https://drive.google.com/file/d/12ol2-cVewLUj8y1ae1WDd8Gk_rheiVly/view?usp=drivesdk</t>
  </si>
  <si>
    <t>19uRxruI3bmFOSa1xovTY85O4v6s7QzgZ</t>
  </si>
  <si>
    <t>https://drive.google.com/file/d/19uRxruI3bmFOSa1xovTY85O4v6s7QzgZ/view?usp=drivesdk</t>
  </si>
  <si>
    <t>1H4rcAc-ua3GVorcE-fYEBQBHYqNx7knO</t>
  </si>
  <si>
    <t>https://drive.google.com/file/d/1H4rcAc-ua3GVorcE-fYEBQBHYqNx7knO/view?usp=drivesdk</t>
  </si>
  <si>
    <t>1DJG3iXSGpci17XVwEbzb8hEqtISyUbvK</t>
  </si>
  <si>
    <t>https://drive.google.com/file/d/1DJG3iXSGpci17XVwEbzb8hEqtISyUbvK/view?usp=drivesdk</t>
  </si>
  <si>
    <t>Document successfully created; Document successfully merged; PDF created; Manually run by labterpadu.unit.uns@gmail.com; Timestamp: Dec 5 2024 2:38 AM</t>
  </si>
  <si>
    <t>Evan Arka Erlangga Putra</t>
  </si>
  <si>
    <t>M0321021</t>
  </si>
  <si>
    <t>169CLxdhM990et2ghaYeQj8pmvaZyQBKr</t>
  </si>
  <si>
    <t>https://drive.google.com/file/d/169CLxdhM990et2ghaYeQj8pmvaZyQBKr/view?usp=drivesdk</t>
  </si>
  <si>
    <t>1JOJMsfUNgy2HxtocqtlkHAUoUwCI3LOz</t>
  </si>
  <si>
    <t>https://drive.google.com/file/d/1JOJMsfUNgy2HxtocqtlkHAUoUwCI3LOz/view?usp=drivesdk</t>
  </si>
  <si>
    <t>Document successfully created; Document successfully merged; PDF created; Manually run by labterpadu.unit.uns@gmail.com; Timestamp: Dec 11 2024 3:48 AM</t>
  </si>
  <si>
    <t>1I3wQ968tn7ZI2U3lgmrz83NwuupmUs39</t>
  </si>
  <si>
    <t>https://drive.google.com/file/d/1I3wQ968tn7ZI2U3lgmrz83NwuupmUs39/view?usp=drivesdk</t>
  </si>
  <si>
    <t>Document successfully created; Document successfully merged; PDF created; Manually run by labterpadu.unit.uns@gmail.com; Timestamp: Dec 12 2024 2:11 AM</t>
  </si>
  <si>
    <t>1Ua4yoLnQIHJyJr16bwzc91n3EArmE-zT</t>
  </si>
  <si>
    <t>https://drive.google.com/file/d/1Ua4yoLnQIHJyJr16bwzc91n3EArmE-zT/view?usp=drivesdk</t>
  </si>
  <si>
    <t>Document successfully created; Document successfully merged; PDF created; Manually run by labterpadu.unit.uns@gmail.com; Timestamp: Dec 17 2024 4:31 AM</t>
  </si>
  <si>
    <t>1jI63XRfxckRwEC1EArPl_OT9IrkhVpjv</t>
  </si>
  <si>
    <t>https://drive.google.com/file/d/1jI63XRfxckRwEC1EArPl_OT9IrkhVpjv/view?usp=drivesdk</t>
  </si>
  <si>
    <t>Document successfully created; Document successfully merged; PDF created; Manually run by labterpadu.unit.uns@gmail.com; Timestamp: Dec 29 2024 8:17 PM</t>
  </si>
  <si>
    <t>1G4jhjXrJMhbcUc37T9GENsWBDpAvDiOZ</t>
  </si>
  <si>
    <t>https://drive.google.com/file/d/1G4jhjXrJMhbcUc37T9GENsWBDpAvDiOZ/view?usp=drivesdk</t>
  </si>
  <si>
    <t>Bela Anisa Putri</t>
  </si>
  <si>
    <t>K3321014</t>
  </si>
  <si>
    <t>1_hsCD8VBZsaEzVWQstNVAl635n7iUWP2</t>
  </si>
  <si>
    <t>https://drive.google.com/file/d/1_hsCD8VBZsaEzVWQstNVAl635n7iUWP2/view?usp=drivesdk</t>
  </si>
  <si>
    <t>Document successfully created; Document successfully merged; PDF created; Manually run by labterpadu.unit.uns@gmail.com; Timestamp: Jan 7 2025 8:42 PM</t>
  </si>
  <si>
    <t>Deli Suci Rahma Sari</t>
  </si>
  <si>
    <t>Teknik Biomedis/Fakultas Teknik Elektro/Telkom University Purwokerto</t>
  </si>
  <si>
    <t>1bXsZAvlBMNQ5IgCyctLJF4DwlWeBuFaS</t>
  </si>
  <si>
    <t>https://drive.google.com/file/d/1bXsZAvlBMNQ5IgCyctLJF4DwlWeBuFaS/view?usp=drivesdk</t>
  </si>
  <si>
    <t>Document successfully created; Document successfully merged; PDF created; Manually run by labterpadu.unit.uns@gmail.com; Timestamp: Jan 7 2025 8:43 PM</t>
  </si>
  <si>
    <t>Royyan Nomiashkhaf Sudiono</t>
  </si>
  <si>
    <t>18GtlKfitD6dX1CBaYzzCOdVMz1zAoCic</t>
  </si>
  <si>
    <t>https://drive.google.com/file/d/18GtlKfitD6dX1CBaYzzCOdVMz1zAoCic/view?usp=drivesdk</t>
  </si>
  <si>
    <t>Abiyoga Nugroho</t>
  </si>
  <si>
    <t>M0320003</t>
  </si>
  <si>
    <t>Kimia / FMIPA / UNS</t>
  </si>
  <si>
    <t>1F4HtNAsV5IzEFle58OpUIeL1B8oUtOXC</t>
  </si>
  <si>
    <t>https://drive.google.com/file/d/1F4HtNAsV5IzEFle58OpUIeL1B8oUtOXC/view?usp=drivesdk</t>
  </si>
  <si>
    <t>Andi Agun Pangeran Amjan</t>
  </si>
  <si>
    <t>Prodi S1 Teknik Biomedis</t>
  </si>
  <si>
    <t>1Ry1jylHzTkqDNAiCiEL_zOsnK3aHNPJZ</t>
  </si>
  <si>
    <t>https://drive.google.com/file/d/1Ry1jylHzTkqDNAiCiEL_zOsnK3aHNPJZ/view?usp=drivesdk</t>
  </si>
  <si>
    <t>Document successfully created; Document successfully merged; PDF created; Manually run by labterpadu.unit.uns@gmail.com; Timestamp: Jan 12 2025 8:33 PM</t>
  </si>
  <si>
    <t>Defiana Apriliani</t>
  </si>
  <si>
    <t>M0321017</t>
  </si>
  <si>
    <t>1tM7-mn9_5qX-SPUmyJBjJg7ELLxJE4e3</t>
  </si>
  <si>
    <t>https://drive.google.com/file/d/1tM7-mn9_5qX-SPUmyJBjJg7ELLxJE4e3/view?usp=drivesdk</t>
  </si>
  <si>
    <t>Document successfully created; Document successfully merged; PDF created; Manually run by labterpadu.unit.uns@gmail.com; Timestamp: Jan 22 2025 3:52 AM</t>
  </si>
  <si>
    <t>1Q1ZvIZUP8I-ahDQrJ2mNaYs0U1BqGkTP</t>
  </si>
  <si>
    <t>https://drive.google.com/file/d/1Q1ZvIZUP8I-ahDQrJ2mNaYs0U1BqGkTP/view?usp=drivesdk</t>
  </si>
  <si>
    <t>1bKN9TUFFlUhNx2vrtpSKJj_LIO3NtHOD</t>
  </si>
  <si>
    <t>https://drive.google.com/file/d/1bKN9TUFFlUhNx2vrtpSKJj_LIO3NtHOD/view?usp=drivesdk</t>
  </si>
  <si>
    <t>Document successfully created; Document successfully merged; PDF created; Manually run by labterpadu.unit.uns@gmail.com; Timestamp: Jan 24 2025 3:34 AM</t>
  </si>
  <si>
    <t>Aurelia Roswita Salu</t>
  </si>
  <si>
    <t>S062302003</t>
  </si>
  <si>
    <t>Kimia/Fmipa</t>
  </si>
  <si>
    <t>1cJNsz19nI7VBaWDl_sdGM9TvpVLq5fPY</t>
  </si>
  <si>
    <t>https://drive.google.com/file/d/1cJNsz19nI7VBaWDl_sdGM9TvpVLq5fPY/view?usp=drivesdk</t>
  </si>
  <si>
    <t>Document successfully created; Document successfully merged; PDF created; Manually run by labterpadu.unit.uns@gmail.com; Timestamp: Feb 7 2025 2:02 AM</t>
  </si>
  <si>
    <t xml:space="preserve">Ririn Nur Fadhilah </t>
  </si>
  <si>
    <t>M0821061</t>
  </si>
  <si>
    <t>Ilmu Lingkungan/FMIPA/UNS</t>
  </si>
  <si>
    <t>1dOIeTAUcTaap6Ek8dr0WTGvCzViKOv62</t>
  </si>
  <si>
    <t>https://drive.google.com/file/d/1dOIeTAUcTaap6Ek8dr0WTGvCzViKOv62/view?usp=drivesdk</t>
  </si>
  <si>
    <t>Candra</t>
  </si>
  <si>
    <t>PT INDO ACIDATAMA, Tbk</t>
  </si>
  <si>
    <t>17Wb5euAabi19es-Kr2m_G6c2eTc6bUWg</t>
  </si>
  <si>
    <t>https://drive.google.com/file/d/17Wb5euAabi19es-Kr2m_G6c2eTc6bUWg/view?usp=drivesdk</t>
  </si>
  <si>
    <t>Document successfully created; Document successfully merged; PDF created; Manually run by labterpadu.unit.uns@gmail.com; Timestamp: Feb 11 2025 10:36 PM</t>
  </si>
  <si>
    <t>1WPH-vI0YwdUeC1cdnr0-rvPhh6dV8FF5</t>
  </si>
  <si>
    <t>https://drive.google.com/file/d/1WPH-vI0YwdUeC1cdnr0-rvPhh6dV8FF5/view?usp=drivesdk</t>
  </si>
  <si>
    <t>Document successfully created; Document successfully merged; PDF created; Manually run by labterpadu.unit.uns@gmail.com; Timestamp: Mar 2 2025 9:34 PM</t>
  </si>
  <si>
    <t>1lOpdwz-ZYSmub0LopOCWmGzC5qYQi39Q</t>
  </si>
  <si>
    <t>https://drive.google.com/file/d/1lOpdwz-ZYSmub0LopOCWmGzC5qYQi39Q/view?usp=drivesdk</t>
  </si>
  <si>
    <t>Document successfully created; Document successfully merged; PDF created; Manually run by labterpadu.unit.uns@gmail.com; Timestamp: Mar 4 2025 4:15 AM</t>
  </si>
  <si>
    <t>Dofito Hanifah Kusindarto</t>
  </si>
  <si>
    <t>M0321018</t>
  </si>
  <si>
    <t>1D6rX6GheK_VPx3Z69YjlOiJCDgTjs6NY</t>
  </si>
  <si>
    <t>https://drive.google.com/file/d/1D6rX6GheK_VPx3Z69YjlOiJCDgTjs6NY/view?usp=drivesdk</t>
  </si>
  <si>
    <t>Document successfully created; Document successfully merged; PDF created; Manually run by labterpadu.unit.uns@gmail.com; Timestamp: Mar 18 2025 2:58 AM</t>
  </si>
  <si>
    <t>Nunggal Satriya Utama</t>
  </si>
  <si>
    <t>K3322077</t>
  </si>
  <si>
    <t>1nq_1-BdkojYNT-gFNgKYaTMA-8ouD6bI</t>
  </si>
  <si>
    <t>https://drive.google.com/file/d/1nq_1-BdkojYNT-gFNgKYaTMA-8ouD6bI/view?usp=drivesdk</t>
  </si>
  <si>
    <t>Document successfully created; Document successfully merged; PDF created; Manually run by labterpadu.unit.uns@gmail.com; Timestamp: Mar 21 2025 4:32 AM</t>
  </si>
  <si>
    <t>Gerald Christiano</t>
  </si>
  <si>
    <t>I0421062</t>
  </si>
  <si>
    <t>Teknik Mesin/Teknik/UNS</t>
  </si>
  <si>
    <t>1wOkExxNv8f7l7S9U5BbrqmeLMRYL1hYV</t>
  </si>
  <si>
    <t>https://drive.google.com/file/d/1wOkExxNv8f7l7S9U5BbrqmeLMRYL1hYV/view?usp=drivesdk</t>
  </si>
  <si>
    <t>19UgdjwZATqVQJ9sNd7zEXRLtFmGsUeEg</t>
  </si>
  <si>
    <t>https://drive.google.com/file/d/19UgdjwZATqVQJ9sNd7zEXRLtFmGsUeEg/view?usp=drivesdk</t>
  </si>
  <si>
    <t>Document successfully created; Document successfully merged; PDF created; Manually run by labterpadu.unit.uns@gmail.com; Timestamp: Apr 29 2025 5:04 AM</t>
  </si>
  <si>
    <t>Christian Hadhinata</t>
  </si>
  <si>
    <t>T752502008</t>
  </si>
  <si>
    <t>S3 Teknik Sipil</t>
  </si>
  <si>
    <t>1P4UTDNbmAcuqP2nwTubxNDHjJighXQVi</t>
  </si>
  <si>
    <t>https://drive.google.com/file/d/1P4UTDNbmAcuqP2nwTubxNDHjJighXQVi/view?usp=drivesdk</t>
  </si>
  <si>
    <t>Document successfully created; Document successfully merged; PDF created; Manually run by labterpadu.unit.uns@gmail.com; Timestamp: Apr 29 2025 5:05 AM</t>
  </si>
  <si>
    <t>SMA Islam Al Azhar 1 Jurusan IPA</t>
  </si>
  <si>
    <t>1rcRNwQ-FsDrNkdZ2JdPjHvb98jX6TXfB</t>
  </si>
  <si>
    <t>https://drive.google.com/file/d/1rcRNwQ-FsDrNkdZ2JdPjHvb98jX6TXfB/view?usp=drivesdk</t>
  </si>
  <si>
    <t xml:space="preserve">Dian Rahmawati </t>
  </si>
  <si>
    <t>K3321019</t>
  </si>
  <si>
    <t>1i6X8tMDumJHYhFzQGipKkjMXPA9V7Nzz</t>
  </si>
  <si>
    <t>https://drive.google.com/file/d/1i6X8tMDumJHYhFzQGipKkjMXPA9V7Nzz/view?usp=drivesdk</t>
  </si>
  <si>
    <t>Document successfully created; Document successfully merged; PDF created; Manually run by labterpadu.unit.uns@gmail.com; Timestamp: May 13 2025 10:20 PM</t>
  </si>
  <si>
    <t>Muhammad Irfan Rahmadana</t>
  </si>
  <si>
    <t>M0821050</t>
  </si>
  <si>
    <t>107HYuAjyKOVjlJtBTpbAUx93KXTONGR7</t>
  </si>
  <si>
    <t>https://drive.google.com/file/d/107HYuAjyKOVjlJtBTpbAUx93KXTONGR7/view?usp=drivesdk</t>
  </si>
  <si>
    <t>Document successfully created; Document successfully merged; PDF created; Manually run by labterpadu.unit.uns@gmail.com; Timestamp: May 16 2025 5:38 AM</t>
  </si>
  <si>
    <t>Anggara Tri Atmaja</t>
  </si>
  <si>
    <t>I0421022</t>
  </si>
  <si>
    <t>1AZqMOLA4iuFDI2hMQKBZrAIg1oD5lyRE</t>
  </si>
  <si>
    <t>https://drive.google.com/file/d/1AZqMOLA4iuFDI2hMQKBZrAIg1oD5lyRE/view?usp=drivesdk</t>
  </si>
  <si>
    <t>Khairunisa</t>
  </si>
  <si>
    <t>18K4bx2CiuHwmX5TvFsZCpUHysvjb6a9v</t>
  </si>
  <si>
    <t>https://drive.google.com/file/d/18K4bx2CiuHwmX5TvFsZCpUHysvjb6a9v/view?usp=drivesdk</t>
  </si>
  <si>
    <t>187onTyXFD0_tE-aMPmSSyMAnaJwFs98R</t>
  </si>
  <si>
    <t>https://drive.google.com/file/d/187onTyXFD0_tE-aMPmSSyMAnaJwFs98R/view?usp=drivesdk</t>
  </si>
  <si>
    <t>1IAxtY0h8pEWXSuVhr5wQc0jMe2A8VP-T</t>
  </si>
  <si>
    <t>https://drive.google.com/file/d/1IAxtY0h8pEWXSuVhr5wQc0jMe2A8VP-T/view?usp=drivesdk</t>
  </si>
  <si>
    <t>Document successfully created; Document successfully merged; PDF created; Manually run by labterpadu.unit.uns@gmail.com; Timestamp: May 16 2025 5:39 AM</t>
  </si>
  <si>
    <t>1jrr7uyzGpNC2ibfYVLscHPwKHthavf5y</t>
  </si>
  <si>
    <t>https://drive.google.com/file/d/1jrr7uyzGpNC2ibfYVLscHPwKHthavf5y/view?usp=drivesdk</t>
  </si>
  <si>
    <t>Document successfully created; Document successfully merged; PDF created; Manually run by labterpadu.unit.uns@gmail.com; Timestamp: May 27 2025 4:06 AM</t>
  </si>
  <si>
    <t>1N98c1bqPhtE6Mh9Ja0Knw7GGR7rKzAKH</t>
  </si>
  <si>
    <t>https://drive.google.com/file/d/1N98c1bqPhtE6Mh9Ja0Knw7GGR7rKzAKH/view?usp=drivesdk</t>
  </si>
  <si>
    <t>PT Indo Acidatama, Tbk</t>
  </si>
  <si>
    <t>1zlCbsj8gGr3Lk37rAsv2tuMrKz_IrJ_m</t>
  </si>
  <si>
    <t>https://drive.google.com/file/d/1zlCbsj8gGr3Lk37rAsv2tuMrKz_IrJ_m/view?usp=drivesdk</t>
  </si>
  <si>
    <t>Document successfully created; Document successfully merged; PDF created; Manually run by labterpadu.unit.uns@gmail.com; Timestamp: Jun 12 2025 11:12 PM</t>
  </si>
  <si>
    <t>Izza Laila Nur Rohmah</t>
  </si>
  <si>
    <t>K3321037</t>
  </si>
  <si>
    <t>1xeod-L9itW6xvtHgcTKWlJ8atDQC-mRv</t>
  </si>
  <si>
    <t>https://drive.google.com/file/d/1xeod-L9itW6xvtHgcTKWlJ8atDQC-mRv/view?usp=drivesdk</t>
  </si>
  <si>
    <t>Document successfully created; Document successfully merged; PDF created; Manually run by labterpadu.unit.uns@gmail.com; Timestamp: Jun 4 2025 3:00 AM</t>
  </si>
  <si>
    <t>Latifah Nuraeni</t>
  </si>
  <si>
    <t>M0321038</t>
  </si>
  <si>
    <t>Kimia/FKIP/UNS</t>
  </si>
  <si>
    <t>1UsXNINQZT31U9wirTJvo1k95AypVc9Ua</t>
  </si>
  <si>
    <t>https://drive.google.com/file/d/1UsXNINQZT31U9wirTJvo1k95AypVc9Ua/view?usp=drivesdk</t>
  </si>
  <si>
    <t>Document successfully created; Document successfully merged; PDF created; Manually run by labterpadu.unit.uns@gmail.com; Timestamp: Jun 4 2025 3:01 AM</t>
  </si>
  <si>
    <t>Armatevia Patricia Arum Sahiba</t>
  </si>
  <si>
    <t>1mPmPSUzLtjDKrljapttpq0CMgUKBjDVr</t>
  </si>
  <si>
    <t>https://drive.google.com/file/d/1mPmPSUzLtjDKrljapttpq0CMgUKBjDVr/view?usp=drivesdk</t>
  </si>
  <si>
    <t>Alief Almansyah Akbar Mastura</t>
  </si>
  <si>
    <t>10cYGNQ-toiIxJGorfJiN9TExpgEPhYvT</t>
  </si>
  <si>
    <t>https://drive.google.com/file/d/10cYGNQ-toiIxJGorfJiN9TExpgEPhYvT/view?usp=drivesdk</t>
  </si>
  <si>
    <t>Document successfully created; Document successfully merged; PDF created; Manually run by labterpadu.unit.uns@gmail.com; Timestamp: Jun 10 2025 11:59 PM</t>
  </si>
  <si>
    <t>169yRbEE1w5VOQhIrBtMhsexxpuZ5lQ1a</t>
  </si>
  <si>
    <t>https://drive.google.com/file/d/169yRbEE1w5VOQhIrBtMhsexxpuZ5lQ1a/view?usp=drivesdk</t>
  </si>
  <si>
    <t>Document successfully created; Document successfully merged; PDF created; Manually run by labterpadu.unit.uns@gmail.com; Timestamp: Jun 11 2025 12:00 AM</t>
  </si>
  <si>
    <t>15A6dLVvW1czwXk-aiY1FH1yKOM5G7K34</t>
  </si>
  <si>
    <t>https://drive.google.com/file/d/15A6dLVvW1czwXk-aiY1FH1yKOM5G7K34/view?usp=drivesdk</t>
  </si>
  <si>
    <t>1JDswN18wpRIxwCZHnM1BDSmyFxkPouz0</t>
  </si>
  <si>
    <t>https://drive.google.com/file/d/1JDswN18wpRIxwCZHnM1BDSmyFxkPouz0/view?usp=drivesdk</t>
  </si>
  <si>
    <t>S3 Ilmu Lingkungan</t>
  </si>
  <si>
    <t>1UGVkp4jguCNbuewvdSg8kZM16XNjYffI</t>
  </si>
  <si>
    <t>https://drive.google.com/file/d/1UGVkp4jguCNbuewvdSg8kZM16XNjYffI/view?usp=drivesdk</t>
  </si>
  <si>
    <t>Document successfully created; Document successfully merged; PDF created; Manually run by labterpadu.unit.uns@gmail.com; Timestamp: Jun 11 2025 1:03 AM</t>
  </si>
  <si>
    <t>1QjATDE-zN6VZM_8y29uuKq_eH7zK7sGw</t>
  </si>
  <si>
    <t>https://drive.google.com/file/d/1QjATDE-zN6VZM_8y29uuKq_eH7zK7sGw/view?usp=drivesdk</t>
  </si>
  <si>
    <t>Document successfully created; Document successfully merged; PDF created; Manually run by labterpadu.unit.uns@gmail.com; Timestamp: Jun 12 2025 4:34 AM</t>
  </si>
  <si>
    <t>Siti Khoiriyah</t>
  </si>
  <si>
    <t>197605202008012017</t>
  </si>
  <si>
    <t>Dosen S3 Ilmu Lingkungan</t>
  </si>
  <si>
    <t>1siStkwGnGgtMHVPlPhYhOAr36Fx7750N</t>
  </si>
  <si>
    <t>https://drive.google.com/file/d/1siStkwGnGgtMHVPlPhYhOAr36Fx7750N/view?usp=drivesdk</t>
  </si>
  <si>
    <t>Khusnul Regina Eswari</t>
  </si>
  <si>
    <t>M0622035</t>
  </si>
  <si>
    <t>1oRy3Vhh34EZtZpubWTV6g_Y5s5yZmNhf</t>
  </si>
  <si>
    <t>https://drive.google.com/file/d/1oRy3Vhh34EZtZpubWTV6g_Y5s5yZmNhf/view?usp=drivesdk</t>
  </si>
  <si>
    <t>Document successfully created; Document successfully merged; PDF created; Manually run by labterpadu.unit.uns@gmail.com; Timestamp: Jun 13 2025 4:49 AM</t>
  </si>
  <si>
    <t>1mhdEg9nM53hBV4quuTWAlNpwIcGttuZG</t>
  </si>
  <si>
    <t>https://drive.google.com/file/d/1mhdEg9nM53hBV4quuTWAlNpwIcGttuZG/view?usp=drivesdk</t>
  </si>
  <si>
    <t>Document successfully created; Document successfully merged; PDF created; Manually run by labterpadu.unit.uns@gmail.com; Timestamp: Jun 13 2025 4:50 AM</t>
  </si>
  <si>
    <t>1hIlxWvHod9peYu9NE3wKQTS89AIBcXUR</t>
  </si>
  <si>
    <t>https://drive.google.com/file/d/1hIlxWvHod9peYu9NE3wKQTS89AIBcXUR/view?usp=drivesdk</t>
  </si>
  <si>
    <t>Mirzaul Umam</t>
  </si>
  <si>
    <t>Semarang</t>
  </si>
  <si>
    <t>1ZE-4irKxIPkwwnZn760s0UvQvfelIL7X</t>
  </si>
  <si>
    <t>https://drive.google.com/file/d/1ZE-4irKxIPkwwnZn760s0UvQvfelIL7X/view?usp=drivesdk</t>
  </si>
  <si>
    <t>Document successfully created; Document successfully merged; PDF created; Manually run by labterpadu.unit.uns@gmail.com; Timestamp: Jun 20 2025 4:24 AM</t>
  </si>
  <si>
    <t>Natasys Thallah Azizah</t>
  </si>
  <si>
    <t>K3322074</t>
  </si>
  <si>
    <t>1dSrkJo0UBio6MWaQXa-LJlVMtNCISz4A</t>
  </si>
  <si>
    <t>https://drive.google.com/file/d/1dSrkJo0UBio6MWaQXa-LJlVMtNCISz4A/view?usp=drivesdk</t>
  </si>
  <si>
    <t>Putri Apriliani</t>
  </si>
  <si>
    <t>K3322081</t>
  </si>
  <si>
    <t>16ctVIPDV3Er4GtahkAIUxG4x9Dw4HIjM</t>
  </si>
  <si>
    <t>https://drive.google.com/file/d/16ctVIPDV3Er4GtahkAIUxG4x9Dw4HIjM/view?usp=drivesdk</t>
  </si>
  <si>
    <t>Sadam Dimas Barezi</t>
  </si>
  <si>
    <t>K3322091</t>
  </si>
  <si>
    <t>19rJJvq0nbO0yZNHCAvtaMjaYaFEIOoIb</t>
  </si>
  <si>
    <t>https://drive.google.com/file/d/19rJJvq0nbO0yZNHCAvtaMjaYaFEIOoIb/view?usp=drivesdk</t>
  </si>
  <si>
    <t>1IJZT01rsNdJXT6vsJxvGuERwCF5vMB9G</t>
  </si>
  <si>
    <t>https://drive.google.com/file/d/1IJZT01rsNdJXT6vsJxvGuERwCF5vMB9G/view?usp=drivesdk</t>
  </si>
  <si>
    <t>1hBYqMSr0TXoSDj3lvIkoeVPTfbkUP3ik</t>
  </si>
  <si>
    <t>https://drive.google.com/file/d/1hBYqMSr0TXoSDj3lvIkoeVPTfbkUP3ik/view?usp=drivesdk</t>
  </si>
  <si>
    <t>PT Huda Rachma Grupindo</t>
  </si>
  <si>
    <t>1jT_KDRuNhn5SlNHrzfnScMilH8Mz1mF9</t>
  </si>
  <si>
    <t>https://drive.google.com/file/d/1jT_KDRuNhn5SlNHrzfnScMilH8Mz1mF9/view?usp=drivesdk</t>
  </si>
  <si>
    <t>Document successfully created; Document successfully merged; PDF created; Manually run by labterpadu.unit.uns@gmail.com; Timestamp: Jun 23 2025 4:45 AM</t>
  </si>
  <si>
    <t>10cIv_40sa8GSsxe63mMbzKQDjMEZ38qf</t>
  </si>
  <si>
    <t>https://drive.google.com/file/d/10cIv_40sa8GSsxe63mMbzKQDjMEZ38qf/view?usp=drivesdk</t>
  </si>
  <si>
    <t>Mita Aurelia Sabrina</t>
  </si>
  <si>
    <t>M0822050</t>
  </si>
  <si>
    <t>S1-Ilmu Lingkungan/FMIPA/UNS</t>
  </si>
  <si>
    <t>1sS8afs--YV8xH5d6lrNFWcQQQMOEdJX-</t>
  </si>
  <si>
    <t>https://drive.google.com/file/d/1sS8afs--YV8xH5d6lrNFWcQQQMOEdJX-/view?usp=drivesdk</t>
  </si>
  <si>
    <t>Document successfully created; Document successfully merged; PDF created; Manually run by labterpadu.unit.uns@gmail.com; Timestamp: Jun 26 2025 12:00 AM</t>
  </si>
  <si>
    <t>Sakina Enova Rahmawati</t>
  </si>
  <si>
    <t>M0822076</t>
  </si>
  <si>
    <t>1JUY88_SZeE3I8hWHFTsSNuJES3sh0GYu</t>
  </si>
  <si>
    <t>https://drive.google.com/file/d/1JUY88_SZeE3I8hWHFTsSNuJES3sh0GYu/view?usp=drivesdk</t>
  </si>
  <si>
    <t>Document successfully created; Document successfully merged; PDF created; Manually run by labterpadu.unit.uns@gmail.com; Timestamp: Jun 26 2025 4:51 AM</t>
  </si>
  <si>
    <t>1kF40fyFJ76sk7v3aSoC06kYMJ639BqbR</t>
  </si>
  <si>
    <t>https://drive.google.com/file/d/1kF40fyFJ76sk7v3aSoC06kYMJ639BqbR/view?usp=drivesdk</t>
  </si>
  <si>
    <t>Document successfully created; Document successfully merged; PDF created; Manually run by labterpadu.unit.uns@gmail.com; Timestamp: Jun 30 2025 12:18 AM</t>
  </si>
  <si>
    <t>1PKyYrIeb1bZFhkGJ1MWbrcy8AHLpdeZW</t>
  </si>
  <si>
    <t>https://drive.google.com/file/d/1PKyYrIeb1bZFhkGJ1MWbrcy8AHLpdeZW/view?usp=drivesdk</t>
  </si>
  <si>
    <t>Document successfully created; Document successfully merged; PDF created; Manually run by labterpadu.unit.uns@gmail.com; Timestamp: Jun 30 2025 2:12 AM</t>
  </si>
  <si>
    <t>19lgMDcp-ecGKmGMm93E_tAdqXvgMJonX</t>
  </si>
  <si>
    <t>https://drive.google.com/file/d/19lgMDcp-ecGKmGMm93E_tAdqXvgMJonX/view?usp=drivesdk</t>
  </si>
  <si>
    <t>1kGNHVXEgtTReLloiDRs_bUlprJ5XXTjm</t>
  </si>
  <si>
    <t>https://drive.google.com/file/d/1kGNHVXEgtTReLloiDRs_bUlprJ5XXTjm/view?usp=drivesdk</t>
  </si>
  <si>
    <t>Document successfully created; Document successfully merged; PDF created; Manually run by labterpadu.unit.uns@gmail.com; Timestamp: Jul 1 2025 3:55 AM</t>
  </si>
  <si>
    <t>Aan Kartika Fitriani</t>
  </si>
  <si>
    <t>1tAqkDrSxPMJL4gs_re_M_Lt9L6k7Ex0L</t>
  </si>
  <si>
    <t>https://drive.google.com/file/d/1tAqkDrSxPMJL4gs_re_M_Lt9L6k7Ex0L/view?usp=drivesdk</t>
  </si>
  <si>
    <t>Document successfully created; Document successfully merged; PDF created; Manually run by labterpadu.unit.uns@gmail.com; Timestamp: Jul 3 2025 5:35 AM</t>
  </si>
  <si>
    <t>1gvPcH6j3vSiCVKenhKtfb4l4LcTu7iN9</t>
  </si>
  <si>
    <t>https://drive.google.com/file/d/1gvPcH6j3vSiCVKenhKtfb4l4LcTu7iN9/view?usp=drivesdk</t>
  </si>
  <si>
    <t>Document successfully created; Document successfully merged; PDF created; Manually run by labterpadu.unit.uns@gmail.com; Timestamp: Jul 9 2025 2:18 AM</t>
  </si>
  <si>
    <t>Monday, 22 July 0205</t>
  </si>
  <si>
    <t>16luAFzUZUpEu6YK40KNHJQIIPgYn4-Z6</t>
  </si>
  <si>
    <t>https://drive.google.com/file/d/16luAFzUZUpEu6YK40KNHJQIIPgYn4-Z6/view?usp=drivesdk</t>
  </si>
  <si>
    <t>Document successfully created; Document successfully merged; PDF created; Manually run by labterpadu.unit.uns@gmail.com; Timestamp: Jul 22 2025 2:50 AM</t>
  </si>
  <si>
    <t>1ZWYOhTxkL7NdJnNrWsPbjI3JWob5SfIn</t>
  </si>
  <si>
    <t>https://drive.google.com/file/d/1ZWYOhTxkL7NdJnNrWsPbjI3JWob5SfIn/view?usp=drivesdk</t>
  </si>
  <si>
    <t>Khusnul Ergina Reswari</t>
  </si>
  <si>
    <t>1OZnyPPOO9tGZPISnB0A2s8NjzWthdBj4</t>
  </si>
  <si>
    <t>https://drive.google.com/file/d/1OZnyPPOO9tGZPISnB0A2s8NjzWthdBj4/view?usp=drivesdk</t>
  </si>
  <si>
    <t>Document successfully created; Document successfully merged; PDF created; Manually run by labterpadu.unit.uns@gmail.com; Timestamp: Jul 31 2025 5:10 AM</t>
  </si>
  <si>
    <t>Farah Nurhanifah</t>
  </si>
  <si>
    <t>M0322040</t>
  </si>
  <si>
    <t>1wyF2ywKjr6xXBfFurBQPTmQMwP-Nl_Yb</t>
  </si>
  <si>
    <t>https://drive.google.com/file/d/1wyF2ywKjr6xXBfFurBQPTmQMwP-Nl_Yb/view?usp=drivesdk</t>
  </si>
  <si>
    <t>Document successfully created; Document successfully merged; PDF created; Manually run by labterpadu.unit.uns@gmail.com; Timestamp: Aug 4 2025 3:40 AM</t>
  </si>
  <si>
    <t>Nurul Afifah</t>
  </si>
  <si>
    <t>M0322076</t>
  </si>
  <si>
    <t>11SBKZtA2bpunR1CCBnlald7ZGfihSkCW</t>
  </si>
  <si>
    <t>https://drive.google.com/file/d/11SBKZtA2bpunR1CCBnlald7ZGfihSkCW/view?usp=drivesdk</t>
  </si>
  <si>
    <t>160RS55atZ2zKhfhDL45nQhL5Sx8j2MUF</t>
  </si>
  <si>
    <t>https://drive.google.com/file/d/160RS55atZ2zKhfhDL45nQhL5Sx8j2MUF/view?usp=drivesdk</t>
  </si>
  <si>
    <t>Document successfully created; Document successfully merged; PDF created; Manually run by labterpadu.unit.uns@gmail.com; Timestamp: Aug 14 2025 5:28 AM</t>
  </si>
  <si>
    <t>Muhammad Iqbal Juniardi</t>
  </si>
  <si>
    <t>K3320053</t>
  </si>
  <si>
    <t>1I_Jsa0zztahq872Qd5wM3VLihuKJ0waT</t>
  </si>
  <si>
    <t>https://drive.google.com/file/d/1I_Jsa0zztahq872Qd5wM3VLihuKJ0waT/view?usp=drivesdk</t>
  </si>
  <si>
    <t>1YIF9hE2bSLuHZ0sK2gv0VWKB8QlWeBpy</t>
  </si>
  <si>
    <t>https://drive.google.com/file/d/1YIF9hE2bSLuHZ0sK2gv0VWKB8QlWeBpy/view?usp=drivesdk</t>
  </si>
  <si>
    <t>Document successfully created; Document successfully merged; PDF created; Manually run by labterpadu.unit.uns@gmail.com; Timestamp: Aug 14 2025 5:29 AM</t>
  </si>
  <si>
    <t>1yjVoqn6zeXf24g9q3ZyxA2M7FhS_JgNb</t>
  </si>
  <si>
    <t>https://drive.google.com/file/d/1yjVoqn6zeXf24g9q3ZyxA2M7FhS_JgNb/view?usp=drivesdk</t>
  </si>
  <si>
    <t>Seto Satrio</t>
  </si>
  <si>
    <t>SC1023</t>
  </si>
  <si>
    <t>176-B1BEzNlgo1ZVLvFNl0zZBI93D01wK</t>
  </si>
  <si>
    <t>https://drive.google.com/file/d/176-B1BEzNlgo1ZVLvFNl0zZBI93D01wK/view?usp=drivesdk</t>
  </si>
  <si>
    <t>Document successfully created; Document successfully merged; PDF created; Manually run by labterpadu.unit.uns@gmail.com; Timestamp: Aug 20 2025 5:33 AM</t>
  </si>
  <si>
    <t>Sularman</t>
  </si>
  <si>
    <t>S952502007</t>
  </si>
  <si>
    <t>Teknik Mesin / Teknik / Universitas Sebelas Maret</t>
  </si>
  <si>
    <t>195YsnUZ3j7QvPok1aMjodOUcL9sho_Ru</t>
  </si>
  <si>
    <t>https://drive.google.com/file/d/195YsnUZ3j7QvPok1aMjodOUcL9sho_Ru/view?usp=drivesdk</t>
  </si>
  <si>
    <t>Muhammad Yazid Ar-Rasyid</t>
  </si>
  <si>
    <t>I0523076</t>
  </si>
  <si>
    <t>Teknik Kimia</t>
  </si>
  <si>
    <t>1_Mcu_dxGUsgYkGSI1nCz1ZHP0qpxq2az</t>
  </si>
  <si>
    <t>https://drive.google.com/file/d/1_Mcu_dxGUsgYkGSI1nCz1ZHP0qpxq2az/view?usp=drivesdk</t>
  </si>
  <si>
    <t>Document successfully created; Document successfully merged; PDF created; Manually run by labterpadu.unit.uns@gmail.com; Timestamp: Aug 21 2025 9:41 PM</t>
  </si>
  <si>
    <t>Hafids Assidiqqi Sularman</t>
  </si>
  <si>
    <t>I0421067</t>
  </si>
  <si>
    <t>1DEsbPI52E47rAH6gvnqR6Tr38pLgkkpH</t>
  </si>
  <si>
    <t>https://drive.google.com/file/d/1DEsbPI52E47rAH6gvnqR6Tr38pLgkkpH/view?usp=drivesdk</t>
  </si>
  <si>
    <t>Jualita Faradha A</t>
  </si>
  <si>
    <t>S902408002</t>
  </si>
  <si>
    <t>Biosains/FMIPA/UNS</t>
  </si>
  <si>
    <t>1-kZWLwlXA1rjYPKNdUV8Dg5KzYGIYLPE</t>
  </si>
  <si>
    <t>https://drive.google.com/file/d/1-kZWLwlXA1rjYPKNdUV8Dg5KzYGIYLPE/view?usp=drivesdk</t>
  </si>
  <si>
    <t>Document successfully created; Document successfully merged; PDF created; Manually run by labterpadu.unit.uns@gmail.com; Timestamp: Aug 29 2025 12:39 AM</t>
  </si>
  <si>
    <t>Eni Budiyati</t>
  </si>
  <si>
    <t>1WlJ_E7v6-iqVbhjLtBH4SEUb8aFCEq1P</t>
  </si>
  <si>
    <t>https://drive.google.com/file/d/1WlJ_E7v6-iqVbhjLtBH4SEUb8aFCEq1P/view?usp=drivesdk</t>
  </si>
  <si>
    <t>Document successfully created; Document successfully merged; PDF created; Manually run by labterpadu.unit.uns@gmail.com; Timestamp: Sep 10 2025 2:01 AM</t>
  </si>
  <si>
    <t>Syauqina N</t>
  </si>
  <si>
    <t>1CJ7_ruAyRCy2c2MVtbTGkl0q1LS5w39p</t>
  </si>
  <si>
    <t>https://drive.google.com/file/d/1CJ7_ruAyRCy2c2MVtbTGkl0q1LS5w39p/view?usp=drivesdk</t>
  </si>
  <si>
    <t>Document successfully created; Document successfully merged; PDF created; Manually run by labterpadu.unit.uns@gmail.com; Timestamp: Sep 10 2025 2:02 AM</t>
  </si>
  <si>
    <t>1iFWiIDXSLK9LI3G0LM0UjWMI06cGUSEg</t>
  </si>
  <si>
    <t>https://drive.google.com/file/d/1iFWiIDXSLK9LI3G0LM0UjWMI06cGUSEg/view?usp=drivesdk</t>
  </si>
  <si>
    <t>Document successfully created; Document successfully merged; PDF created; Manually run by labterpadu.unit.uns@gmail.com; Timestamp: Sep 24 2025 10:36 PM</t>
  </si>
  <si>
    <t>1_0IIX25-G0JF-yDHx6asFADFFUg8zeKv</t>
  </si>
  <si>
    <t>https://drive.google.com/file/d/1_0IIX25-G0JF-yDHx6asFADFFUg8zeKv/view?usp=drivesdk</t>
  </si>
  <si>
    <t>Siska Nurjanah</t>
  </si>
  <si>
    <t>K3322097</t>
  </si>
  <si>
    <t>1kXSOMGYC98WH5qTC3P-rkaOCpWK-9KfX</t>
  </si>
  <si>
    <t>https://drive.google.com/file/d/1kXSOMGYC98WH5qTC3P-rkaOCpWK-9KfX/view?usp=drivesdk</t>
  </si>
  <si>
    <t>14QIQU4I8It5ZkBcycOZ6fsIDPpEjY2ch</t>
  </si>
  <si>
    <t>https://drive.google.com/file/d/14QIQU4I8It5ZkBcycOZ6fsIDPpEjY2ch/view?usp=drivesdk</t>
  </si>
  <si>
    <t>Document successfully created; Document successfully merged; PDF created; Manually run by labterpadu.unit.uns@gmail.com; Timestamp: Sep 24 2025 10:37 PM</t>
  </si>
  <si>
    <t>Martha R</t>
  </si>
  <si>
    <t>1lU65PzsGpYzda9onCiZYoymFmVCXpzu7</t>
  </si>
  <si>
    <t>https://drive.google.com/file/d/1lU65PzsGpYzda9onCiZYoymFmVCXpzu7/view?usp=drivesdk</t>
  </si>
  <si>
    <t>Ilmu Lingkungan / Pascasarjana / UNS</t>
  </si>
  <si>
    <t>1TmkP1DJV-SwND1ctpuDFqHWmnAaX4seW</t>
  </si>
  <si>
    <t>https://drive.google.com/file/d/1TmkP1DJV-SwND1ctpuDFqHWmnAaX4seW/view?usp=drivesdk</t>
  </si>
  <si>
    <t>Document successfully created; Document successfully merged; PDF created; Manually run by labterpadu.unit.uns@gmail.com; Timestamp: Sep 28 2025 11:45 PM</t>
  </si>
  <si>
    <t>Danur Dwi Fitriatama</t>
  </si>
  <si>
    <t>M0322026</t>
  </si>
  <si>
    <t>1jKT3hs9U9VR4swZQaIMJ7r2B660Lgulc</t>
  </si>
  <si>
    <t>https://drive.google.com/file/d/1jKT3hs9U9VR4swZQaIMJ7r2B660Lgulc/view?usp=drivesdk</t>
  </si>
  <si>
    <t>M Fauzan L</t>
  </si>
  <si>
    <t>1JXsMq2Xc6fRZtnK_PgHqj5KszW0m7GJ-</t>
  </si>
  <si>
    <t>https://drive.google.com/file/d/1JXsMq2Xc6fRZtnK_PgHqj5KszW0m7GJ-/view?usp=drivesdk</t>
  </si>
  <si>
    <t>Document successfully created; Document successfully merged; PDF created; Manually run by labterpadu.unit.uns@gmail.com; Timestamp: Oct 2 2025 4:09 AM</t>
  </si>
  <si>
    <t>1rFh2CU40gNveScI-fZ_2CjAnMPz0LXFl</t>
  </si>
  <si>
    <t>https://drive.google.com/file/d/1rFh2CU40gNveScI-fZ_2CjAnMPz0LXFl/view?usp=drivesdk</t>
  </si>
  <si>
    <t>Document successfully created; Document successfully merged; PDF created; Manually run by labterpadu.unit.uns@gmail.com; Timestamp: Oct 2 2025 5:43 AM</t>
  </si>
  <si>
    <t>Hana Alimah</t>
  </si>
  <si>
    <t>K3322043</t>
  </si>
  <si>
    <t>1sFreGq-uJLbfQGB2jrqwARRDA04gA9BO</t>
  </si>
  <si>
    <t>https://drive.google.com/file/d/1sFreGq-uJLbfQGB2jrqwARRDA04gA9BO/view?usp=drivesdk</t>
  </si>
  <si>
    <t>Document successfully created; Document successfully merged; PDF created; Manually run by labterpadu.unit.uns@gmail.com; Timestamp: Oct 10 2025 2:11 AM</t>
  </si>
  <si>
    <t>1XUSLWen-QGKnUiGORBhTLP5cF8NqnoaB</t>
  </si>
  <si>
    <t>https://drive.google.com/file/d/1XUSLWen-QGKnUiGORBhTLP5cF8NqnoaB/view?usp=drivesdk</t>
  </si>
  <si>
    <t>1quu-e_LU-rnU2TF1GPnX9Ahrn_Deopw3</t>
  </si>
  <si>
    <t>https://drive.google.com/file/d/1quu-e_LU-rnU2TF1GPnX9Ahrn_Deopw3/view?usp=drivesdk</t>
  </si>
  <si>
    <t>Document successfully created; Document successfully merged; PDF created; Manually run by labterpadu.unit.uns@gmail.com; Timestamp: Oct 15 2025 3:45 AM</t>
  </si>
  <si>
    <t>Risqina Salsabila Syacharani</t>
  </si>
  <si>
    <t>M0322078</t>
  </si>
  <si>
    <t>17sfVlu2fzLqw_b4_9TH5BKkeyYzcsOkZ</t>
  </si>
  <si>
    <t>https://drive.google.com/file/d/17sfVlu2fzLqw_b4_9TH5BKkeyYzcsOkZ/view?usp=drivesdk</t>
  </si>
  <si>
    <t>Document successfully created; Document successfully merged; PDF created; Manually run by labterpadu.unit.uns@gmail.com; Timestamp: Oct 21 2025 4:27 AM</t>
  </si>
  <si>
    <t>Widyastuti Majidah</t>
  </si>
  <si>
    <t>M0322093</t>
  </si>
  <si>
    <t>1nlEzlfUyd9kEmjme3kc_Fe1IXnR8y-AH</t>
  </si>
  <si>
    <t>https://drive.google.com/file/d/1nlEzlfUyd9kEmjme3kc_Fe1IXnR8y-AH/view?usp=drivesdk</t>
  </si>
  <si>
    <t>1Py8F9g1hojQ_ZWybT29hAn3Dlqslp6LD</t>
  </si>
  <si>
    <t>https://drive.google.com/file/d/1Py8F9g1hojQ_ZWybT29hAn3Dlqslp6LD/view?usp=drivesdk</t>
  </si>
  <si>
    <t>Hanifah Nur Jannah</t>
  </si>
  <si>
    <t>K2322037</t>
  </si>
  <si>
    <t>1w-SyW5vHxrLslwbZxZwPDiAOohg9VHtO</t>
  </si>
  <si>
    <t>https://drive.google.com/file/d/1w-SyW5vHxrLslwbZxZwPDiAOohg9VHtO/view?usp=drivesdk</t>
  </si>
  <si>
    <t>Document successfully created; Document successfully merged; PDF created; Manually run by labterpadu.unit.uns@gmail.com; Timestamp: Oct 21 2025 4:28 AM</t>
  </si>
  <si>
    <t>Shyery Fauziah Nur Rizki</t>
  </si>
  <si>
    <t>D500240053</t>
  </si>
  <si>
    <t>Teknik Kimia/Teknik/UMS</t>
  </si>
  <si>
    <t>1wuMF1jZH4q1KBHEazy_1moiCtuWkK4wc</t>
  </si>
  <si>
    <t>https://drive.google.com/file/d/1wuMF1jZH4q1KBHEazy_1moiCtuWkK4wc/view?usp=drivesdk</t>
  </si>
  <si>
    <t>1eX579BZvCv_4j00Of6GMDHIZezRK9LvD</t>
  </si>
  <si>
    <t>https://drive.google.com/file/d/1eX579BZvCv_4j00Of6GMDHIZezRK9LvD/view?usp=drivesdk</t>
  </si>
  <si>
    <t>Document successfully created; Document successfully merged; PDF created; Manually run by labterpadu.unit.uns@gmail.com; Timestamp: Oct 28 2025 7:54 AM</t>
  </si>
  <si>
    <t>1nOiX8LcCP7VifkQM_zC0Tf3hnZIrqvFA</t>
  </si>
  <si>
    <t>https://drive.google.com/file/d/1nOiX8LcCP7VifkQM_zC0Tf3hnZIrqvFA/view?usp=drivesdk</t>
  </si>
  <si>
    <t>Document successfully created; Document successfully merged; PDF created; Manually run by labterpadu.unit.uns@gmail.com; Timestamp: Oct 30 2025 3:31 AM</t>
  </si>
  <si>
    <t>1iPzIswmdNm7yDCaj8RKP8YgrxN5EOBjB</t>
  </si>
  <si>
    <t>https://drive.google.com/file/d/1iPzIswmdNm7yDCaj8RKP8YgrxN5EOBjB/view?usp=drivesdk</t>
  </si>
  <si>
    <t>Document successfully created; Document successfully merged; PDF created; Manually run by labterpadu.unit.uns@gmail.com; Timestamp: Nov 12 2025 4:31 AM</t>
  </si>
  <si>
    <t>Syauqina</t>
  </si>
  <si>
    <t>1O4MHbYY1QlJnkllCP6MaeO_AQSEIqNiZ</t>
  </si>
  <si>
    <t>https://drive.google.com/file/d/1O4MHbYY1QlJnkllCP6MaeO_AQSEIqNiZ/view?usp=drivesdk</t>
  </si>
  <si>
    <t>Document successfully created; Document successfully merged; PDF created; Manually run by labterpadu.unit.uns@gmail.com; Timestamp: Nov 16 2025 9:58 PM</t>
  </si>
  <si>
    <t>Tekni Mesin/Teknik/UNS</t>
  </si>
  <si>
    <t>14mVch4lixM9_UlZlQGFqR8MmQm1NRCHf</t>
  </si>
  <si>
    <t>https://drive.google.com/file/d/14mVch4lixM9_UlZlQGFqR8MmQm1NRCHf/view?usp=drivesdk</t>
  </si>
  <si>
    <t>S1 Farmasi/FMIPA/Universitas Sebelas Maret</t>
  </si>
  <si>
    <t>1RwWvb1u4I6nxCZ6nlJMALIoDDfTUHDoB</t>
  </si>
  <si>
    <t>https://drive.google.com/file/d/1RwWvb1u4I6nxCZ6nlJMALIoDDfTUHDoB/view?usp=drivesdk</t>
  </si>
  <si>
    <t>Document successfully created; Document successfully merged; PDF created; Manually run by labterpadu.unit.uns@gmail.com; Timestamp: Nov 16 2025 10:01 PM</t>
  </si>
  <si>
    <r>
      <rPr>
        <rFont val="&quot;Times New Roman&quot;, serif"/>
        <color rgb="FF000000"/>
        <sz val="12.0"/>
      </rPr>
      <t>Tanggal Map Keluar</t>
    </r>
  </si>
  <si>
    <r>
      <rPr>
        <rFont val="&quot;Times New Roman&quot;, serif"/>
        <color rgb="FF000000"/>
        <sz val="12.0"/>
      </rPr>
      <t>Fakultas/Univ</t>
    </r>
  </si>
  <si>
    <r>
      <rPr>
        <rFont val="&quot;Times New Roman&quot;, serif"/>
        <color rgb="FF000000"/>
        <sz val="12.0"/>
      </rPr>
      <t>Harga per paket</t>
    </r>
  </si>
  <si>
    <r>
      <rPr>
        <rFont val="&quot;Times New Roman&quot;, serif"/>
        <color rgb="FF000000"/>
        <sz val="12.0"/>
      </rPr>
      <t>Tambahan sampel</t>
    </r>
  </si>
  <si>
    <r>
      <rPr>
        <rFont val="&quot;Times New Roman&quot;, serif"/>
        <color rgb="FF000000"/>
        <sz val="12.0"/>
      </rPr>
      <t>Harga per tambahan</t>
    </r>
  </si>
  <si>
    <r>
      <rPr>
        <rFont val="&quot;Times New Roman&quot;, serif"/>
        <color rgb="FF000000"/>
        <sz val="12.0"/>
      </rPr>
      <t>Waktu retensi</t>
    </r>
  </si>
  <si>
    <r>
      <rPr>
        <rFont val="&quot;Times New Roman&quot;, serif"/>
        <color rgb="FF000000"/>
        <sz val="12.0"/>
      </rPr>
      <t>Persiapan instrument</t>
    </r>
  </si>
  <si>
    <r>
      <rPr>
        <rFont val="&quot;Times New Roman&quot;, serif"/>
        <color rgb="FF000000"/>
        <sz val="12.0"/>
      </rPr>
      <t>Preparasi sampel</t>
    </r>
  </si>
  <si>
    <r>
      <rPr>
        <rFont val="&quot;Times New Roman&quot;, serif"/>
        <color rgb="FF000000"/>
        <sz val="12.0"/>
      </rPr>
      <t>Pengukuran sampel</t>
    </r>
  </si>
  <si>
    <r>
      <rPr>
        <rFont val="&quot;Times New Roman&quot;, serif"/>
        <color rgb="FF000000"/>
        <sz val="12.0"/>
      </rPr>
      <t>Pengolahan data</t>
    </r>
  </si>
  <si>
    <r>
      <rPr>
        <rFont val="&quot;Times New Roman&quot;, serif"/>
        <color rgb="FF000000"/>
        <sz val="12.0"/>
      </rPr>
      <t>Mematikan instrument</t>
    </r>
  </si>
  <si>
    <r>
      <rPr>
        <rFont val="&quot;Times New Roman&quot;, serif"/>
        <b/>
        <color rgb="FF000000"/>
        <sz val="12.0"/>
      </rPr>
      <t>Total waktu pengerjaan</t>
    </r>
  </si>
  <si>
    <t>Yaya</t>
  </si>
  <si>
    <t>kdufgbkfjbkw</t>
  </si>
  <si>
    <t>idfbiwufgwike</t>
  </si>
  <si>
    <t>weufbkwejbfwb</t>
  </si>
  <si>
    <t>fbjwklfwf</t>
  </si>
  <si>
    <t>jahfjkahfabkjbf</t>
  </si>
  <si>
    <t>jkdfgukgfk</t>
  </si>
  <si>
    <t>1YFRi3MDbKRVakPcw_tE9vYr2FuqdjKmb</t>
  </si>
  <si>
    <t>https://drive.google.com/file/d/1YFRi3MDbKRVakPcw_tE9vYr2FuqdjKmb/view?usp=drivesdk</t>
  </si>
  <si>
    <t>Document successfully created; Document successfully merged; PDF created; Manually run by labterpadu.unit.uns@gmail.com; Timestamp: Jun 29 2025 9:29 PM</t>
  </si>
  <si>
    <t>Monday, 24 June 0205</t>
  </si>
  <si>
    <t>TLC Scanner</t>
  </si>
  <si>
    <t>1aNhbqqmnF8GSOVyh1-2qEt0mxvjNPX8E</t>
  </si>
  <si>
    <t>https://drive.google.com/file/d/1aNhbqqmnF8GSOVyh1-2qEt0mxvjNPX8E/view?usp=drivesdk</t>
  </si>
  <si>
    <t xml:space="preserve"> Tanggal Map Keluar</t>
  </si>
  <si>
    <r>
      <rPr>
        <rFont val="Arial"/>
        <b/>
        <color rgb="FF000000"/>
        <sz val="11.0"/>
      </rPr>
      <t>Hari, Tanggal pembuatan rekap</t>
    </r>
  </si>
  <si>
    <r>
      <rPr>
        <rFont val="Arial"/>
        <b/>
        <color rgb="FF000000"/>
        <sz val="11.0"/>
      </rPr>
      <t>Pembuat Rekap</t>
    </r>
  </si>
  <si>
    <r>
      <rPr>
        <rFont val="Arial"/>
        <b/>
        <color rgb="FF000000"/>
        <sz val="11.0"/>
      </rPr>
      <t>Agenda</t>
    </r>
  </si>
  <si>
    <r>
      <rPr>
        <rFont val="Arial"/>
        <b/>
        <color rgb="FF000000"/>
        <sz val="11.0"/>
      </rPr>
      <t>Nama</t>
    </r>
  </si>
  <si>
    <r>
      <rPr>
        <rFont val="Arial"/>
        <b/>
        <color rgb="FF000000"/>
        <sz val="11.0"/>
      </rPr>
      <t>NIM/NIP</t>
    </r>
  </si>
  <si>
    <r>
      <rPr>
        <rFont val="Arial"/>
        <b/>
        <color rgb="FF000000"/>
        <sz val="11.0"/>
      </rPr>
      <t>Fakultas/Univ</t>
    </r>
  </si>
  <si>
    <r>
      <rPr>
        <rFont val="Arial"/>
        <b/>
        <color rgb="FF000000"/>
        <sz val="11.0"/>
      </rPr>
      <t>Akses Lab</t>
    </r>
  </si>
  <si>
    <r>
      <rPr>
        <rFont val="Arial"/>
        <b/>
        <color rgb="FF000000"/>
        <sz val="11.0"/>
      </rPr>
      <t>Instrument</t>
    </r>
  </si>
  <si>
    <t>Keterangan</t>
  </si>
  <si>
    <r>
      <rPr>
        <rFont val="Arial"/>
        <b/>
        <color rgb="FF000000"/>
        <sz val="11.0"/>
      </rPr>
      <t>Jumlah Sampel</t>
    </r>
  </si>
  <si>
    <r>
      <rPr>
        <rFont val="Arial"/>
        <b/>
        <color rgb="FF000000"/>
        <sz val="11.0"/>
      </rPr>
      <t>Harga per Sampel</t>
    </r>
  </si>
  <si>
    <r>
      <rPr>
        <rFont val="Arial"/>
        <b/>
        <color rgb="FF000000"/>
        <sz val="11.0"/>
      </rPr>
      <t>Pengkondisian</t>
    </r>
  </si>
  <si>
    <r>
      <rPr>
        <rFont val="Arial"/>
        <b/>
        <color rgb="FF000000"/>
        <sz val="11.0"/>
      </rPr>
      <t>Preparasi dan Pengukuran</t>
    </r>
  </si>
  <si>
    <r>
      <rPr>
        <rFont val="Arial"/>
        <b/>
        <color rgb="FF000000"/>
        <sz val="11.0"/>
      </rPr>
      <t>Pengolahan Data</t>
    </r>
  </si>
  <si>
    <r>
      <rPr>
        <rFont val="Arial"/>
        <b/>
        <color rgb="FF000000"/>
        <sz val="11.0"/>
      </rPr>
      <t>Mematikan instrument</t>
    </r>
  </si>
  <si>
    <r>
      <rPr>
        <rFont val="Arial"/>
        <b/>
        <color rgb="FF000000"/>
        <sz val="11.0"/>
      </rPr>
      <t>Total waktu pengerjaan</t>
    </r>
  </si>
  <si>
    <t>Merged Doc ID - Rekap Uv-Vis (Udara)</t>
  </si>
  <si>
    <t>Merged Doc URL - Rekap Uv-Vis (Udara)</t>
  </si>
  <si>
    <t>Link to merged Doc - Rekap Uv-Vis (Udara)</t>
  </si>
  <si>
    <t>Document Merge Status - Rekap Uv-Vis (Udara)</t>
  </si>
  <si>
    <t>Hastuti Diah</t>
  </si>
  <si>
    <t>Ndiayu Ajeng Gareta</t>
  </si>
  <si>
    <t>K3321050</t>
  </si>
  <si>
    <t>Spektrofotometer UV-VIS</t>
  </si>
  <si>
    <t>Training</t>
  </si>
  <si>
    <t>1ORESQumOwNk2bhUn5oP0fPSW4L-o6SVS</t>
  </si>
  <si>
    <t>https://drive.google.com/file/d/1ORESQumOwNk2bhUn5oP0fPSW4L-o6SVS/view?usp=drivesdk</t>
  </si>
  <si>
    <t>Document successfully created; Document successfully merged; PDF created; Manually run by labterpadu.unit.uns@gmail.com; Timestamp: Aug 29 2024 4:34 AM</t>
  </si>
  <si>
    <t>Pendidikan Biologi/FKIP/UNS</t>
  </si>
  <si>
    <t>1Y9_40cHukfNA69qSE4mv9yqvbeddJBDf</t>
  </si>
  <si>
    <t>https://drive.google.com/file/d/1Y9_40cHukfNA69qSE4mv9yqvbeddJBDf/view?usp=drivesdk</t>
  </si>
  <si>
    <t>1SE6HQbDt5OhfjZzrQkGfv8Tm831sNP8w</t>
  </si>
  <si>
    <t>https://drive.google.com/file/d/1SE6HQbDt5OhfjZzrQkGfv8Tm831sNP8w/view?usp=drivesdk</t>
  </si>
  <si>
    <t>Yusuf Kurnia Pamungkas</t>
  </si>
  <si>
    <t>M0620059</t>
  </si>
  <si>
    <t>Yusuf Kurnia Pamungkas + Annisa</t>
  </si>
  <si>
    <t>151aiRYsMfHgK2GAgH7f_nGJwAoChahPN</t>
  </si>
  <si>
    <t>https://drive.google.com/file/d/151aiRYsMfHgK2GAgH7f_nGJwAoChahPN/view?usp=drivesdk</t>
  </si>
  <si>
    <t>Document successfully created; Document successfully merged; PDF created; Manually run by labterpadu.unit.uns@gmail.com; Timestamp: Aug 29 2024 4:35 AM</t>
  </si>
  <si>
    <t>Ratna Dewi Eskundari</t>
  </si>
  <si>
    <t>Univet Bantara</t>
  </si>
  <si>
    <t>Annisa</t>
  </si>
  <si>
    <t>Diujikan</t>
  </si>
  <si>
    <t>1TfOU0x-7moyar_eEqB-42tSg7lXpHzJr</t>
  </si>
  <si>
    <t>https://drive.google.com/file/d/1TfOU0x-7moyar_eEqB-42tSg7lXpHzJr/view?usp=drivesdk</t>
  </si>
  <si>
    <t>14b1FCa1GsccmOOC-KieSL9Yaj436ooi4</t>
  </si>
  <si>
    <t>https://drive.google.com/file/d/14b1FCa1GsccmOOC-KieSL9Yaj436ooi4/view?usp=drivesdk</t>
  </si>
  <si>
    <t>Izza Laila Nur Rohmah + Annisa</t>
  </si>
  <si>
    <t>19zyOsV7mB579NvxJ74oHNRMr5vxfLQ-a</t>
  </si>
  <si>
    <t>https://drive.google.com/file/d/19zyOsV7mB579NvxJ74oHNRMr5vxfLQ-a/view?usp=drivesdk</t>
  </si>
  <si>
    <t>Document successfully created; Document successfully merged; PDF created; Manually run by labterpadu.unit.uns@gmail.com; Timestamp: Aug 30 2024 5:42 AM</t>
  </si>
  <si>
    <t>Bintang Adhie Perdana</t>
  </si>
  <si>
    <t>K3319022</t>
  </si>
  <si>
    <t>Bintang Adhie Perdana + Annisa</t>
  </si>
  <si>
    <t>12spZ-aE162WNHUc-XrgdAWTdY4e36TwA</t>
  </si>
  <si>
    <t>https://drive.google.com/file/d/12spZ-aE162WNHUc-XrgdAWTdY4e36TwA/view?usp=drivesdk</t>
  </si>
  <si>
    <t>Document successfully created; Document successfully merged; PDF created; Manually run by labterpadu.unit.uns@gmail.com; Timestamp: Sep 4 2024 9:45 PM</t>
  </si>
  <si>
    <t>Riswanda Puspitasari</t>
  </si>
  <si>
    <t>M0221074</t>
  </si>
  <si>
    <t>Riswanda Puspitasari + Annisa</t>
  </si>
  <si>
    <t>1KG55qN4IYofr6YDPOmLUJGrezWvIy9up</t>
  </si>
  <si>
    <t>https://drive.google.com/file/d/1KG55qN4IYofr6YDPOmLUJGrezWvIy9up/view?usp=drivesdk</t>
  </si>
  <si>
    <t>1vHtqCD_YJih-vuJMkpf1ChP25fv_TRbs</t>
  </si>
  <si>
    <t>https://drive.google.com/file/d/1vHtqCD_YJih-vuJMkpf1ChP25fv_TRbs/view?usp=drivesdk</t>
  </si>
  <si>
    <t>Document successfully created; Document successfully merged; PDF created; Manually run by hastutidiah@staff.uns.ac.id; Timestamp: Sep 5 2024 1:06 AM</t>
  </si>
  <si>
    <t>1tXAiKaikOeqPSBmEhfh4smSUHJJy7G2F</t>
  </si>
  <si>
    <t>https://drive.google.com/file/d/1tXAiKaikOeqPSBmEhfh4smSUHJJy7G2F/view?usp=drivesdk</t>
  </si>
  <si>
    <t>Document successfully created; Document successfully merged; PDF created; Manually run by hastutidiah@staff.uns.ac.id; Timestamp: Sep 9 2024 11:39 PM</t>
  </si>
  <si>
    <t>1SWtpfHdxyk1BMn3LtQb0hxSosFGvlE5-</t>
  </si>
  <si>
    <t>https://drive.google.com/file/d/1SWtpfHdxyk1BMn3LtQb0hxSosFGvlE5-/view?usp=drivesdk</t>
  </si>
  <si>
    <t>Document successfully created; Document successfully merged; PDF created; Manually run by hastutidiah@staff.uns.ac.id; Timestamp: Sep 10 2024 9:51 PM</t>
  </si>
  <si>
    <t>Farras Nibras</t>
  </si>
  <si>
    <t>K3320031</t>
  </si>
  <si>
    <t>Farras Nibras + Annisa</t>
  </si>
  <si>
    <t>198JykvlX_JegUtAxoX5bxluxrvHEpCIm</t>
  </si>
  <si>
    <t>https://drive.google.com/file/d/198JykvlX_JegUtAxoX5bxluxrvHEpCIm/view?usp=drivesdk</t>
  </si>
  <si>
    <t>1mVRtXdC0Kb9Vf2j4hi8TIw_6xMLZUClV</t>
  </si>
  <si>
    <t>https://drive.google.com/file/d/1mVRtXdC0Kb9Vf2j4hi8TIw_6xMLZUClV/view?usp=drivesdk</t>
  </si>
  <si>
    <t>Document successfully created; Document successfully merged; PDF created; Manually run by hastutidiah@staff.uns.ac.id; Timestamp: Sep 12 2024 2:51 AM</t>
  </si>
  <si>
    <t>Amirza Fahma Addiniyyah</t>
  </si>
  <si>
    <t>M0220005</t>
  </si>
  <si>
    <t>1vQuhrrqlBWpyhjopkYmy3_-WlXIjIPqC</t>
  </si>
  <si>
    <t>https://drive.google.com/file/d/1vQuhrrqlBWpyhjopkYmy3_-WlXIjIPqC/view?usp=drivesdk</t>
  </si>
  <si>
    <t>Document successfully created; Document successfully merged; PDF created; Manually run by hastutidiah@staff.uns.ac.id; Timestamp: Sep 20 2024 4:47 AM</t>
  </si>
  <si>
    <t>10ImP8jb_CCLVpuj7LB3Zr6gUTJANUtXC</t>
  </si>
  <si>
    <t>https://drive.google.com/file/d/10ImP8jb_CCLVpuj7LB3Zr6gUTJANUtXC/view?usp=drivesdk</t>
  </si>
  <si>
    <t>Document successfully created; Document successfully merged; PDF created; Manually run by hastutidiah@staff.uns.ac.id; Timestamp: Sep 20 2024 4:48 AM</t>
  </si>
  <si>
    <t>1-J4hf6V82ybCAxJV07LQDI58smI1eJ23</t>
  </si>
  <si>
    <t>https://drive.google.com/file/d/1-J4hf6V82ybCAxJV07LQDI58smI1eJ23/view?usp=drivesdk</t>
  </si>
  <si>
    <t>1QmpOB-6_FnwPMG_kfcLKScl3sQZaY0V5</t>
  </si>
  <si>
    <t>https://drive.google.com/file/d/1QmpOB-6_FnwPMG_kfcLKScl3sQZaY0V5/view?usp=drivesdk</t>
  </si>
  <si>
    <t>Document successfully created; Document successfully merged; PDF created; Manually run by labterpadu.unit.uns@gmail.com; Timestamp: Sep 23 2024 10:01 PM</t>
  </si>
  <si>
    <t>10vfFQ82squX4WmV5_kT0GXew6X6DIydL</t>
  </si>
  <si>
    <t>https://drive.google.com/file/d/10vfFQ82squX4WmV5_kT0GXew6X6DIydL/view?usp=drivesdk</t>
  </si>
  <si>
    <t>Document successfully created; Document successfully merged; PDF created; Manually run by labterpadu.unit.uns@gmail.com; Timestamp: Sep 25 2024 4:24 AM</t>
  </si>
  <si>
    <t>Zulfana Qoulan Syadida</t>
  </si>
  <si>
    <t>K3320082</t>
  </si>
  <si>
    <t>1G1AYuw5IF6p1gy5FcwlxL4eBf33ry57n</t>
  </si>
  <si>
    <t>https://drive.google.com/file/d/1G1AYuw5IF6p1gy5FcwlxL4eBf33ry57n/view?usp=drivesdk</t>
  </si>
  <si>
    <t>Document successfully created; Document successfully merged; PDF created; Manually run by labterpadu.unit.uns@gmail.com; Timestamp: Sep 26 2024 12:02 AM</t>
  </si>
  <si>
    <t>M0620061</t>
  </si>
  <si>
    <t>1BzNuRCD-sBmVOTH8LcQJOStxz5suXbus</t>
  </si>
  <si>
    <t>https://drive.google.com/file/d/1BzNuRCD-sBmVOTH8LcQJOStxz5suXbus/view?usp=drivesdk</t>
  </si>
  <si>
    <t>1ynp98ygIk88dbCl6fKBGROkO4mP8W_4h</t>
  </si>
  <si>
    <t>https://drive.google.com/file/d/1ynp98ygIk88dbCl6fKBGROkO4mP8W_4h/view?usp=drivesdk</t>
  </si>
  <si>
    <t>Document successfully created; Document successfully merged; PDF created; Manually run by hastutidiah@staff.uns.ac.id; Timestamp: Oct 2 2024 3:22 AM</t>
  </si>
  <si>
    <t>Karima Majid</t>
  </si>
  <si>
    <t>K3320044</t>
  </si>
  <si>
    <t>1xG3tHmRSANtBsZenNzltwhIT8oVfUbz6</t>
  </si>
  <si>
    <t>https://drive.google.com/file/d/1xG3tHmRSANtBsZenNzltwhIT8oVfUbz6/view?usp=drivesdk</t>
  </si>
  <si>
    <t>Hardani</t>
  </si>
  <si>
    <t>1nLoaP04Tq4APHsMpVbFuw5hwgnxox7JV</t>
  </si>
  <si>
    <t>https://drive.google.com/file/d/1nLoaP04Tq4APHsMpVbFuw5hwgnxox7JV/view?usp=drivesdk</t>
  </si>
  <si>
    <t>Document successfully created; Document successfully merged; PDF created; Manually run by hastutidiah@staff.uns.ac.id; Timestamp: Oct 3 2024 9:57 PM</t>
  </si>
  <si>
    <t>Shasha Putri Andiyani</t>
  </si>
  <si>
    <t>M0220085</t>
  </si>
  <si>
    <t>Shasha Putri Andiyani + Annisa</t>
  </si>
  <si>
    <t>1avLZRqEln5h8MT_-8CKVbPUK30fUfuZr</t>
  </si>
  <si>
    <t>https://drive.google.com/file/d/1avLZRqEln5h8MT_-8CKVbPUK30fUfuZr/view?usp=drivesdk</t>
  </si>
  <si>
    <t>Document successfully created; Document successfully merged; PDF created; Manually run by hastutidiah@staff.uns.ac.id; Timestamp: Oct 21 2024 4:12 AM</t>
  </si>
  <si>
    <t>1OaSAWEiyELfDVZh29hBb4XIJxoqEPrh1</t>
  </si>
  <si>
    <t>https://drive.google.com/file/d/1OaSAWEiyELfDVZh29hBb4XIJxoqEPrh1/view?usp=drivesdk</t>
  </si>
  <si>
    <t>Document successfully created; Document successfully merged; PDF created; Manually run by hastutidiah@staff.uns.ac.id; Timestamp: Nov 4 2024 2:34 AM</t>
  </si>
  <si>
    <t>Salwa Nafisa Karim</t>
  </si>
  <si>
    <t>K3320066</t>
  </si>
  <si>
    <t>11sQbzYgOvWu94S_qBLJSfiYFCR-85X4o</t>
  </si>
  <si>
    <t>https://drive.google.com/file/d/11sQbzYgOvWu94S_qBLJSfiYFCR-85X4o/view?usp=drivesdk</t>
  </si>
  <si>
    <t>Document successfully created; Document successfully merged; PDF created; Manually run by labterpadu.unit.uns@gmail.com; Timestamp: Nov 20 2024 9:56 PM</t>
  </si>
  <si>
    <t>Andika Setya Aspana</t>
  </si>
  <si>
    <t>M02210999</t>
  </si>
  <si>
    <t>Andika Setya Aspana + Annisa</t>
  </si>
  <si>
    <t>1SL8ckhNZH4h9CZ1PT-Sdj-rnHexs0BAs</t>
  </si>
  <si>
    <t>https://drive.google.com/file/d/1SL8ckhNZH4h9CZ1PT-Sdj-rnHexs0BAs/view?usp=drivesdk</t>
  </si>
  <si>
    <t>Document successfully created; Document successfully merged; PDF created; Manually run by labterpadu.unit.uns@gmail.com; Timestamp: Dec 11 2024 2:43 AM</t>
  </si>
  <si>
    <t>1aLKcbcSclogrxdCVLna5U6Brdg7kXYyF</t>
  </si>
  <si>
    <t>https://drive.google.com/file/d/1aLKcbcSclogrxdCVLna5U6Brdg7kXYyF/view?usp=drivesdk</t>
  </si>
  <si>
    <t>Document successfully created; Document successfully merged; PDF created; Manually run by labterpadu.unit.uns@gmail.com; Timestamp: Jan 7 2025 11:14 PM</t>
  </si>
  <si>
    <t>Putri Elvia Sari</t>
  </si>
  <si>
    <t>26206301A</t>
  </si>
  <si>
    <t>S1 Farmasi/Farmasi/Universitas Setia Budi</t>
  </si>
  <si>
    <t>1xnlDfn3ipegNWafOIFJqLDnAAyBkOXTT</t>
  </si>
  <si>
    <t>https://drive.google.com/file/d/1xnlDfn3ipegNWafOIFJqLDnAAyBkOXTT/view?usp=drivesdk</t>
  </si>
  <si>
    <t>Document successfully created; Document successfully merged; PDF created; Manually run by labterpadu.unit.uns@gmail.com; Timestamp: Jan 15 2025 1:02 AM</t>
  </si>
  <si>
    <t>024</t>
  </si>
  <si>
    <t>13xIkfoYqpcci2zYyJfsJuTPUzc8hQ32f</t>
  </si>
  <si>
    <t>https://drive.google.com/file/d/13xIkfoYqpcci2zYyJfsJuTPUzc8hQ32f/view?usp=drivesdk</t>
  </si>
  <si>
    <t>Document successfully created; Document successfully merged; PDF created; Manually run by labterpadu.unit.uns@gmail.com; Timestamp: Jan 16 2025 3:03 AM</t>
  </si>
  <si>
    <t>030</t>
  </si>
  <si>
    <t>Spektrofotometer UV-VIS (Kualitatif)</t>
  </si>
  <si>
    <t>16oc8l9hykRyxnkvImmfeIankqyKYWNc4</t>
  </si>
  <si>
    <t>https://drive.google.com/file/d/16oc8l9hykRyxnkvImmfeIankqyKYWNc4/view?usp=drivesdk</t>
  </si>
  <si>
    <t>Document successfully created; Document successfully merged; PDF created; Manually run by labterpadu.unit.uns@gmail.com; Timestamp: Jan 20 2025 2:49 AM</t>
  </si>
  <si>
    <t>070</t>
  </si>
  <si>
    <t>1DWRJG-bDLJ-r1XrYiY-aDw0mxW7YceQF</t>
  </si>
  <si>
    <t>https://drive.google.com/file/d/1DWRJG-bDLJ-r1XrYiY-aDw0mxW7YceQF/view?usp=drivesdk</t>
  </si>
  <si>
    <t>Document successfully created; Document successfully merged; PDF created; Manually run by labterpadu.unit.uns@gmail.com; Timestamp: Feb 3 2025 2:58 AM</t>
  </si>
  <si>
    <t>080</t>
  </si>
  <si>
    <t>S-1 Farmasi/FMIPA/UNS</t>
  </si>
  <si>
    <t>1bDi79oBAIVMUeKr3VlYWfiPI2UKGEM8t</t>
  </si>
  <si>
    <t>https://drive.google.com/file/d/1bDi79oBAIVMUeKr3VlYWfiPI2UKGEM8t/view?usp=drivesdk</t>
  </si>
  <si>
    <t>Document successfully created; Document successfully merged; PDF created; Manually run by labterpadu.unit.uns@gmail.com; Timestamp: Feb 6 2025 1:34 AM</t>
  </si>
  <si>
    <t>085</t>
  </si>
  <si>
    <t>1lDEk29yh-fqSqoh0M-eKLYVfD3tINzHT</t>
  </si>
  <si>
    <t>https://drive.google.com/file/d/1lDEk29yh-fqSqoh0M-eKLYVfD3tINzHT/view?usp=drivesdk</t>
  </si>
  <si>
    <t>Document successfully created; Document successfully merged; PDF created; Manually run by labterpadu.unit.uns@gmail.com; Timestamp: Feb 10 2025 12:49 AM</t>
  </si>
  <si>
    <t>086</t>
  </si>
  <si>
    <t>Sajdaa' Faatimah</t>
  </si>
  <si>
    <t>M0318057</t>
  </si>
  <si>
    <t>1TNCDqGCd4K3OyFaBZVDVgP5mWkjN_6Si</t>
  </si>
  <si>
    <t>https://drive.google.com/file/d/1TNCDqGCd4K3OyFaBZVDVgP5mWkjN_6Si/view?usp=drivesdk</t>
  </si>
  <si>
    <t>Document successfully created; Document successfully merged; PDF created; Manually run by hastutidiah@staff.uns.ac.id; Timestamp: Feb 10 2025 8:05 PM</t>
  </si>
  <si>
    <t>107</t>
  </si>
  <si>
    <t>1h2jIEKBtjONrfyte43YJSuL2pSLUkl_v</t>
  </si>
  <si>
    <t>https://drive.google.com/file/d/1h2jIEKBtjONrfyte43YJSuL2pSLUkl_v/view?usp=drivesdk</t>
  </si>
  <si>
    <t>Document successfully created; Document successfully merged; PDF created; Manually run by labterpadu.unit.uns@gmail.com; Timestamp: Feb 19 2025 12:11 AM</t>
  </si>
  <si>
    <t>Kimia / MIPA / UNS</t>
  </si>
  <si>
    <t>Dofito Hanifah Kusindarto + Annisa</t>
  </si>
  <si>
    <t>1lV6_wM59am5ELsOR-j--wGmWuedn9mFI</t>
  </si>
  <si>
    <t>https://drive.google.com/file/d/1lV6_wM59am5ELsOR-j--wGmWuedn9mFI/view?usp=drivesdk</t>
  </si>
  <si>
    <t>Document successfully created; Document successfully merged; PDF created; Manually run by labterpadu.unit.uns@gmail.com; Timestamp: Feb 20 2025 1:59 AM</t>
  </si>
  <si>
    <t>1qhXgfYI5TorvAhTr5ugIQuQHX_SDXUYu</t>
  </si>
  <si>
    <t>https://drive.google.com/file/d/1qhXgfYI5TorvAhTr5ugIQuQHX_SDXUYu/view?usp=drivesdk</t>
  </si>
  <si>
    <t>Document successfully created; Document successfully merged; PDF created; Manually run by labterpadu.unit.uns@gmail.com; Timestamp: Feb 25 2025 2:35 AM</t>
  </si>
  <si>
    <t xml:space="preserve">Rizqi Apriliyani </t>
  </si>
  <si>
    <t>1OnXfsH-CenA_ImjwvvnqJg-P0aOaGbHa</t>
  </si>
  <si>
    <t>https://drive.google.com/file/d/1OnXfsH-CenA_ImjwvvnqJg-P0aOaGbHa/view?usp=drivesdk</t>
  </si>
  <si>
    <t>1AKpG5Bjd_3JmAuyeFECSRssp4v8JdL3c</t>
  </si>
  <si>
    <t>https://drive.google.com/file/d/1AKpG5Bjd_3JmAuyeFECSRssp4v8JdL3c/view?usp=drivesdk</t>
  </si>
  <si>
    <t>Document successfully created; Document successfully merged; PDF created; Manually run by labterpadu.unit.uns@gmail.com; Timestamp: Feb 25 2025 2:36 AM</t>
  </si>
  <si>
    <t>Rizqi Apriliyani + Annisa</t>
  </si>
  <si>
    <t>1s9rvwJ3GG8ubkfuKzYTrWoY3ADTfMeFW</t>
  </si>
  <si>
    <t>https://drive.google.com/file/d/1s9rvwJ3GG8ubkfuKzYTrWoY3ADTfMeFW/view?usp=drivesdk</t>
  </si>
  <si>
    <t>1ceoXSzKSua6QIpJ9EJsEdYMcB37mkXFA</t>
  </si>
  <si>
    <t>https://drive.google.com/file/d/1ceoXSzKSua6QIpJ9EJsEdYMcB37mkXFA/view?usp=drivesdk</t>
  </si>
  <si>
    <t>Document successfully created; Document successfully merged; PDF created; Manually run by hastutidiah@staff.uns.ac.id; Timestamp: Feb 25 2025 10:14 PM</t>
  </si>
  <si>
    <t>Alief Almasyah Akbar Mastura</t>
  </si>
  <si>
    <t>Alief Almasyah Akbar Mastura + Annisa</t>
  </si>
  <si>
    <t>1g8JUX3cYykNsMeqGpzu6eEx4jRW2dunM</t>
  </si>
  <si>
    <t>https://drive.google.com/file/d/1g8JUX3cYykNsMeqGpzu6eEx4jRW2dunM/view?usp=drivesdk</t>
  </si>
  <si>
    <t>Document successfully created; Document successfully merged; PDF created; Manually run by labterpadu.unit.uns@gmail.com; Timestamp: Mar 3 2025 2:41 AM</t>
  </si>
  <si>
    <t>1PsJjQRIy8KEBm2v8mLUwidQE6aeBiqhm</t>
  </si>
  <si>
    <t>https://drive.google.com/file/d/1PsJjQRIy8KEBm2v8mLUwidQE6aeBiqhm/view?usp=drivesdk</t>
  </si>
  <si>
    <t>Document successfully created; Document successfully merged; PDF created; Manually run by labterpadu.unit.uns@gmail.com; Timestamp: Mar 5 2025 12:21 AM</t>
  </si>
  <si>
    <t>1OoRlEEf18dSkuKBEONJpaMM3PwQBMwr8</t>
  </si>
  <si>
    <t>https://drive.google.com/file/d/1OoRlEEf18dSkuKBEONJpaMM3PwQBMwr8/view?usp=drivesdk</t>
  </si>
  <si>
    <t>Document successfully created; Document successfully merged; PDF created; Manually run by labterpadu.unit.uns@gmail.com; Timestamp: Mar 6 2025 1:29 AM</t>
  </si>
  <si>
    <t>1Lfju50SpQ0YXwY5KCJ18cY24XzWD8t1A</t>
  </si>
  <si>
    <t>https://drive.google.com/file/d/1Lfju50SpQ0YXwY5KCJ18cY24XzWD8t1A/view?usp=drivesdk</t>
  </si>
  <si>
    <t>Document successfully created; Document successfully merged; PDF created; Manually run by labterpadu.unit.uns@gmail.com; Timestamp: Mar 6 2025 10:16 PM</t>
  </si>
  <si>
    <t>13vXdoMNP1LJ3rWoCxiX0bSd_pfAqWAfQ</t>
  </si>
  <si>
    <t>https://drive.google.com/file/d/13vXdoMNP1LJ3rWoCxiX0bSd_pfAqWAfQ/view?usp=drivesdk</t>
  </si>
  <si>
    <t>Document successfully created; Document successfully merged; PDF created; Manually run by hastutidiah@staff.uns.ac.id; Timestamp: Mar 16 2025 8:59 PM</t>
  </si>
  <si>
    <t>1LRe6UhFkd4r7iuY6R5Ij3vgw6CZgaFBO</t>
  </si>
  <si>
    <t>https://drive.google.com/file/d/1LRe6UhFkd4r7iuY6R5Ij3vgw6CZgaFBO/view?usp=drivesdk</t>
  </si>
  <si>
    <t>Document successfully created; Document successfully merged; PDF created; Manually run by hastutidiah@staff.uns.ac.id; Timestamp: Mar 16 2025 9:04 PM</t>
  </si>
  <si>
    <t>1PJqNwa1fj2GnePp_xqlPmjCnc9ElqZeK</t>
  </si>
  <si>
    <t>https://drive.google.com/file/d/1PJqNwa1fj2GnePp_xqlPmjCnc9ElqZeK/view?usp=drivesdk</t>
  </si>
  <si>
    <t>Document successfully created; Document successfully merged; PDF created; Manually run by labterpadu.unit.uns@gmail.com; Timestamp: Mar 19 2025 2:53 AM</t>
  </si>
  <si>
    <t>17xUpY7mds0ltaekBjY9twQbK76ccmCr7</t>
  </si>
  <si>
    <t>https://drive.google.com/file/d/17xUpY7mds0ltaekBjY9twQbK76ccmCr7/view?usp=drivesdk</t>
  </si>
  <si>
    <t>1dix5KnoacMyMGXygOIHaxID4ONGsjOpH</t>
  </si>
  <si>
    <t>https://drive.google.com/file/d/1dix5KnoacMyMGXygOIHaxID4ONGsjOpH/view?usp=drivesdk</t>
  </si>
  <si>
    <t>1ULJ1wvURG_UyXLKHdvBsclFML794H4-s</t>
  </si>
  <si>
    <t>https://drive.google.com/file/d/1ULJ1wvURG_UyXLKHdvBsclFML794H4-s/view?usp=drivesdk</t>
  </si>
  <si>
    <t>Document successfully created; Document successfully merged; PDF created; Manually run by labterpadu.unit.uns@gmail.com; Timestamp: Mar 25 2025 11:59 PM</t>
  </si>
  <si>
    <t>Anggraeni Merdekawati</t>
  </si>
  <si>
    <t>P27235022005</t>
  </si>
  <si>
    <t>D3 Analisis Farmasi dan Makanan / Poltekkes Kemenkes Surakarta</t>
  </si>
  <si>
    <t>Anggraeni Merdekawati + Annisa</t>
  </si>
  <si>
    <t>15LNGQyncqfXThHDeWLszasPYI4g_WXWs</t>
  </si>
  <si>
    <t>https://drive.google.com/file/d/15LNGQyncqfXThHDeWLszasPYI4g_WXWs/view?usp=drivesdk</t>
  </si>
  <si>
    <t>Document successfully created; Document successfully merged; PDF created; Manually run by labterpadu.unit.uns@gmail.com; Timestamp: Mar 26 2025 12:13 AM</t>
  </si>
  <si>
    <t xml:space="preserve">Anggraeni Merdekawati </t>
  </si>
  <si>
    <t>1z8iU42yI0l3BX1dOxPb5nlQ9Cod4WUTl</t>
  </si>
  <si>
    <t>https://drive.google.com/file/d/1z8iU42yI0l3BX1dOxPb5nlQ9Cod4WUTl/view?usp=drivesdk</t>
  </si>
  <si>
    <t>Document successfully created; Document successfully merged; PDF created; Manually run by labterpadu.unit.uns@gmail.com; Timestamp: Mar 26 2025 12:24 AM</t>
  </si>
  <si>
    <t>1qZ06Xgzlly77aFf4x6L3rkJOAnXfldrM</t>
  </si>
  <si>
    <t>https://drive.google.com/file/d/1qZ06Xgzlly77aFf4x6L3rkJOAnXfldrM/view?usp=drivesdk</t>
  </si>
  <si>
    <t>1k-2hr58lf7tMSFd9wINnBGVRuchby2JJ</t>
  </si>
  <si>
    <t>https://drive.google.com/file/d/1k-2hr58lf7tMSFd9wINnBGVRuchby2JJ/view?usp=drivesdk</t>
  </si>
  <si>
    <t>1Wu4sBLEAEIJ38i65fFSjVydH2pe9df5y</t>
  </si>
  <si>
    <t>https://drive.google.com/file/d/1Wu4sBLEAEIJ38i65fFSjVydH2pe9df5y/view?usp=drivesdk</t>
  </si>
  <si>
    <t>Document successfully created; Document successfully merged; PDF created; Manually run by labterpadu.unit.uns@gmail.com; Timestamp: Apr 16 2025 3:18 AM</t>
  </si>
  <si>
    <t>1SAGhkhk4OAJ1MDZODGWjbFZUDplIX5H4</t>
  </si>
  <si>
    <t>https://drive.google.com/file/d/1SAGhkhk4OAJ1MDZODGWjbFZUDplIX5H4/view?usp=drivesdk</t>
  </si>
  <si>
    <t>1p-Lb3yBGA0wGubvkTgBvTHocIwKvXF09</t>
  </si>
  <si>
    <t>https://drive.google.com/file/d/1p-Lb3yBGA0wGubvkTgBvTHocIwKvXF09/view?usp=drivesdk</t>
  </si>
  <si>
    <t>1byx6hwOfDmDqzaB3wgh8EuoL3xMtA3cx</t>
  </si>
  <si>
    <t>https://drive.google.com/file/d/1byx6hwOfDmDqzaB3wgh8EuoL3xMtA3cx/view?usp=drivesdk</t>
  </si>
  <si>
    <t>Document successfully created; Document successfully merged; PDF created; Manually run by labterpadu.unit.uns@gmail.com; Timestamp: Apr 24 2025 2:39 AM</t>
  </si>
  <si>
    <t>1uMz3iZM4ys9gItKa2myRF8QU1KnYzPpb</t>
  </si>
  <si>
    <t>https://drive.google.com/file/d/1uMz3iZM4ys9gItKa2myRF8QU1KnYzPpb/view?usp=drivesdk</t>
  </si>
  <si>
    <t>1DC7wCsWJZYqSEpcu8ebdlYiANzcaPepd</t>
  </si>
  <si>
    <t>https://drive.google.com/file/d/1DC7wCsWJZYqSEpcu8ebdlYiANzcaPepd/view?usp=drivesdk</t>
  </si>
  <si>
    <t>1vawHhD0lTigCr2in93Ic9-WE-Wlw_QMw</t>
  </si>
  <si>
    <t>https://drive.google.com/file/d/1vawHhD0lTigCr2in93Ic9-WE-Wlw_QMw/view?usp=drivesdk</t>
  </si>
  <si>
    <t>1pRp-ai-SXOtRpF6zzVzufziqf9Du8px4</t>
  </si>
  <si>
    <t>https://drive.google.com/file/d/1pRp-ai-SXOtRpF6zzVzufziqf9Du8px4/view?usp=drivesdk</t>
  </si>
  <si>
    <t xml:space="preserve">Dwi Setiawan </t>
  </si>
  <si>
    <t>Eksternal</t>
  </si>
  <si>
    <t>Pradnyawati Azzahra</t>
  </si>
  <si>
    <t>1xX6QShKot5Ywjjibqt-YeKMhp5n2LEgC</t>
  </si>
  <si>
    <t>https://drive.google.com/file/d/1xX6QShKot5Ywjjibqt-YeKMhp5n2LEgC/view?usp=drivesdk</t>
  </si>
  <si>
    <t>Document successfully created; Document successfully merged; PDF created; Manually run by labterpadu.unit.uns@gmail.com; Timestamp: May 7 2025 2:19 AM</t>
  </si>
  <si>
    <t>1jd7Sv19Y2xrmi9HUW46V6wXrrEzFkAY6</t>
  </si>
  <si>
    <t>https://drive.google.com/file/d/1jd7Sv19Y2xrmi9HUW46V6wXrrEzFkAY6/view?usp=drivesdk</t>
  </si>
  <si>
    <t>Document successfully created; Document successfully merged; PDF created; Manually run by labterpadu.unit.uns@gmail.com; Timestamp: May 14 2025 12:50 AM</t>
  </si>
  <si>
    <t>1pqCwEWw5C6hg2MaTNkBxk8wHfPkyIG-Q</t>
  </si>
  <si>
    <t>https://drive.google.com/file/d/1pqCwEWw5C6hg2MaTNkBxk8wHfPkyIG-Q/view?usp=drivesdk</t>
  </si>
  <si>
    <t>1pYd8uraItXDUS2iKRL68WuuHlRFeuivp</t>
  </si>
  <si>
    <t>https://drive.google.com/file/d/1pYd8uraItXDUS2iKRL68WuuHlRFeuivp/view?usp=drivesdk</t>
  </si>
  <si>
    <t>Document successfully created; Document successfully merged; PDF created; Manually run by labterpadu.unit.uns@gmail.com; Timestamp: May 14 2025 12:51 AM</t>
  </si>
  <si>
    <t>13GS9q8oPnHO8oPw7ng2-yeozZzSyBjQR</t>
  </si>
  <si>
    <t>https://drive.google.com/file/d/13GS9q8oPnHO8oPw7ng2-yeozZzSyBjQR/view?usp=drivesdk</t>
  </si>
  <si>
    <t>Nadia Octaviani</t>
  </si>
  <si>
    <t>Nadia Octaviani + Zahra</t>
  </si>
  <si>
    <t>1QqPgIazFoer5Ck8psWr5kck-jnxwgR6B</t>
  </si>
  <si>
    <t>https://drive.google.com/file/d/1QqPgIazFoer5Ck8psWr5kck-jnxwgR6B/view?usp=drivesdk</t>
  </si>
  <si>
    <t>Document successfully created; Document successfully merged; PDF created; Manually run by labterpadu.unit.uns@gmail.com; Timestamp: May 14 2025 1:32 AM</t>
  </si>
  <si>
    <t>1Kb-gIXVMi5SuT_fvHTygvsyMe394sTYW</t>
  </si>
  <si>
    <t>https://drive.google.com/file/d/1Kb-gIXVMi5SuT_fvHTygvsyMe394sTYW/view?usp=drivesdk</t>
  </si>
  <si>
    <t>Document successfully created; Document successfully merged; PDF created; Manually run by labterpadu.unit.uns@gmail.com; Timestamp: May 14 2025 1:33 AM</t>
  </si>
  <si>
    <t>1PsHW3fa7TPEGC9fes2pbiDmaF0Zl_G5A</t>
  </si>
  <si>
    <t>https://drive.google.com/file/d/1PsHW3fa7TPEGC9fes2pbiDmaF0Zl_G5A/view?usp=drivesdk</t>
  </si>
  <si>
    <t>1CsiREmrLWhTQzURoh93oIvQs8hPpS2eU</t>
  </si>
  <si>
    <t>https://drive.google.com/file/d/1CsiREmrLWhTQzURoh93oIvQs8hPpS2eU/view?usp=drivesdk</t>
  </si>
  <si>
    <t>Document successfully created; Document successfully merged; PDF created; Manually run by labterpadu.unit.uns@gmail.com; Timestamp: May 15 2025 12:14 AM</t>
  </si>
  <si>
    <t>3311020603980001</t>
  </si>
  <si>
    <t>CV. MIB</t>
  </si>
  <si>
    <t>1nrfrD3pVYBabHCyvaNbwHJ7V_nryRLuO</t>
  </si>
  <si>
    <t>https://drive.google.com/file/d/1nrfrD3pVYBabHCyvaNbwHJ7V_nryRLuO/view?usp=drivesdk</t>
  </si>
  <si>
    <t>Document successfully created; Document successfully merged; PDF created; Manually run by labterpadu.unit.uns@gmail.com; Timestamp: May 15 2025 12:15 AM</t>
  </si>
  <si>
    <t>1BDOT3qYYkn4y98BNBOpowY4iIqn635_y</t>
  </si>
  <si>
    <t>https://drive.google.com/file/d/1BDOT3qYYkn4y98BNBOpowY4iIqn635_y/view?usp=drivesdk</t>
  </si>
  <si>
    <t>Document successfully created; Document successfully merged; PDF created; Manually run by labterpadu.unit.uns@gmail.com; Timestamp: May 15 2025 3:52 AM</t>
  </si>
  <si>
    <t>1Lrq7YQfBacHfT1W3bBrlPI-JkcGM_GSb</t>
  </si>
  <si>
    <t>https://drive.google.com/file/d/1Lrq7YQfBacHfT1W3bBrlPI-JkcGM_GSb/view?usp=drivesdk</t>
  </si>
  <si>
    <t>Document successfully created; Document successfully merged; PDF created; Manually run by hastutidiah@staff.uns.ac.id; Timestamp: May 15 2025 9:44 PM</t>
  </si>
  <si>
    <t>1GpCTjADH11VTBxRX4jOifaPVEm82NDkj</t>
  </si>
  <si>
    <t>https://drive.google.com/file/d/1GpCTjADH11VTBxRX4jOifaPVEm82NDkj/view?usp=drivesdk</t>
  </si>
  <si>
    <t>Document successfully created; Document successfully merged; PDF created; Manually run by hastutidiah@staff.uns.ac.id; Timestamp: May 15 2025 9:54 PM</t>
  </si>
  <si>
    <t>1F5QbDRNDe4y7mIps9pRx7ds2OtH8YnkK</t>
  </si>
  <si>
    <t>https://drive.google.com/file/d/1F5QbDRNDe4y7mIps9pRx7ds2OtH8YnkK/view?usp=drivesdk</t>
  </si>
  <si>
    <t>Document successfully created; Document successfully merged; PDF created; Manually run by labterpadu.unit.uns@gmail.com; Timestamp: May 21 2025 12:21 AM</t>
  </si>
  <si>
    <t>1SvfH7gxxsN_p2zENSmHD7YsQFnt51DKm</t>
  </si>
  <si>
    <t>https://drive.google.com/file/d/1SvfH7gxxsN_p2zENSmHD7YsQFnt51DKm/view?usp=drivesdk</t>
  </si>
  <si>
    <t>Document successfully created; Document successfully merged; PDF created; Manually run by labterpadu.unit.uns@gmail.com; Timestamp: May 21 2025 1:02 AM</t>
  </si>
  <si>
    <t xml:space="preserve">Muhammad Fadhlillah Ibn Rachmadi </t>
  </si>
  <si>
    <t>H0921051</t>
  </si>
  <si>
    <t>Ilmu dan Teknologi Pangan/Pertanian/UNS</t>
  </si>
  <si>
    <t>Muhammad Fadhlillah Ibn Rachmadi + Zahra</t>
  </si>
  <si>
    <t>1IYlb7aQ9mxFNH36cZNzQwE6cCJx_Dv7Z</t>
  </si>
  <si>
    <t>https://drive.google.com/file/d/1IYlb7aQ9mxFNH36cZNzQwE6cCJx_Dv7Z/view?usp=drivesdk</t>
  </si>
  <si>
    <t>Document successfully created; Document successfully merged; PDF created; Manually run by labterpadu.unit.uns@gmail.com; Timestamp: May 21 2025 1:03 AM</t>
  </si>
  <si>
    <t>1-D9y9W0R5XAdX4usNhT8_7epQx8yhCAG</t>
  </si>
  <si>
    <t>https://drive.google.com/file/d/1-D9y9W0R5XAdX4usNhT8_7epQx8yhCAG/view?usp=drivesdk</t>
  </si>
  <si>
    <t>Document successfully created; Document successfully merged; PDF created; Manually run by labterpadu.unit.uns@gmail.com; Timestamp: May 25 2025 10:42 PM</t>
  </si>
  <si>
    <t>1bWra1f2QE0Zgh4gom7zyJUJifFfFLYlq</t>
  </si>
  <si>
    <t>https://drive.google.com/file/d/1bWra1f2QE0Zgh4gom7zyJUJifFfFLYlq/view?usp=drivesdk</t>
  </si>
  <si>
    <t>Document successfully created; Document successfully merged; PDF created; Manually run by labterpadu.unit.uns@gmail.com; Timestamp: May 26 2025 9:29 PM</t>
  </si>
  <si>
    <t>1iykgQtL7yDu077lSQ9WJhDLfzpyZJwWZ</t>
  </si>
  <si>
    <t>https://drive.google.com/file/d/1iykgQtL7yDu077lSQ9WJhDLfzpyZJwWZ/view?usp=drivesdk</t>
  </si>
  <si>
    <t>Document successfully created; Document successfully merged; PDF created; Manually run by labterpadu.unit.uns@gmail.com; Timestamp: May 28 2025 3:11 AM</t>
  </si>
  <si>
    <t>1N8sC_wmDHLgihKO9UKcVAsXHKtfnf2zO</t>
  </si>
  <si>
    <t>https://drive.google.com/file/d/1N8sC_wmDHLgihKO9UKcVAsXHKtfnf2zO/view?usp=drivesdk</t>
  </si>
  <si>
    <t>1AKSm8d75PJWp2xnT5kC5pxSie_e_BJJN</t>
  </si>
  <si>
    <t>https://drive.google.com/file/d/1AKSm8d75PJWp2xnT5kC5pxSie_e_BJJN/view?usp=drivesdk</t>
  </si>
  <si>
    <t>Document successfully created; Document successfully merged; PDF created; Manually run by labterpadu.unit.uns@gmail.com; Timestamp: Jun 11 2025 4:20 AM</t>
  </si>
  <si>
    <t>1Zt5dDkuVa29NT9CkFarJbxMb9mV9Ormh</t>
  </si>
  <si>
    <t>https://drive.google.com/file/d/1Zt5dDkuVa29NT9CkFarJbxMb9mV9Ormh/view?usp=drivesdk</t>
  </si>
  <si>
    <t>1efg7ldr_pSVWBms3ArKebN1-dk69zLzt</t>
  </si>
  <si>
    <t>https://drive.google.com/file/d/1efg7ldr_pSVWBms3ArKebN1-dk69zLzt/view?usp=drivesdk</t>
  </si>
  <si>
    <t>1LRbLBwekis1gR7zkypUh3cR1ipidPmKm</t>
  </si>
  <si>
    <t>https://drive.google.com/file/d/1LRbLBwekis1gR7zkypUh3cR1ipidPmKm/view?usp=drivesdk</t>
  </si>
  <si>
    <t>Document successfully created; Document successfully merged; PDF created; Manually run by labterpadu.unit.uns@gmail.com; Timestamp: Jun 11 2025 4:34 AM</t>
  </si>
  <si>
    <t xml:space="preserve">Yusuf Kurnia Pamungkas </t>
  </si>
  <si>
    <t>S1 farmasi/FMIPA/UNS</t>
  </si>
  <si>
    <t>1hrbDQ1aCLkzW7cwGm4HHxW9SfsHHdFbV</t>
  </si>
  <si>
    <t>https://drive.google.com/file/d/1hrbDQ1aCLkzW7cwGm4HHxW9SfsHHdFbV/view?usp=drivesdk</t>
  </si>
  <si>
    <t>Document successfully created; Document successfully merged; PDF created; Manually run by labterpadu.unit.uns@gmail.com; Timestamp: Jun 11 2025 4:21 AM</t>
  </si>
  <si>
    <t>1rp2pS6dIYG6R3DkSp9Hw1apngOk1-ngp</t>
  </si>
  <si>
    <t>https://drive.google.com/file/d/1rp2pS6dIYG6R3DkSp9Hw1apngOk1-ngp/view?usp=drivesdk</t>
  </si>
  <si>
    <t>Document successfully created; Document successfully merged; PDF created; Manually run by labterpadu.unit.uns@gmail.com; Timestamp: Jun 12 2025 9:07 PM</t>
  </si>
  <si>
    <t>1lIr3lgrZaHklCEKFE3oVorOJfZG5YTrL</t>
  </si>
  <si>
    <t>https://drive.google.com/file/d/1lIr3lgrZaHklCEKFE3oVorOJfZG5YTrL/view?usp=drivesdk</t>
  </si>
  <si>
    <t>Document successfully created; Document successfully merged; PDF created; Manually run by labterpadu.unit.uns@gmail.com; Timestamp: Jun 22 2025 9:47 PM</t>
  </si>
  <si>
    <t>17uDmloTNeXGzwh2S9Fk4GbSW4tkJJ_4T</t>
  </si>
  <si>
    <t>https://drive.google.com/file/d/17uDmloTNeXGzwh2S9Fk4GbSW4tkJJ_4T/view?usp=drivesdk</t>
  </si>
  <si>
    <t>1ztuhK3AMR15rsE6HIE8ZlWCCI0g90fH_</t>
  </si>
  <si>
    <t>https://drive.google.com/file/d/1ztuhK3AMR15rsE6HIE8ZlWCCI0g90fH_/view?usp=drivesdk</t>
  </si>
  <si>
    <t>1GC1qIZ2Qbyc_PxDXsJZhEwtX1rztrhjn</t>
  </si>
  <si>
    <t>https://drive.google.com/file/d/1GC1qIZ2Qbyc_PxDXsJZhEwtX1rztrhjn/view?usp=drivesdk</t>
  </si>
  <si>
    <t>1KxLigd4huSZHbErM19Gu54DZzY41Az7d</t>
  </si>
  <si>
    <t>https://drive.google.com/file/d/1KxLigd4huSZHbErM19Gu54DZzY41Az7d/view?usp=drivesdk</t>
  </si>
  <si>
    <t>1WU4SVoTk2BS5dEo3BUNEWVpwYiZWcLIU</t>
  </si>
  <si>
    <t>https://drive.google.com/file/d/1WU4SVoTk2BS5dEo3BUNEWVpwYiZWcLIU/view?usp=drivesdk</t>
  </si>
  <si>
    <t xml:space="preserve">Ardya Praptari Prawirabisma </t>
  </si>
  <si>
    <t>24185402A</t>
  </si>
  <si>
    <t xml:space="preserve">S1 Farmasi </t>
  </si>
  <si>
    <t>1au0X5L5n-iS4d1eZ4UWsmZUBvQD8e2Xn</t>
  </si>
  <si>
    <t>https://drive.google.com/file/d/1au0X5L5n-iS4d1eZ4UWsmZUBvQD8e2Xn/view?usp=drivesdk</t>
  </si>
  <si>
    <t>Document successfully created; Document successfully merged; PDF created; Manually run by labterpadu.unit.uns@gmail.com; Timestamp: Jun 26 2025 12:57 AM</t>
  </si>
  <si>
    <t>I0421055</t>
  </si>
  <si>
    <t>Teknik Mesin UNS</t>
  </si>
  <si>
    <t>1UvQM7XD-c8DHYK1FTO22LwpEhZYwiUwI</t>
  </si>
  <si>
    <t>https://drive.google.com/file/d/1UvQM7XD-c8DHYK1FTO22LwpEhZYwiUwI/view?usp=drivesdk</t>
  </si>
  <si>
    <t>Document successfully created; Document successfully merged; PDF created; Manually run by labterpadu.unit.uns@gmail.com; Timestamp: Jun 26 2025 12:58 AM</t>
  </si>
  <si>
    <t>1XZzsbtoSILARqIu_VioNpMyuixp1tTcD</t>
  </si>
  <si>
    <t>https://drive.google.com/file/d/1XZzsbtoSILARqIu_VioNpMyuixp1tTcD/view?usp=drivesdk</t>
  </si>
  <si>
    <t>1lNoyrVg_NorVczmSDtI8VsFQ429GELMq</t>
  </si>
  <si>
    <t>https://drive.google.com/file/d/1lNoyrVg_NorVczmSDtI8VsFQ429GELMq/view?usp=drivesdk</t>
  </si>
  <si>
    <t>Document successfully created; Document successfully merged; PDF created; Manually run by labterpadu.unit.uns@gmail.com; Timestamp: Jul 15 2025 2:32 AM</t>
  </si>
  <si>
    <t>1QrsnBwrA_PLJkVmnkKdBiBm5RvrcBfkv</t>
  </si>
  <si>
    <t>https://drive.google.com/file/d/1QrsnBwrA_PLJkVmnkKdBiBm5RvrcBfkv/view?usp=drivesdk</t>
  </si>
  <si>
    <t>Document successfully created; Document successfully merged; PDF created; Manually run by labterpadu.unit.uns@gmail.com; Timestamp: Jul 15 2025 2:33 AM</t>
  </si>
  <si>
    <t>1I2HOMjys_NWTwT2T6JM1oWWdRstTVuKD</t>
  </si>
  <si>
    <t>https://drive.google.com/file/d/1I2HOMjys_NWTwT2T6JM1oWWdRstTVuKD/view?usp=drivesdk</t>
  </si>
  <si>
    <t>1SuChLt8BCaSPi3ubBpNAjxanLO_f1vAL</t>
  </si>
  <si>
    <t>https://drive.google.com/file/d/1SuChLt8BCaSPi3ubBpNAjxanLO_f1vAL/view?usp=drivesdk</t>
  </si>
  <si>
    <t>1tsGFvhnJRcr6oZqq9OZagc1wk59omVG8</t>
  </si>
  <si>
    <t>https://drive.google.com/file/d/1tsGFvhnJRcr6oZqq9OZagc1wk59omVG8/view?usp=drivesdk</t>
  </si>
  <si>
    <t>Document successfully created; Document successfully merged; PDF created; Manually run by labterpadu.unit.uns@gmail.com; Timestamp: Jul 24 2025 3:37 AM</t>
  </si>
  <si>
    <t>Arti Wahyu Utami</t>
  </si>
  <si>
    <t xml:space="preserve">Sekolah tinggi ilmu kesehatan tujuh belas </t>
  </si>
  <si>
    <t>1Kb9D320EnKkzSxHCzjH_3kOLVD2EaIbo</t>
  </si>
  <si>
    <t>https://drive.google.com/file/d/1Kb9D320EnKkzSxHCzjH_3kOLVD2EaIbo/view?usp=drivesdk</t>
  </si>
  <si>
    <t>Document successfully created; Document successfully merged; PDF created; Manually run by labterpadu.unit.uns@gmail.com; Timestamp: Jul 24 2025 3:38 AM</t>
  </si>
  <si>
    <t>1C5ENCX-3XqOEo8bn_zquV7f3-ubxsC5B</t>
  </si>
  <si>
    <t>https://drive.google.com/file/d/1C5ENCX-3XqOEo8bn_zquV7f3-ubxsC5B/view?usp=drivesdk</t>
  </si>
  <si>
    <t>Document successfully created; Document successfully merged; PDF created; Manually run by labterpadu.unit.uns@gmail.com; Timestamp: Sep 2 2025 11:40 PM</t>
  </si>
  <si>
    <t>Prodi Farmasi, Fakultas Ilmu Kesehatan, Sains dan Teknologi, Universitas BIMA Internasional MFH</t>
  </si>
  <si>
    <t>1MrLvRZDrXGIg_9D06MESowVT7XWOORQy</t>
  </si>
  <si>
    <t>https://drive.google.com/file/d/1MrLvRZDrXGIg_9D06MESowVT7XWOORQy/view?usp=drivesdk</t>
  </si>
  <si>
    <t>Maghrifa Salsa Bella</t>
  </si>
  <si>
    <t>DIII Farmasi/UMK</t>
  </si>
  <si>
    <t>Pradnyawati Azzahra/ Retno H</t>
  </si>
  <si>
    <t>1gh1SCqs569kLnd4Jrg3lD4AizrbwLc__</t>
  </si>
  <si>
    <t>https://drive.google.com/file/d/1gh1SCqs569kLnd4Jrg3lD4AizrbwLc__/view?usp=drivesdk</t>
  </si>
  <si>
    <t>Document successfully created; Document successfully merged; PDF created; Manually run by labterpadu.unit.uns@gmail.com; Timestamp: Sep 12 2025 4:02 AM</t>
  </si>
  <si>
    <t>Adhi Pratama Cahya Nugraha</t>
  </si>
  <si>
    <t>1OzCSW_s7y5dr0Vdr2ZwjTEmI6klKR1OL</t>
  </si>
  <si>
    <t>https://drive.google.com/file/d/1OzCSW_s7y5dr0Vdr2ZwjTEmI6klKR1OL/view?usp=drivesdk</t>
  </si>
  <si>
    <t>Putri Indah Mayangsari</t>
  </si>
  <si>
    <t>K2322065</t>
  </si>
  <si>
    <t>Putri Indah Mayangsari + Zahra</t>
  </si>
  <si>
    <t>13M4F48QjsiZL3f3bg7alQtTh305d22Fn</t>
  </si>
  <si>
    <t>https://drive.google.com/file/d/13M4F48QjsiZL3f3bg7alQtTh305d22Fn/view?usp=drivesdk</t>
  </si>
  <si>
    <t>Document successfully created; Document successfully merged; PDF created; Manually run by labterpadu.unit.uns@gmail.com; Timestamp: Oct 28 2025 9:38 PM</t>
  </si>
  <si>
    <t>Redika Ayu Sepmara</t>
  </si>
  <si>
    <t>K2322068</t>
  </si>
  <si>
    <t>Redika Ayu Sepmara + Zahra</t>
  </si>
  <si>
    <t>17Aw-HX12KIfZjxUwnQ7IoYU_sEs2K53s</t>
  </si>
  <si>
    <t>https://drive.google.com/file/d/17Aw-HX12KIfZjxUwnQ7IoYU_sEs2K53s/view?usp=drivesdk</t>
  </si>
  <si>
    <t>Document successfully created; Document successfully merged; PDF created; Manually run by labterpadu.unit.uns@gmail.com; Timestamp: Oct 28 2025 9:39 PM</t>
  </si>
  <si>
    <t xml:space="preserve">Niken Renawati </t>
  </si>
  <si>
    <t>S902408003</t>
  </si>
  <si>
    <t>S2 Biosain FMIPA UNS</t>
  </si>
  <si>
    <t>Niken Renawati + Zahra</t>
  </si>
  <si>
    <t>1d1G0NhI3KdoBfbUI5AZBW4TNDB_GZ_ZK</t>
  </si>
  <si>
    <t>https://drive.google.com/file/d/1d1G0NhI3KdoBfbUI5AZBW4TNDB_GZ_ZK/view?usp=drivesdk</t>
  </si>
  <si>
    <t>Document successfully created; Document successfully merged; PDF created; Manually run by labterpadu.unit.uns@gmail.com; Timestamp: Nov 19 2025 10:34 PM</t>
  </si>
  <si>
    <t>1djONbHyRWjJuQBUJPgoRQ3ULhnS05FRh</t>
  </si>
  <si>
    <t>https://drive.google.com/file/d/1djONbHyRWjJuQBUJPgoRQ3ULhnS05FRh/view?usp=drivesdk</t>
  </si>
  <si>
    <t>Marshamada Harvenya Faelassufa</t>
  </si>
  <si>
    <t>H0922063</t>
  </si>
  <si>
    <t>Ilmu Teknologi Pangan / Pertanian / Universitas Sebelas Maret</t>
  </si>
  <si>
    <t>Marshamada Harvenya Faelassufa + Zahra</t>
  </si>
  <si>
    <t>14rbHwLl-1qgV9iO1nUUGdlf1sXBTL5KF</t>
  </si>
  <si>
    <t>https://drive.google.com/file/d/14rbHwLl-1qgV9iO1nUUGdlf1sXBTL5KF/view?usp=drivesdk</t>
  </si>
  <si>
    <t>Document successfully created; Document successfully merged; PDF created; Manually run by labterpadu.unit.uns@gmail.com; Timestamp: Nov 21 2025 12:01 AM</t>
  </si>
  <si>
    <r>
      <rPr>
        <rFont val="&quot;Times New Roman&quot;, serif"/>
        <color rgb="FF000000"/>
        <sz val="12.0"/>
      </rPr>
      <t>Tanggal Map Keluar</t>
    </r>
  </si>
  <si>
    <r>
      <rPr>
        <rFont val="&quot;Times New Roman&quot;, serif"/>
        <color rgb="FF000000"/>
        <sz val="12.0"/>
      </rPr>
      <t>Hari, Tanggal pembuatan rekap</t>
    </r>
  </si>
  <si>
    <r>
      <rPr>
        <rFont val="&quot;Times New Roman&quot;, serif"/>
        <color rgb="FF000000"/>
        <sz val="12.0"/>
      </rPr>
      <t>Pembuat Rekap</t>
    </r>
  </si>
  <si>
    <r>
      <rPr>
        <rFont val="&quot;Times New Roman&quot;, serif"/>
        <color rgb="FF000000"/>
        <sz val="12.0"/>
      </rPr>
      <t>Agenda</t>
    </r>
  </si>
  <si>
    <r>
      <rPr>
        <rFont val="&quot;Times New Roman&quot;, serif"/>
        <color rgb="FF000000"/>
        <sz val="12.0"/>
      </rPr>
      <t>Nama</t>
    </r>
  </si>
  <si>
    <r>
      <rPr>
        <rFont val="&quot;Times New Roman&quot;, serif"/>
        <color rgb="FF000000"/>
        <sz val="12.0"/>
      </rPr>
      <t>NIM/NIP</t>
    </r>
  </si>
  <si>
    <r>
      <rPr>
        <rFont val="&quot;Times New Roman&quot;, serif"/>
        <color rgb="FF000000"/>
        <sz val="12.0"/>
      </rPr>
      <t>Fakultas/Univ</t>
    </r>
  </si>
  <si>
    <r>
      <rPr>
        <rFont val="&quot;Times New Roman&quot;, serif"/>
        <color rgb="FF000000"/>
        <sz val="12.0"/>
      </rPr>
      <t>Akses Lab</t>
    </r>
  </si>
  <si>
    <r>
      <rPr>
        <rFont val="&quot;Times New Roman&quot;, serif"/>
        <color rgb="FF000000"/>
        <sz val="12.0"/>
      </rPr>
      <t>Instrument</t>
    </r>
  </si>
  <si>
    <r>
      <rPr>
        <rFont val="&quot;Times New Roman&quot;, serif"/>
        <color rgb="FF000000"/>
        <sz val="12.0"/>
      </rPr>
      <t>Operator</t>
    </r>
  </si>
  <si>
    <r>
      <rPr>
        <rFont val="&quot;Times New Roman&quot;, serif"/>
        <color rgb="FF000000"/>
        <sz val="12.0"/>
      </rPr>
      <t>Jumlah Sampel</t>
    </r>
  </si>
  <si>
    <r>
      <rPr>
        <rFont val="&quot;Times New Roman&quot;, serif"/>
        <color rgb="FF000000"/>
        <sz val="12.0"/>
      </rPr>
      <t>Harga per Sampel</t>
    </r>
  </si>
  <si>
    <r>
      <rPr>
        <rFont val="&quot;Times New Roman&quot;, serif"/>
        <color rgb="FF000000"/>
        <sz val="12.0"/>
      </rPr>
      <t>Pengkondisian</t>
    </r>
  </si>
  <si>
    <r>
      <rPr>
        <rFont val="&quot;Times New Roman&quot;, serif"/>
        <color rgb="FF000000"/>
        <sz val="12.0"/>
      </rPr>
      <t>Preparasi dan Pengukuran</t>
    </r>
  </si>
  <si>
    <r>
      <rPr>
        <rFont val="&quot;Times New Roman&quot;, serif"/>
        <color rgb="FF000000"/>
        <sz val="12.0"/>
      </rPr>
      <t>Pengolahan Data</t>
    </r>
  </si>
  <si>
    <r>
      <rPr>
        <rFont val="&quot;Times New Roman&quot;, serif"/>
        <color rgb="FF000000"/>
        <sz val="12.0"/>
      </rPr>
      <t>Mematikan instrument</t>
    </r>
  </si>
  <si>
    <r>
      <rPr>
        <rFont val="&quot;Times New Roman&quot;, serif"/>
        <b/>
        <color rgb="FF000000"/>
        <sz val="12.0"/>
      </rPr>
      <t>Total waktu pengerjaan</t>
    </r>
  </si>
  <si>
    <t>Merged Doc ID - Rekap Uv-Vis (Kimia)</t>
  </si>
  <si>
    <t>Merged Doc URL - Rekap Uv-Vis (Kimia)</t>
  </si>
  <si>
    <t>Link to merged Doc - Rekap Uv-Vis (Kimia)</t>
  </si>
  <si>
    <t>Document Merge Status - Rekap Uv-Vis (Kimia)</t>
  </si>
  <si>
    <t>1dZii3Mbi7UijcFhGd5Yl4gyjvwYiDnIY</t>
  </si>
  <si>
    <t>https://drive.google.com/file/d/1dZii3Mbi7UijcFhGd5Yl4gyjvwYiDnIY/view?usp=drivesdk</t>
  </si>
  <si>
    <t>Document successfully created; Document successfully merged; PDF created; Manually run by alfianmf8@gmail.com; Timestamp: Aug 23 2024 12:33 AM</t>
  </si>
  <si>
    <r>
      <rPr>
        <rFont val="&quot;Times New Roman&quot;, serif"/>
        <color rgb="FF000000"/>
        <sz val="10.0"/>
      </rPr>
      <t>Tanggal Map Keluar</t>
    </r>
  </si>
  <si>
    <t>Tanggal pembuatan rekap</t>
  </si>
  <si>
    <r>
      <rPr>
        <rFont val="&quot;Times New Roman&quot;, serif"/>
        <color rgb="FF000000"/>
        <sz val="10.0"/>
      </rPr>
      <t>Pembuat Rekap</t>
    </r>
  </si>
  <si>
    <r>
      <rPr>
        <rFont val="&quot;Times New Roman&quot;, serif"/>
        <color rgb="FF000000"/>
        <sz val="10.0"/>
      </rPr>
      <t>Agenda</t>
    </r>
  </si>
  <si>
    <r>
      <rPr>
        <rFont val="&quot;Times New Roman&quot;, serif"/>
        <color rgb="FF000000"/>
        <sz val="10.0"/>
      </rPr>
      <t>Nama</t>
    </r>
  </si>
  <si>
    <r>
      <rPr>
        <rFont val="&quot;Times New Roman&quot;, serif"/>
        <color rgb="FF000000"/>
        <sz val="10.0"/>
      </rPr>
      <t>NIM/NIP</t>
    </r>
  </si>
  <si>
    <r>
      <rPr>
        <rFont val="&quot;Times New Roman&quot;, serif"/>
        <color rgb="FF000000"/>
        <sz val="10.0"/>
      </rPr>
      <t>Fakultas/Univ</t>
    </r>
  </si>
  <si>
    <r>
      <rPr>
        <rFont val="&quot;Times New Roman&quot;, serif"/>
        <color rgb="FF000000"/>
        <sz val="10.0"/>
      </rPr>
      <t>Akses Lab</t>
    </r>
  </si>
  <si>
    <r>
      <rPr>
        <rFont val="&quot;Times New Roman&quot;, serif"/>
        <color rgb="FF000000"/>
        <sz val="10.0"/>
      </rPr>
      <t>Operator</t>
    </r>
  </si>
  <si>
    <r>
      <rPr>
        <rFont val="&quot;Times New Roman&quot;, serif"/>
        <color rgb="FF000000"/>
        <sz val="10.0"/>
      </rPr>
      <t>Jumlah Sampel</t>
    </r>
  </si>
  <si>
    <t>Penggunaan rotor (1/2/3/4)</t>
  </si>
  <si>
    <t>Total Harga Berdasarkan Sampel</t>
  </si>
  <si>
    <r>
      <rPr>
        <rFont val="&quot;Times New Roman&quot;, serif"/>
        <color rgb="FF000000"/>
        <sz val="10.0"/>
      </rPr>
      <t>Pengkondisian</t>
    </r>
  </si>
  <si>
    <t>Pengukuran</t>
  </si>
  <si>
    <r>
      <rPr>
        <rFont val="&quot;Times New Roman&quot;, serif"/>
        <color rgb="FF000000"/>
        <sz val="10.0"/>
      </rPr>
      <t>Pengolahan Data</t>
    </r>
  </si>
  <si>
    <r>
      <rPr>
        <rFont val="&quot;Times New Roman&quot;, serif"/>
        <color rgb="FF000000"/>
        <sz val="10.0"/>
      </rPr>
      <t>Mematikan instrument</t>
    </r>
  </si>
  <si>
    <r>
      <rPr>
        <rFont val="&quot;Times New Roman&quot;, serif"/>
        <b/>
        <color rgb="FF000000"/>
        <sz val="10.0"/>
      </rPr>
      <t>Total waktu pengerjaan</t>
    </r>
  </si>
  <si>
    <t>Merged Doc ID - Viskositas</t>
  </si>
  <si>
    <t>Merged Doc URL - Viskositas</t>
  </si>
  <si>
    <t>Link to merged Doc - Viskositas</t>
  </si>
  <si>
    <t>Document Merge Status - Viskositas</t>
  </si>
  <si>
    <t>Alfian</t>
  </si>
  <si>
    <t>19cArVOFlj4ZCYEI1MfFGSFJPmRQNtfQo5z4ajIy4uXE</t>
  </si>
  <si>
    <t>https://docs.google.com/document/d/19cArVOFlj4ZCYEI1MfFGSFJPmRQNtfQo5z4ajIy4uXE/edit?usp=drivesdk</t>
  </si>
  <si>
    <t>Document successfully created; Document successfully merged; Manually run by labterpadu.unit.uns@gmail.com; Timestamp: Aug 19 2025 6:05 AM</t>
  </si>
  <si>
    <t>1tS6e7TpcGiVKWqMhPFGCnL_MtPN3J76taoppm-pPUDI</t>
  </si>
  <si>
    <t>https://docs.google.com/document/d/1tS6e7TpcGiVKWqMhPFGCnL_MtPN3J76taoppm-pPUDI/edit?usp=drivesdk</t>
  </si>
  <si>
    <t>AW</t>
  </si>
  <si>
    <t>1hHvNirr-vDT_v1oMRCw6vetZ0XSzFIqP683felfbpxE</t>
  </si>
  <si>
    <t>https://docs.google.com/document/d/1hHvNirr-vDT_v1oMRCw6vetZ0XSzFIqP683felfbpxE/edit?usp=drivesdk</t>
  </si>
  <si>
    <r>
      <rPr>
        <rFont val="Arial"/>
        <color rgb="FF000000"/>
        <sz val="10.0"/>
      </rPr>
      <t>Fakultas/Univ</t>
    </r>
  </si>
  <si>
    <t>Instrumen/Uji</t>
  </si>
  <si>
    <t>Harga per Sampel</t>
  </si>
  <si>
    <t>Merged Doc ID - Pewarnaan Gram</t>
  </si>
  <si>
    <t>Merged Doc URL - Pewarnaan Gram</t>
  </si>
  <si>
    <t>Link to merged Doc - Pewarnaan Gram</t>
  </si>
  <si>
    <t>Document Merge Status - Pewarnaan Gram</t>
  </si>
  <si>
    <t>Yuliana Lestari</t>
  </si>
  <si>
    <t>P27235022052</t>
  </si>
  <si>
    <t xml:space="preserve">Anafarma/Poltekes </t>
  </si>
  <si>
    <t>Pewarnaan Gram</t>
  </si>
  <si>
    <t>1UgsRS1siFO5LTOixuwONMd4_sC2wvKBK</t>
  </si>
  <si>
    <t>https://drive.google.com/file/d/1UgsRS1siFO5LTOixuwONMd4_sC2wvKBK/view?usp=drivesdk</t>
  </si>
  <si>
    <t>Document successfully created; Document successfully merged; PDF created; Manually run by labterpadu.unit.uns@gmail.com; Timestamp: May 5 2025 4:35 AM</t>
  </si>
  <si>
    <r>
      <rPr>
        <rFont val="Arial"/>
        <color rgb="FF000000"/>
        <sz val="10.0"/>
      </rPr>
      <t>Fakultas/Univ</t>
    </r>
  </si>
  <si>
    <t>Setting autoclave</t>
  </si>
  <si>
    <t>Pengamatan</t>
  </si>
  <si>
    <t>Total waktu</t>
  </si>
  <si>
    <t>Merged Doc ID - ALT</t>
  </si>
  <si>
    <t>Merged Doc URL - ALT</t>
  </si>
  <si>
    <t>Link to merged Doc - ALT</t>
  </si>
  <si>
    <t>Document Merge Status - ALT</t>
  </si>
  <si>
    <t>Miftakhul Jannah</t>
  </si>
  <si>
    <t>S532208028</t>
  </si>
  <si>
    <t>Magister Ilmu Gizi/Sekolah Pascasarjana/UNS</t>
  </si>
  <si>
    <t>Pratiwi, Hartono</t>
  </si>
  <si>
    <t>1RJ5uMhk4r0qhbksCbVJRBhcJnqjbf_ba</t>
  </si>
  <si>
    <t>https://drive.google.com/file/d/1RJ5uMhk4r0qhbksCbVJRBhcJnqjbf_ba/view?usp=drivesdk</t>
  </si>
  <si>
    <t>Document successfully created; Document successfully merged; PDF created; Manually run by labterpadu.unit.uns@gmail.com; Timestamp: Sep 24 2024 2:15 AM</t>
  </si>
  <si>
    <t>12BvKU3JgUeXF4rP8lgaLUR5y7xHilQZO</t>
  </si>
  <si>
    <t>https://drive.google.com/file/d/12BvKU3JgUeXF4rP8lgaLUR5y7xHilQZO/view?usp=drivesdk</t>
  </si>
  <si>
    <t>1r528Kp15OZBNRfvX2EmWGeqrPnh-PF-V</t>
  </si>
  <si>
    <t>https://drive.google.com/file/d/1r528Kp15OZBNRfvX2EmWGeqrPnh-PF-V/view?usp=drivesdk</t>
  </si>
  <si>
    <t>Document successfully created; Document successfully merged; PDF created; Manually run by labterpadu.unit.uns@gmail.com; Timestamp: Sep 24 2024 2:16 AM</t>
  </si>
  <si>
    <t>Magister Ilmu Gizi/Sekolah Pascasarjana/Universitas Sebelas Maret Surakarta</t>
  </si>
  <si>
    <t>1oJScIC5ULc4vnvmHYFHhGeWKXVj5JLRP</t>
  </si>
  <si>
    <t>https://drive.google.com/file/d/1oJScIC5ULc4vnvmHYFHhGeWKXVj5JLRP/view?usp=drivesdk</t>
  </si>
  <si>
    <t>Document successfully created; Document successfully merged; PDF created; Manually run by labterpadu.unit.uns@gmail.com; Timestamp: Oct 7 2024 10:03 PM</t>
  </si>
  <si>
    <t xml:space="preserve">Rizka Dwi Amalia </t>
  </si>
  <si>
    <t>J520210078</t>
  </si>
  <si>
    <t>Kedokteran Gigi/Kedokteran Gigi/Universitas Muhammadiyah Surakarta</t>
  </si>
  <si>
    <t>AKK</t>
  </si>
  <si>
    <t>1VwNNTBeatUmhIJjKN6N5psjDAZA1s3pJ</t>
  </si>
  <si>
    <t>https://drive.google.com/file/d/1VwNNTBeatUmhIJjKN6N5psjDAZA1s3pJ/view?usp=drivesdk</t>
  </si>
  <si>
    <t>Document successfully created; Document successfully merged; PDF created; Manually run by labterpadu.unit.uns@gmail.com; Timestamp: Jan 24 2025 1:23 AM</t>
  </si>
  <si>
    <t>Luthfia Dianinggar Prabowo</t>
  </si>
  <si>
    <t>Prodi Tata Rias dan Kecantikan</t>
  </si>
  <si>
    <t>1O8P0tKuSKmWGdARLHZ1KPTKnxo97uMPC</t>
  </si>
  <si>
    <t>https://drive.google.com/file/d/1O8P0tKuSKmWGdARLHZ1KPTKnxo97uMPC/view?usp=drivesdk</t>
  </si>
  <si>
    <t>Document successfully created; Document successfully merged; PDF created; Manually run by labterpadu.unit.uns@gmail.com; Timestamp: May 5 2025 4:37 AM</t>
  </si>
  <si>
    <t>1gyZ72aL8IwBA2ZB-AIoeTxBYPUvjRfDI</t>
  </si>
  <si>
    <t>https://drive.google.com/file/d/1gyZ72aL8IwBA2ZB-AIoeTxBYPUvjRfDI/view?usp=drivesdk</t>
  </si>
  <si>
    <t>Document successfully created; Document successfully merged; PDF created; Manually run by labterpadu.unit.uns@gmail.com; Timestamp: May 5 2025 4:39 AM</t>
  </si>
  <si>
    <t>Ahmad Nur Wasita Abyan Rahmaputra</t>
  </si>
  <si>
    <t>H0921003</t>
  </si>
  <si>
    <t>Ilmu dan Teknologi Pangan/Fakultas Pertanian/UNS</t>
  </si>
  <si>
    <t>1nsJmGiuleTwvICOpNm4UjKIeTHWebVVw</t>
  </si>
  <si>
    <t>https://drive.google.com/file/d/1nsJmGiuleTwvICOpNm4UjKIeTHWebVVw/view?usp=drivesdk</t>
  </si>
  <si>
    <t>Document successfully created; Document successfully merged; PDF created; Manually run by labterpadu.unit.uns@gmail.com; Timestamp: Jun 11 2025 10:53 PM</t>
  </si>
  <si>
    <t>Rio Dian Permana</t>
  </si>
  <si>
    <t>1A2F6SV7ArtxT5PsOM8qwJWKfsRX1pjIQ</t>
  </si>
  <si>
    <t>https://drive.google.com/file/d/1A2F6SV7ArtxT5PsOM8qwJWKfsRX1pjIQ/view?usp=drivesdk</t>
  </si>
  <si>
    <t>Document successfully created; Document successfully merged; PDF created; Manually run by labterpadu.unit.uns@gmail.com; Timestamp: Jun 26 2025 3:41 AM</t>
  </si>
  <si>
    <t>1whPw8sv5rIq4XZgGCQzr1y1fW9Jejz5D</t>
  </si>
  <si>
    <t>https://drive.google.com/file/d/1whPw8sv5rIq4XZgGCQzr1y1fW9Jejz5D/view?usp=drivesdk</t>
  </si>
  <si>
    <t>Document successfully created; Document successfully merged; PDF created; Manually run by labterpadu.unit.uns@gmail.com; Timestamp: Jun 26 2025 3:42 AM</t>
  </si>
  <si>
    <t>1mUOnwIEirYQG8-V9n9jA126vIe1Whs9B</t>
  </si>
  <si>
    <t>https://drive.google.com/file/d/1mUOnwIEirYQG8-V9n9jA126vIe1Whs9B/view?usp=drivesdk</t>
  </si>
  <si>
    <t>Document successfully created; Document successfully merged; PDF created; Manually run by labterpadu.unit.uns@gmail.com; Timestamp: Jul 21 2025 9:30 PM</t>
  </si>
  <si>
    <t>1KLlqyNZyFGiR7cYN9RGgHpFKSd53Nqiv</t>
  </si>
  <si>
    <t>https://drive.google.com/file/d/1KLlqyNZyFGiR7cYN9RGgHpFKSd53Nqiv/view?usp=drivesdk</t>
  </si>
  <si>
    <t>1x0ZSdZfL_3v-rhIB8VmDx8AI7aAXSwvT</t>
  </si>
  <si>
    <t>https://drive.google.com/file/d/1x0ZSdZfL_3v-rhIB8VmDx8AI7aAXSwvT/view?usp=drivesdk</t>
  </si>
  <si>
    <t>Shyra Dwiska Permata</t>
  </si>
  <si>
    <t>SMA Negeri 1 Surakarta</t>
  </si>
  <si>
    <t>1zGv8XtMSY7kXaEUpJWskHr-kYdUpyNVT</t>
  </si>
  <si>
    <t>https://drive.google.com/file/d/1zGv8XtMSY7kXaEUpJWskHr-kYdUpyNVT/view?usp=drivesdk</t>
  </si>
  <si>
    <t>Document successfully created; Document successfully merged; PDF created; Manually run by labterpadu.unit.uns@gmail.com; Timestamp: Aug 21 2025 4:33 AM</t>
  </si>
  <si>
    <t>1ijLDdq2nuHKzS_Ed0XRHEO4B_7nW4i7O</t>
  </si>
  <si>
    <t>https://drive.google.com/file/d/1ijLDdq2nuHKzS_Ed0XRHEO4B_7nW4i7O/view?usp=drivesdk</t>
  </si>
  <si>
    <t>Dujan khalil Gibran</t>
  </si>
  <si>
    <t>Sushi tei</t>
  </si>
  <si>
    <t>14XHwyJwvJlAM6NE_Y4N7OCTMedcZoNDd</t>
  </si>
  <si>
    <t>https://drive.google.com/file/d/14XHwyJwvJlAM6NE_Y4N7OCTMedcZoNDd/view?usp=drivesdk</t>
  </si>
  <si>
    <t>Document successfully created; Document successfully merged; PDF created; Manually run by labterpadu.unit.uns@gmail.com; Timestamp: Aug 25 2025 10:56 PM</t>
  </si>
  <si>
    <t xml:space="preserve">SMA Negeri 1 TOROH </t>
  </si>
  <si>
    <t>1We95Edm12ELeMMQac-MdjfwE9b8m_lVT</t>
  </si>
  <si>
    <t>https://drive.google.com/file/d/1We95Edm12ELeMMQac-MdjfwE9b8m_lVT/view?usp=drivesdk</t>
  </si>
  <si>
    <t>Document successfully created; Document successfully merged; PDF created; Manually run by labterpadu.unit.uns@gmail.com; Timestamp: Oct 9 2025 4:50 AM</t>
  </si>
  <si>
    <r>
      <rPr>
        <rFont val="Arial"/>
        <color rgb="FF000000"/>
        <sz val="10.0"/>
      </rPr>
      <t>Fakultas/Univ</t>
    </r>
  </si>
  <si>
    <t>Merged Doc ID - Candida</t>
  </si>
  <si>
    <t>Merged Doc URL - Candida</t>
  </si>
  <si>
    <t>Link to merged Doc - Candida</t>
  </si>
  <si>
    <t>Document Merge Status - Candida</t>
  </si>
  <si>
    <t>Candida</t>
  </si>
  <si>
    <t>1xRoBGdGfO9d9z5Cf9kIPv8Ipw9LzCTMU</t>
  </si>
  <si>
    <t>https://drive.google.com/file/d/1xRoBGdGfO9d9z5Cf9kIPv8Ipw9LzCTMU/view?usp=drivesdk</t>
  </si>
  <si>
    <t>Document successfully created; Document successfully merged; PDF created; Manually run by labterpadu.unit.uns@gmail.com; Timestamp: May 6 2025 3:05 AM</t>
  </si>
  <si>
    <r>
      <rPr>
        <rFont val="Arial"/>
        <color rgb="FF000000"/>
        <sz val="10.0"/>
      </rPr>
      <t>Fakultas/Univ</t>
    </r>
  </si>
  <si>
    <t>Merged Doc ID - E. coli</t>
  </si>
  <si>
    <t>Merged Doc URL - E. coli</t>
  </si>
  <si>
    <t>Link to merged Doc - E. coli</t>
  </si>
  <si>
    <t>Document Merge Status - E. coli</t>
  </si>
  <si>
    <t>1Y7anyzakbnk781UYbcWD7CcmANEQ3rIA</t>
  </si>
  <si>
    <t>https://drive.google.com/file/d/1Y7anyzakbnk781UYbcWD7CcmANEQ3rIA/view?usp=drivesdk</t>
  </si>
  <si>
    <t>Document successfully created; Document successfully merged; PDF created; Manually run by labterpadu.unit.uns@gmail.com; Timestamp: Jul 15 2025 2:46 AM</t>
  </si>
  <si>
    <t>13AbuenHiuo08T1_z_BM0pASkl9jVmU0u</t>
  </si>
  <si>
    <t>https://drive.google.com/file/d/13AbuenHiuo08T1_z_BM0pASkl9jVmU0u/view?usp=drivesdk</t>
  </si>
  <si>
    <t>Document successfully created; Document successfully merged; PDF created; Manually run by labterpadu.unit.uns@gmail.com; Timestamp: Jul 21 2025 9:37 PM</t>
  </si>
  <si>
    <t>E. coli (MPN)</t>
  </si>
  <si>
    <t>1zngWmAVk-_PbLwLiiKBeNA02rxl9fUVy</t>
  </si>
  <si>
    <t>https://drive.google.com/file/d/1zngWmAVk-_PbLwLiiKBeNA02rxl9fUVy/view?usp=drivesdk</t>
  </si>
  <si>
    <t>Document successfully created; Document successfully merged; PDF created; Manually run by labterpadu.unit.uns@gmail.com; Timestamp: Aug 21 2025 4:12 AM</t>
  </si>
  <si>
    <t>1DqVmvtKppJDXd_JppP-PwTCuihG5ZozQ</t>
  </si>
  <si>
    <t>https://drive.google.com/file/d/1DqVmvtKppJDXd_JppP-PwTCuihG5ZozQ/view?usp=drivesdk</t>
  </si>
  <si>
    <t>Document successfully created; Document successfully merged; PDF created; Manually run by labterpadu.unit.uns@gmail.com; Timestamp: Aug 25 2025 11:02 PM</t>
  </si>
  <si>
    <t>Coliform (MPN)</t>
  </si>
  <si>
    <t>14Re1E3_NnHmyHDtSHskKqXMQY3gJtV9t</t>
  </si>
  <si>
    <t>https://drive.google.com/file/d/14Re1E3_NnHmyHDtSHskKqXMQY3gJtV9t/view?usp=drivesdk</t>
  </si>
  <si>
    <r>
      <rPr>
        <rFont val="Arial"/>
        <color rgb="FF000000"/>
        <sz val="10.0"/>
      </rPr>
      <t>Fakultas/Univ</t>
    </r>
  </si>
  <si>
    <t>Merged Doc ID - S. aureus</t>
  </si>
  <si>
    <t>Merged Doc URL - S. aureus</t>
  </si>
  <si>
    <t>Link to merged Doc - S. aureus</t>
  </si>
  <si>
    <t>Document Merge Status - S. aureus</t>
  </si>
  <si>
    <t>S. aureus</t>
  </si>
  <si>
    <t>1Q1DY0wJjCkdUQbzUhQfx0MmWGz0K6B7N</t>
  </si>
  <si>
    <t>https://drive.google.com/file/d/1Q1DY0wJjCkdUQbzUhQfx0MmWGz0K6B7N/view?usp=drivesdk</t>
  </si>
  <si>
    <t>Document successfully created; Document successfully merged; PDF created; Manually run by labterpadu.unit.uns@gmail.com; Timestamp: Jul 15 2025 2:49 AM</t>
  </si>
  <si>
    <r>
      <rPr>
        <rFont val="Arial"/>
        <color rgb="FF000000"/>
        <sz val="10.0"/>
      </rPr>
      <t>Tanggal Map Keluar</t>
    </r>
  </si>
  <si>
    <r>
      <rPr>
        <rFont val="Arial"/>
        <color rgb="FF000000"/>
        <sz val="10.0"/>
      </rPr>
      <t>Hari, Tanggal pembuatan rekap</t>
    </r>
  </si>
  <si>
    <r>
      <rPr>
        <rFont val="Arial"/>
        <color rgb="FF000000"/>
        <sz val="10.0"/>
      </rPr>
      <t>Agenda</t>
    </r>
  </si>
  <si>
    <r>
      <rPr>
        <rFont val="Arial"/>
        <color rgb="FF000000"/>
        <sz val="10.0"/>
      </rPr>
      <t>Nama</t>
    </r>
  </si>
  <si>
    <r>
      <rPr>
        <rFont val="Arial"/>
        <color rgb="FF000000"/>
        <sz val="10.0"/>
      </rPr>
      <t>NIM/NIP</t>
    </r>
  </si>
  <si>
    <r>
      <rPr>
        <rFont val="Arial"/>
        <color rgb="FF000000"/>
        <sz val="10.0"/>
      </rPr>
      <t>Fakultas/Univ</t>
    </r>
  </si>
  <si>
    <r>
      <rPr>
        <rFont val="Arial"/>
        <color rgb="FF000000"/>
        <sz val="10.0"/>
      </rPr>
      <t>Akses Lab</t>
    </r>
  </si>
  <si>
    <r>
      <rPr>
        <rFont val="Arial"/>
        <color rgb="FF000000"/>
        <sz val="10.0"/>
      </rPr>
      <t>Instrument</t>
    </r>
  </si>
  <si>
    <r>
      <rPr>
        <rFont val="Arial"/>
        <color rgb="FF000000"/>
        <sz val="10.0"/>
      </rPr>
      <t>Operator</t>
    </r>
  </si>
  <si>
    <r>
      <rPr>
        <rFont val="Arial"/>
        <color rgb="FF000000"/>
        <sz val="10.0"/>
      </rPr>
      <t>Jumlah Sampel</t>
    </r>
  </si>
  <si>
    <t>Jumlah boat</t>
  </si>
  <si>
    <r>
      <rPr>
        <rFont val="Arial"/>
        <color rgb="FF000000"/>
        <sz val="10.0"/>
      </rPr>
      <t>Harga per Sampel</t>
    </r>
  </si>
  <si>
    <r>
      <rPr>
        <rFont val="Arial"/>
        <color rgb="FF000000"/>
        <sz val="10.0"/>
      </rPr>
      <t>Pengkondisian</t>
    </r>
  </si>
  <si>
    <r>
      <rPr>
        <rFont val="&quot;Times New Roman&quot;, serif"/>
        <i/>
        <color rgb="FF000000"/>
        <sz val="12.0"/>
      </rPr>
      <t>Cleaning boat</t>
    </r>
  </si>
  <si>
    <t>Preparasi</t>
  </si>
  <si>
    <r>
      <rPr>
        <rFont val="Arial"/>
        <color rgb="FF000000"/>
        <sz val="10.0"/>
      </rPr>
      <t>Pengolahan Data</t>
    </r>
  </si>
  <si>
    <r>
      <rPr>
        <rFont val="Arial"/>
        <color rgb="FF000000"/>
        <sz val="10.0"/>
      </rPr>
      <t>Mematikan instrument</t>
    </r>
  </si>
  <si>
    <r>
      <rPr>
        <rFont val="Arial"/>
        <b/>
        <color rgb="FF000000"/>
        <sz val="10.0"/>
      </rPr>
      <t>Total waktu pengerjaan</t>
    </r>
  </si>
  <si>
    <r>
      <rPr>
        <rFont val="Arial"/>
        <color rgb="FF000000"/>
        <sz val="10.0"/>
      </rPr>
      <t>Pembuat Rekap</t>
    </r>
  </si>
  <si>
    <t>Merged Doc ID - Rekap DMA</t>
  </si>
  <si>
    <t>Merged Doc URL - Rekap DMA</t>
  </si>
  <si>
    <t>Link to merged Doc - Rekap DMA</t>
  </si>
  <si>
    <t>Document Merge Status - Rekap DMA</t>
  </si>
  <si>
    <t>7xx</t>
  </si>
  <si>
    <t>Contoh</t>
  </si>
  <si>
    <t>DMA</t>
  </si>
  <si>
    <t>Mas xxx</t>
  </si>
  <si>
    <t>1pScGlUgVIjqLpPuEbTsVqD2r7mI-DPdM</t>
  </si>
  <si>
    <t>https://drive.google.com/file/d/1pScGlUgVIjqLpPuEbTsVqD2r7mI-DPdM/view?usp=drivesdk</t>
  </si>
  <si>
    <t>Document successfully created; Document successfully merged; PDF created; Manually run by labterpadu.unit.uns@gmail.com; Timestamp: Sep 2 2024 1:00 AM</t>
  </si>
  <si>
    <r>
      <rPr>
        <rFont val="Arial"/>
        <color rgb="FF000000"/>
        <sz val="10.0"/>
      </rPr>
      <t>Fakultas/Univ</t>
    </r>
  </si>
  <si>
    <t>Merged Doc ID - Rekap AAS</t>
  </si>
  <si>
    <t>Merged Doc URL - Rekap AAS</t>
  </si>
  <si>
    <t>Link to merged Doc - Rekap AAS</t>
  </si>
  <si>
    <t>Document Merge Status - Rekap AAS</t>
  </si>
  <si>
    <t>Anastriyani Yulviatun</t>
  </si>
  <si>
    <t>199007132019032017</t>
  </si>
  <si>
    <t>AAS Furnace (logam Fe)</t>
  </si>
  <si>
    <r>
      <rPr/>
      <t xml:space="preserve">Sugito, SP, </t>
    </r>
    <r>
      <rPr>
        <color rgb="FF1155CC"/>
        <u/>
      </rPr>
      <t>M.Si</t>
    </r>
  </si>
  <si>
    <t>1FBI9irYOyeY2SCQWRxBFN9YvJB-nlSQt</t>
  </si>
  <si>
    <t>https://drive.google.com/file/d/1FBI9irYOyeY2SCQWRxBFN9YvJB-nlSQt/view?usp=drivesdk</t>
  </si>
  <si>
    <t>Document successfully created; Document successfully merged; PDF created; Manually run by labterpadu.unit.uns@gmail.com; Timestamp: Oct 31 2025 4:20 AM</t>
  </si>
  <si>
    <t>AAS Furnace (logam Pb)</t>
  </si>
  <si>
    <r>
      <rPr/>
      <t xml:space="preserve">Sugito, SP, </t>
    </r>
    <r>
      <rPr>
        <color rgb="FF1155CC"/>
        <u/>
      </rPr>
      <t>M.Si</t>
    </r>
  </si>
  <si>
    <t>1DHrWLACs54WcVMX46W3_1MD9piFazUy5</t>
  </si>
  <si>
    <t>https://drive.google.com/file/d/1DHrWLACs54WcVMX46W3_1MD9piFazUy5/view?usp=drivesdk</t>
  </si>
  <si>
    <t>Document successfully created; Document successfully merged; PDF created; Manually run by labterpadu.unit.uns@gmail.com; Timestamp: Oct 31 2025 4:21 AM</t>
  </si>
  <si>
    <r>
      <rPr>
        <rFont val="&quot;Times New Roman&quot;, serif"/>
        <color rgb="FF000000"/>
        <sz val="10.0"/>
      </rPr>
      <t>Tanggal Map Keluar</t>
    </r>
  </si>
  <si>
    <r>
      <rPr>
        <rFont val="&quot;Times New Roman&quot;, serif"/>
        <color rgb="FF000000"/>
        <sz val="10.0"/>
      </rPr>
      <t>Pembuat Rekap</t>
    </r>
  </si>
  <si>
    <r>
      <rPr>
        <rFont val="&quot;Times New Roman&quot;, serif"/>
        <color rgb="FF000000"/>
        <sz val="10.0"/>
      </rPr>
      <t>Agenda</t>
    </r>
  </si>
  <si>
    <r>
      <rPr>
        <rFont val="&quot;Times New Roman&quot;, serif"/>
        <color rgb="FF000000"/>
        <sz val="10.0"/>
      </rPr>
      <t>Nama</t>
    </r>
  </si>
  <si>
    <r>
      <rPr>
        <rFont val="&quot;Times New Roman&quot;, serif"/>
        <color rgb="FF000000"/>
        <sz val="10.0"/>
      </rPr>
      <t>NIM/NIP</t>
    </r>
  </si>
  <si>
    <r>
      <rPr>
        <rFont val="&quot;Times New Roman&quot;, serif"/>
        <color rgb="FF000000"/>
        <sz val="10.0"/>
      </rPr>
      <t>Fakultas/Univ</t>
    </r>
  </si>
  <si>
    <r>
      <rPr>
        <rFont val="&quot;Times New Roman&quot;, serif"/>
        <color rgb="FF000000"/>
        <sz val="10.0"/>
      </rPr>
      <t>Akses Lab</t>
    </r>
  </si>
  <si>
    <r>
      <rPr>
        <rFont val="&quot;Times New Roman&quot;, serif"/>
        <color rgb="FF000000"/>
        <sz val="10.0"/>
      </rPr>
      <t>Operator</t>
    </r>
  </si>
  <si>
    <r>
      <rPr>
        <rFont val="&quot;Times New Roman&quot;, serif"/>
        <color rgb="FF000000"/>
        <sz val="10.0"/>
      </rPr>
      <t>Jumlah Sampel</t>
    </r>
  </si>
  <si>
    <t>Pengulangan</t>
  </si>
  <si>
    <t>preparasi</t>
  </si>
  <si>
    <r>
      <rPr>
        <rFont val="&quot;Times New Roman&quot;, serif"/>
        <color rgb="FF000000"/>
        <sz val="10.0"/>
      </rPr>
      <t>Pengkondisian</t>
    </r>
  </si>
  <si>
    <r>
      <rPr>
        <rFont val="&quot;Times New Roman&quot;, serif"/>
        <color rgb="FF000000"/>
        <sz val="10.0"/>
      </rPr>
      <t>Preparasi dan Pengukuran</t>
    </r>
  </si>
  <si>
    <r>
      <rPr>
        <rFont val="&quot;Times New Roman&quot;, serif"/>
        <color rgb="FF000000"/>
        <sz val="10.0"/>
      </rPr>
      <t>Pengolahan Data</t>
    </r>
  </si>
  <si>
    <r>
      <rPr>
        <rFont val="&quot;Times New Roman&quot;, serif"/>
        <color rgb="FF000000"/>
        <sz val="10.0"/>
      </rPr>
      <t>Mematikan instrument</t>
    </r>
  </si>
  <si>
    <r>
      <rPr>
        <rFont val="&quot;Times New Roman&quot;, serif"/>
        <b/>
        <color rgb="FF000000"/>
        <sz val="10.0"/>
      </rPr>
      <t>Total waktu pengerjaan</t>
    </r>
  </si>
  <si>
    <t>Merged Doc ID - Rekap Impact Tester</t>
  </si>
  <si>
    <t>Merged Doc URL - Rekap Impact Tester</t>
  </si>
  <si>
    <t>Link to merged Doc - Rekap Impact Tester</t>
  </si>
  <si>
    <t>Document Merge Status - Rekap Impact Tester</t>
  </si>
  <si>
    <t>Achmad Nurhidayat</t>
  </si>
  <si>
    <t>m0218011</t>
  </si>
  <si>
    <t>Izod</t>
  </si>
  <si>
    <t>1c5tyZHahYc00AM1iPshbL1DeRaiFjJrm</t>
  </si>
  <si>
    <t>https://drive.google.com/file/d/1c5tyZHahYc00AM1iPshbL1DeRaiFjJrm/view?usp=drivesdk</t>
  </si>
  <si>
    <t>Document successfully created; Document successfully merged; PDF created; Manually run by labterpadu.unit.uns@gmail.com; Timestamp: Aug 26 2024 8:51 PM</t>
  </si>
  <si>
    <t xml:space="preserve">Rio Valeriano Sbroong </t>
  </si>
  <si>
    <t>TEKNIK MANUFAKTUR UNY</t>
  </si>
  <si>
    <t>1ewXjOUYV5WmO31JnVaZV4q8ZwyKyedY3</t>
  </si>
  <si>
    <t>https://drive.google.com/file/d/1ewXjOUYV5WmO31JnVaZV4q8ZwyKyedY3/view?usp=drivesdk</t>
  </si>
  <si>
    <t>1r9DbuBZH13pHEfAWh5qheZu7ak07ELeX</t>
  </si>
  <si>
    <t>https://drive.google.com/file/d/1r9DbuBZH13pHEfAWh5qheZu7ak07ELeX/view?usp=drivesdk</t>
  </si>
  <si>
    <t>Yosafat Kukuh</t>
  </si>
  <si>
    <t>S952302007</t>
  </si>
  <si>
    <t>S2 Teknik Mesin</t>
  </si>
  <si>
    <t>1KpbziA3wGaPbFdeAq1wXLrz2XIxxuj6m</t>
  </si>
  <si>
    <t>https://drive.google.com/file/d/1KpbziA3wGaPbFdeAq1wXLrz2XIxxuj6m/view?usp=drivesdk</t>
  </si>
  <si>
    <t>Teguh Slamet</t>
  </si>
  <si>
    <t>I0421134</t>
  </si>
  <si>
    <t>Teknik Mesin</t>
  </si>
  <si>
    <t>1xSwP3i_rUQfxPw3tsMyVRLlBMK5aoass</t>
  </si>
  <si>
    <t>https://drive.google.com/file/d/1xSwP3i_rUQfxPw3tsMyVRLlBMK5aoass/view?usp=drivesdk</t>
  </si>
  <si>
    <t>Document successfully created; Document successfully merged; PDF created; Manually run by labterpadu.unit.uns@gmail.com; Timestamp: Aug 26 2024 8:56 PM</t>
  </si>
  <si>
    <t>I0421135</t>
  </si>
  <si>
    <t>1GqxGlx5WN8JTsXQRVgRSw88pSe4QmCVy</t>
  </si>
  <si>
    <t>https://drive.google.com/file/d/1GqxGlx5WN8JTsXQRVgRSw88pSe4QmCVy/view?usp=drivesdk</t>
  </si>
  <si>
    <t>Document successfully created; Document successfully merged; PDF created; Manually run by labterpadu.unit.uns@gmail.com; Timestamp: Aug 26 2024 8:52 PM</t>
  </si>
  <si>
    <t>Salman Al Farisi</t>
  </si>
  <si>
    <t>I0419087</t>
  </si>
  <si>
    <t>1DwRUWUEiBizC-Jn0J0m01jzhAu6M0l0W</t>
  </si>
  <si>
    <t>https://drive.google.com/file/d/1DwRUWUEiBizC-Jn0J0m01jzhAu6M0l0W/view?usp=drivesdk</t>
  </si>
  <si>
    <t>Abdi Satryo Mukti</t>
  </si>
  <si>
    <t xml:space="preserve">Teknik Mesin/Teknik &amp; Sains/UPN Veteran Jawa Timur </t>
  </si>
  <si>
    <t>111RHWl-dQNNUa_OHqKT2FcB9gCuH98iC</t>
  </si>
  <si>
    <t>https://drive.google.com/file/d/111RHWl-dQNNUa_OHqKT2FcB9gCuH98iC/view?usp=drivesdk</t>
  </si>
  <si>
    <t>Document successfully created; Document successfully merged; PDF created; Manually run by labterpadu.unit.uns@gmail.com; Timestamp: Aug 26 2024 9:01 PM</t>
  </si>
  <si>
    <t xml:space="preserve">Mochammad Willdan Rosyadi </t>
  </si>
  <si>
    <t>1ehdbz1MYiiUtl29EKK6df7lMe16Vx20s</t>
  </si>
  <si>
    <t>https://drive.google.com/file/d/1ehdbz1MYiiUtl29EKK6df7lMe16Vx20s/view?usp=drivesdk</t>
  </si>
  <si>
    <t>Document successfully created; Document successfully merged; PDF created; Manually run by labterpadu.unit.uns@gmail.com; Timestamp: Aug 26 2024 9:02 PM</t>
  </si>
  <si>
    <t xml:space="preserve">Gema Elwalie </t>
  </si>
  <si>
    <t xml:space="preserve">I0420055 </t>
  </si>
  <si>
    <t>S1 Teknik Mesin</t>
  </si>
  <si>
    <t>1_gH44EQSS00bolZn1FZJaYgn2tSc-B_o</t>
  </si>
  <si>
    <t>https://drive.google.com/file/d/1_gH44EQSS00bolZn1FZJaYgn2tSc-B_o/view?usp=drivesdk</t>
  </si>
  <si>
    <t>Document successfully created; Document successfully merged; PDF created; Manually run by alfianmf8@gmail.com; Timestamp: Aug 28 2024 2:54 AM</t>
  </si>
  <si>
    <t>Rizky Febry Budiyono</t>
  </si>
  <si>
    <t>S1/Teknik Mesin/Sekolah Tinggi Teknologi "Warga" Surakarta</t>
  </si>
  <si>
    <t>1QlXXvPEYApiXycTTooCyoal1qfRMSjE7</t>
  </si>
  <si>
    <t>https://drive.google.com/file/d/1QlXXvPEYApiXycTTooCyoal1qfRMSjE7/view?usp=drivesdk</t>
  </si>
  <si>
    <t>Document successfully created; Document successfully merged; PDF created; Manually run by alfianmf8@gmail.com; Timestamp: Aug 28 2024 3:42 AM</t>
  </si>
  <si>
    <t>19PktuXiczSAl1TCd4tvn4rI2W82NycZb</t>
  </si>
  <si>
    <t>https://drive.google.com/file/d/19PktuXiczSAl1TCd4tvn4rI2W82NycZb/view?usp=drivesdk</t>
  </si>
  <si>
    <t>Document successfully created; Document successfully merged; PDF created; Manually run by labterpadu.unit.uns@gmail.com; Timestamp: Sep 1 2024 11:54 PM</t>
  </si>
  <si>
    <t>Andrea Puspa</t>
  </si>
  <si>
    <t>I0421020</t>
  </si>
  <si>
    <t>Teknik mesin/teknik</t>
  </si>
  <si>
    <t>1t7IHovm8lgfOaSzM6rTGGAlnaeXr_vLE</t>
  </si>
  <si>
    <t>https://drive.google.com/file/d/1t7IHovm8lgfOaSzM6rTGGAlnaeXr_vLE/view?usp=drivesdk</t>
  </si>
  <si>
    <t>Document successfully created; Document successfully merged; PDF created; Manually run by labterpadu.unit.uns@gmail.com; Timestamp: Sep 20 2024 3:12 AM</t>
  </si>
  <si>
    <t>Alfian &amp; AW</t>
  </si>
  <si>
    <t>1y_i-owQc5gUC0a0fSVWbN-x2GwxQU-M2</t>
  </si>
  <si>
    <t>https://drive.google.com/file/d/1y_i-owQc5gUC0a0fSVWbN-x2GwxQU-M2/view?usp=drivesdk</t>
  </si>
  <si>
    <t>Abdul Ghofur Safari</t>
  </si>
  <si>
    <t>I0421001</t>
  </si>
  <si>
    <t>1ZeN5iAMYjv83T0KOVCpYrBwnSwd8Nc-c</t>
  </si>
  <si>
    <t>https://drive.google.com/file/d/1ZeN5iAMYjv83T0KOVCpYrBwnSwd8Nc-c/view?usp=drivesdk</t>
  </si>
  <si>
    <t>Document successfully created; Document successfully merged; PDF created; Manually run by labterpadu.unit.uns@gmail.com; Timestamp: Sep 20 2024 3:13 AM</t>
  </si>
  <si>
    <t>Argian Tegar Anggit Purwaka</t>
  </si>
  <si>
    <t>I0421025</t>
  </si>
  <si>
    <t>Teknik Mesin/ Teknik/ UNS</t>
  </si>
  <si>
    <t>1psbsy8ITcDQ2ajiFVLNyINcrotJrD85i</t>
  </si>
  <si>
    <t>https://drive.google.com/file/d/1psbsy8ITcDQ2ajiFVLNyINcrotJrD85i/view?usp=drivesdk</t>
  </si>
  <si>
    <t>Diva Naswa Abdilah</t>
  </si>
  <si>
    <t>I0421045</t>
  </si>
  <si>
    <t>Teknik Mesin/ Teknik/ Universitas Sebelas Maret</t>
  </si>
  <si>
    <t>1ud9SIaGvant6tRbbNYrK0IoRj7l2K4Se</t>
  </si>
  <si>
    <t>https://drive.google.com/file/d/1ud9SIaGvant6tRbbNYrK0IoRj7l2K4Se/view?usp=drivesdk</t>
  </si>
  <si>
    <t>Tri Wibawa</t>
  </si>
  <si>
    <t>T761908002</t>
  </si>
  <si>
    <t>S3 Ilmu Teknik Mesin/FT/UNS</t>
  </si>
  <si>
    <t>1V6Y72PC7BVsVKGC33AhCkSyCTb1cjkQ8</t>
  </si>
  <si>
    <t>https://drive.google.com/file/d/1V6Y72PC7BVsVKGC33AhCkSyCTb1cjkQ8/view?usp=drivesdk</t>
  </si>
  <si>
    <t>Document successfully created; Document successfully merged; PDF created; Manually run by labterpadu.unit.uns@gmail.com; Timestamp: Oct 8 2024 5:28 AM</t>
  </si>
  <si>
    <t>rina</t>
  </si>
  <si>
    <t>Doktor Ilmu Teknik Mesin/FT/UNS</t>
  </si>
  <si>
    <t>1A9js4zXJNdH3afFsoBvWeF0am8q_9PNO</t>
  </si>
  <si>
    <t>https://drive.google.com/file/d/1A9js4zXJNdH3afFsoBvWeF0am8q_9PNO/view?usp=drivesdk</t>
  </si>
  <si>
    <t>Document successfully created; Document successfully merged; PDF created; Manually run by labterpadu.unit.uns@gmail.com; Timestamp: Oct 30 2024 4:31 AM</t>
  </si>
  <si>
    <t>Mohamad Haikal Kenang Octori</t>
  </si>
  <si>
    <t>I0418050</t>
  </si>
  <si>
    <t>S1 Teknik Mesin UNS</t>
  </si>
  <si>
    <t>119Rt5u_kpRrdDfPPp0dRdUEEFGEXFHNp</t>
  </si>
  <si>
    <t>https://drive.google.com/file/d/119Rt5u_kpRrdDfPPp0dRdUEEFGEXFHNp/view?usp=drivesdk</t>
  </si>
  <si>
    <t>Document successfully created; Document successfully merged; PDF created; Manually run by labterpadu.unit.uns@gmail.com; Timestamp: Oct 23 2024 12:11 AM</t>
  </si>
  <si>
    <t>Syarief Abdurrazzaq</t>
  </si>
  <si>
    <t>I0420137</t>
  </si>
  <si>
    <t>1Rkyv-EXj0wjjMnhQdADfo9Eit9rw_8gO</t>
  </si>
  <si>
    <t>https://drive.google.com/file/d/1Rkyv-EXj0wjjMnhQdADfo9Eit9rw_8gO/view?usp=drivesdk</t>
  </si>
  <si>
    <t>Rina</t>
  </si>
  <si>
    <t>Muhammad Helmi</t>
  </si>
  <si>
    <t>I0421105</t>
  </si>
  <si>
    <t>S1-Teknik Mesin/Teknik/Universitas Sebelas Maret</t>
  </si>
  <si>
    <t>1yGhm-AuCjyDB1jFDAvI_55Z1BV73m9Dr</t>
  </si>
  <si>
    <t>https://drive.google.com/file/d/1yGhm-AuCjyDB1jFDAvI_55Z1BV73m9Dr/view?usp=drivesdk</t>
  </si>
  <si>
    <t>Document successfully created; Document successfully merged; PDF created; Manually run by labterpadu.unit.uns@gmail.com; Timestamp: Nov 21 2024 1:52 AM</t>
  </si>
  <si>
    <t>11aACBqJDh1uQGjM4MM5grEQwS_9qvYgt</t>
  </si>
  <si>
    <t>https://drive.google.com/file/d/11aACBqJDh1uQGjM4MM5grEQwS_9qvYgt/view?usp=drivesdk</t>
  </si>
  <si>
    <t>Document successfully created; Document successfully merged; PDF created; Manually run by labterpadu.unit.uns@gmail.com; Timestamp: Dec 18 2024 11:08 PM</t>
  </si>
  <si>
    <t>Ariq Muhammad Rafi</t>
  </si>
  <si>
    <t>I0420030</t>
  </si>
  <si>
    <t>UNS</t>
  </si>
  <si>
    <t>1zgTRrallgfqnD91hSFf8pl5h2_OY09Tm</t>
  </si>
  <si>
    <t>https://drive.google.com/file/d/1zgTRrallgfqnD91hSFf8pl5h2_OY09Tm/view?usp=drivesdk</t>
  </si>
  <si>
    <t>Document successfully created; Document successfully merged; PDF created; Manually run by labterpadu.unit.uns@gmail.com; Timestamp: Jan 14 2025 8:12 PM</t>
  </si>
  <si>
    <t xml:space="preserve">Gerald Christiano </t>
  </si>
  <si>
    <t>Teknik Mesin / Teknik / UNS</t>
  </si>
  <si>
    <t>1Gy6HpeQO3NCwF6i1WkQl3HXnO-nvwShu</t>
  </si>
  <si>
    <t>https://drive.google.com/file/d/1Gy6HpeQO3NCwF6i1WkQl3HXnO-nvwShu/view?usp=drivesdk</t>
  </si>
  <si>
    <t>Document successfully created; Document successfully merged; PDF created; Manually run by labterpadu.unit.uns@gmail.com; Timestamp: Feb 2 2025 8:51 PM</t>
  </si>
  <si>
    <t>Kadar Air &amp; Abu</t>
  </si>
  <si>
    <t>ALILAH SYAH BUDI</t>
  </si>
  <si>
    <t>J0313211112</t>
  </si>
  <si>
    <t>Teknik dan Manajemen Lingkungan/Sekolah Vokasi</t>
  </si>
  <si>
    <t>IPB University</t>
  </si>
  <si>
    <t>Furnace, Oven, Analitical Balance</t>
  </si>
  <si>
    <t>Alfian, AW, Sartono</t>
  </si>
  <si>
    <t>1A0aZ5_0zESfhZ7eLV-fmZaDKu1k655TD</t>
  </si>
  <si>
    <t>https://drive.google.com/file/d/1A0aZ5_0zESfhZ7eLV-fmZaDKu1k655TD/view?usp=drivesdk</t>
  </si>
  <si>
    <t>Document successfully created; Document successfully merged; PDF created; Manually run by labterpadu.unit.uns@gmail.com; Timestamp: Feb 12 2025 2:09 AM</t>
  </si>
  <si>
    <t>PT Delima Karya</t>
  </si>
  <si>
    <t>Bogor</t>
  </si>
  <si>
    <t>1F2NsMzNXgdg7rtoq6fVWqwgKzR0X08mc</t>
  </si>
  <si>
    <t>https://drive.google.com/file/d/1F2NsMzNXgdg7rtoq6fVWqwgKzR0X08mc/view?usp=drivesdk</t>
  </si>
  <si>
    <t>Document successfully created; Document successfully merged; PDF created; Manually run by labterpadu.unit.uns@gmail.com; Timestamp: Mar 9 2025 11:05 PM</t>
  </si>
  <si>
    <t>Florentina Maria</t>
  </si>
  <si>
    <t>T852308006</t>
  </si>
  <si>
    <t>S3 Pend. IPA</t>
  </si>
  <si>
    <t>1Ch23bWrDPk-osPd1XKBXikjU7_lkmANc</t>
  </si>
  <si>
    <t>https://drive.google.com/file/d/1Ch23bWrDPk-osPd1XKBXikjU7_lkmANc/view?usp=drivesdk</t>
  </si>
  <si>
    <t>Document successfully created; Document successfully merged; PDF created; Manually run by labterpadu.unit.uns@gmail.com; Timestamp: Mar 14 2025 3:51 AM</t>
  </si>
  <si>
    <t>Impact Tester</t>
  </si>
  <si>
    <t>Adiwidya Davin Pradipa</t>
  </si>
  <si>
    <t>I0421006</t>
  </si>
  <si>
    <t>16Dn6zRjNnVrmDK01djIXLfAInOW7O3dj</t>
  </si>
  <si>
    <t>https://drive.google.com/file/d/16Dn6zRjNnVrmDK01djIXLfAInOW7O3dj/view?usp=drivesdk</t>
  </si>
  <si>
    <t>Document successfully created; Document successfully merged; PDF created; Manually run by labterpadu.unit.uns@gmail.com; Timestamp: Mar 21 2025 2:16 AM</t>
  </si>
  <si>
    <t>Yossa Aulia</t>
  </si>
  <si>
    <t>I0421143</t>
  </si>
  <si>
    <t>1TaL3JzEWSG4hVpEeHdt53o0KyBVnAfh5</t>
  </si>
  <si>
    <t>https://drive.google.com/file/d/1TaL3JzEWSG4hVpEeHdt53o0KyBVnAfh5/view?usp=drivesdk</t>
  </si>
  <si>
    <t>Document successfully created; Document successfully merged; PDF created; Manually run by labterpadu.unit.uns@gmail.com; Timestamp: Apr 9 2025 5:08 AM</t>
  </si>
  <si>
    <r>
      <rPr>
        <rFont val="&quot;Times New Roman&quot;, serif"/>
        <color rgb="FF000000"/>
      </rPr>
      <t>Tanggal Map Keluar</t>
    </r>
  </si>
  <si>
    <r>
      <rPr>
        <rFont val="&quot;Times New Roman&quot;, serif"/>
        <color rgb="FF000000"/>
      </rPr>
      <t>Pembuat Rekap</t>
    </r>
  </si>
  <si>
    <r>
      <rPr>
        <rFont val="&quot;Times New Roman&quot;, serif"/>
        <color rgb="FF000000"/>
      </rPr>
      <t>Agenda</t>
    </r>
  </si>
  <si>
    <r>
      <rPr>
        <rFont val="&quot;Times New Roman&quot;, serif"/>
        <color rgb="FF000000"/>
      </rPr>
      <t>Nama</t>
    </r>
  </si>
  <si>
    <r>
      <rPr>
        <rFont val="&quot;Times New Roman&quot;, serif"/>
        <color rgb="FF000000"/>
      </rPr>
      <t>NIM/NIP</t>
    </r>
  </si>
  <si>
    <r>
      <rPr>
        <rFont val="&quot;Times New Roman&quot;, serif"/>
        <color rgb="FF000000"/>
      </rPr>
      <t>Fakultas/Univ</t>
    </r>
  </si>
  <si>
    <r>
      <rPr>
        <rFont val="&quot;Times New Roman&quot;, serif"/>
        <color rgb="FF000000"/>
      </rPr>
      <t>Akses Lab</t>
    </r>
  </si>
  <si>
    <r>
      <rPr>
        <rFont val="&quot;Times New Roman&quot;, serif"/>
        <color rgb="FF000000"/>
      </rPr>
      <t>Operator</t>
    </r>
  </si>
  <si>
    <r>
      <rPr>
        <rFont val="&quot;Times New Roman&quot;, serif"/>
        <color rgb="FF000000"/>
      </rPr>
      <t>Jumlah Sampel</t>
    </r>
  </si>
  <si>
    <r>
      <rPr>
        <rFont val="&quot;Times New Roman&quot;, serif"/>
        <color rgb="FF000000"/>
      </rPr>
      <t>Pengolahan Data</t>
    </r>
  </si>
  <si>
    <r>
      <rPr>
        <rFont val="&quot;Times New Roman&quot;, serif"/>
        <b/>
        <color rgb="FF000000"/>
      </rPr>
      <t>Total waktu pengerjaan</t>
    </r>
  </si>
  <si>
    <t>Merged Doc ID - Vanili</t>
  </si>
  <si>
    <t>Merged Doc URL - Vanili</t>
  </si>
  <si>
    <t>Link to merged Doc - Vanili</t>
  </si>
  <si>
    <t>Document Merge Status - Vanili</t>
  </si>
  <si>
    <t>Vanili</t>
  </si>
  <si>
    <t>1LUmISOwxiOx9AxCjt8HPhPHau6gbXp8q</t>
  </si>
  <si>
    <t>https://drive.google.com/file/d/1LUmISOwxiOx9AxCjt8HPhPHau6gbXp8q/view?usp=drivesdk</t>
  </si>
  <si>
    <t>Document successfully created; Document successfully merged; PDF created; Manually run by labterpadu.unit.uns@gmail.com; Timestamp: Oct 27 2024 10:55 PM</t>
  </si>
  <si>
    <t>Densitas</t>
  </si>
  <si>
    <t>Hilbran Tama Dida Effendi</t>
  </si>
  <si>
    <t>S952402002</t>
  </si>
  <si>
    <t>Pignometer dan Gravimetri</t>
  </si>
  <si>
    <t>fg</t>
  </si>
  <si>
    <t>1UfzrrLiwVr43sUz5aMQd1ll74rTjOs-z</t>
  </si>
  <si>
    <t>https://drive.google.com/file/d/1UfzrrLiwVr43sUz5aMQd1ll74rTjOs-z/view?usp=drivesdk</t>
  </si>
  <si>
    <t>Document successfully created; Document successfully merged; PDF created; Manually run by labterpadu.unit.uns@gmail.com; Timestamp: Oct 15 2024 10:59 PM</t>
  </si>
  <si>
    <t>1QsmOHryRtoKBFAFqguyCpK7cL7HBZqNK</t>
  </si>
  <si>
    <t>https://drive.google.com/file/d/1QsmOHryRtoKBFAFqguyCpK7cL7HBZqNK/view?usp=drivesdk</t>
  </si>
  <si>
    <t>Document successfully created; Document successfully merged; PDF created; Manually run by labterpadu.unit.uns@gmail.com; Timestamp: Nov 3 2024 8:49 PM</t>
  </si>
  <si>
    <t>Bakteri</t>
  </si>
  <si>
    <t>Triyanto</t>
  </si>
  <si>
    <t>Regenerasi Bakteri</t>
  </si>
  <si>
    <t>Tiwi</t>
  </si>
  <si>
    <t>1r-nktbi1Q20yq0pPG33JdXVxQAJzUTm3</t>
  </si>
  <si>
    <t>https://drive.google.com/file/d/1r-nktbi1Q20yq0pPG33JdXVxQAJzUTm3/view?usp=drivesdk</t>
  </si>
  <si>
    <t>Document successfully created; Document successfully merged; PDF created; Manually run by labterpadu.unit.uns@gmail.com; Timestamp: Nov 19 2024 1:51 AM</t>
  </si>
  <si>
    <t>Kadar Air dan Abu</t>
  </si>
  <si>
    <t>Teguh Faqih Pambudi</t>
  </si>
  <si>
    <t>J0313211046</t>
  </si>
  <si>
    <t>IPB</t>
  </si>
  <si>
    <t>1vA9amHzTX0IqS540__oi9KgEzU-KiE4y</t>
  </si>
  <si>
    <t>https://drive.google.com/file/d/1vA9amHzTX0IqS540__oi9KgEzU-KiE4y/view?usp=drivesdk</t>
  </si>
  <si>
    <t>Document successfully created; Document successfully merged; PDF created; Manually run by labterpadu.unit.uns@gmail.com; Timestamp: Feb 26 2025 9:53 PM</t>
  </si>
  <si>
    <r>
      <rPr>
        <rFont val="&quot;Times New Roman&quot;, serif"/>
        <color rgb="FF000000"/>
        <sz val="12.0"/>
      </rPr>
      <t>Tanggal Map Keluar</t>
    </r>
  </si>
  <si>
    <r>
      <rPr>
        <rFont val="&quot;Times New Roman&quot;, serif"/>
        <color rgb="FF000000"/>
        <sz val="12.0"/>
      </rPr>
      <t>Hari, Tanggal pembuatan rekap</t>
    </r>
  </si>
  <si>
    <r>
      <rPr>
        <rFont val="&quot;Times New Roman&quot;, serif"/>
        <color rgb="FF000000"/>
        <sz val="12.0"/>
      </rPr>
      <t>Pembuat Rekap</t>
    </r>
  </si>
  <si>
    <r>
      <rPr>
        <rFont val="&quot;Times New Roman&quot;, serif"/>
        <color rgb="FF000000"/>
        <sz val="12.0"/>
      </rPr>
      <t>Agenda</t>
    </r>
  </si>
  <si>
    <r>
      <rPr>
        <rFont val="&quot;Times New Roman&quot;, serif"/>
        <color rgb="FF000000"/>
        <sz val="12.0"/>
      </rPr>
      <t>Nama</t>
    </r>
  </si>
  <si>
    <r>
      <rPr>
        <rFont val="&quot;Times New Roman&quot;, serif"/>
        <color rgb="FF000000"/>
        <sz val="12.0"/>
      </rPr>
      <t>NIM/NIP</t>
    </r>
  </si>
  <si>
    <r>
      <rPr>
        <rFont val="&quot;Times New Roman&quot;, serif"/>
        <color rgb="FF000000"/>
        <sz val="12.0"/>
      </rPr>
      <t>Fakultas/Univ</t>
    </r>
  </si>
  <si>
    <r>
      <rPr>
        <rFont val="&quot;Times New Roman&quot;, serif"/>
        <color rgb="FF000000"/>
        <sz val="12.0"/>
      </rPr>
      <t>Akses Lab</t>
    </r>
  </si>
  <si>
    <r>
      <rPr>
        <rFont val="&quot;Times New Roman&quot;, serif"/>
        <color rgb="FF000000"/>
        <sz val="12.0"/>
      </rPr>
      <t>Instrument</t>
    </r>
  </si>
  <si>
    <r>
      <rPr>
        <rFont val="&quot;Times New Roman&quot;, serif"/>
        <color rgb="FF000000"/>
        <sz val="12.0"/>
      </rPr>
      <t>Operator</t>
    </r>
  </si>
  <si>
    <r>
      <rPr>
        <rFont val="&quot;Times New Roman&quot;, serif"/>
        <color rgb="FF000000"/>
        <sz val="12.0"/>
      </rPr>
      <t>Jumlah Sampel</t>
    </r>
  </si>
  <si>
    <r>
      <rPr>
        <rFont val="&quot;Times New Roman&quot;, serif"/>
        <color rgb="FF000000"/>
        <sz val="12.0"/>
      </rPr>
      <t>Harga per Sampel</t>
    </r>
  </si>
  <si>
    <r>
      <rPr>
        <rFont val="&quot;Times New Roman&quot;, serif"/>
        <color rgb="FF000000"/>
        <sz val="12.0"/>
      </rPr>
      <t>Preparasi sampel</t>
    </r>
  </si>
  <si>
    <r>
      <rPr>
        <rFont val="&quot;Times New Roman&quot;, serif"/>
        <color rgb="FF000000"/>
        <sz val="12.0"/>
      </rPr>
      <t>Penstabilan</t>
    </r>
  </si>
  <si>
    <r>
      <rPr>
        <rFont val="&quot;Times New Roman&quot;, serif"/>
        <color rgb="FF000000"/>
        <sz val="12.0"/>
      </rPr>
      <t>Pengukuran sampel</t>
    </r>
  </si>
  <si>
    <r>
      <rPr>
        <rFont val="&quot;Times New Roman&quot;, serif"/>
        <color rgb="FF000000"/>
        <sz val="12.0"/>
      </rPr>
      <t>Pengolahan data</t>
    </r>
  </si>
  <si>
    <r>
      <rPr>
        <rFont val="&quot;Times New Roman&quot;, serif"/>
        <color rgb="FF000000"/>
        <sz val="12.0"/>
      </rPr>
      <t>Mematikan instrument</t>
    </r>
  </si>
  <si>
    <r>
      <rPr>
        <rFont val="&quot;Times New Roman&quot;, serif"/>
        <b/>
        <color rgb="FF000000"/>
        <sz val="12.0"/>
      </rPr>
      <t>Total waktu pengerjaan</t>
    </r>
  </si>
  <si>
    <t>Merged Doc ID - Rekap XRF</t>
  </si>
  <si>
    <t>Merged Doc URL - Rekap XRF</t>
  </si>
  <si>
    <t>Link to merged Doc - Rekap XRF</t>
  </si>
  <si>
    <t>Document Merge Status - Rekap XRF</t>
  </si>
  <si>
    <t>Rina S</t>
  </si>
  <si>
    <t>Afanindya Salma K</t>
  </si>
  <si>
    <t>V2622002</t>
  </si>
  <si>
    <t>Dendy, Badif, Widyan</t>
  </si>
  <si>
    <t>1W8MfIQ4eN-DfHc2lISjIKooxIBzKwTid</t>
  </si>
  <si>
    <t>https://drive.google.com/file/d/1W8MfIQ4eN-DfHc2lISjIKooxIBzKwTid/view?usp=drivesdk</t>
  </si>
  <si>
    <t>Document successfully created; Document successfully merged; PDF created; Manually run by nurwidin32@gmail.com; Timestamp: Aug 22 2024 9:30 PM</t>
  </si>
  <si>
    <t xml:space="preserve">Mutiara Aulia Sholikhah </t>
  </si>
  <si>
    <t>V2622028</t>
  </si>
  <si>
    <t>D3 Teknik Kimia</t>
  </si>
  <si>
    <t>Widyan dan Dendy</t>
  </si>
  <si>
    <t>1Q1KTNBhbbACZyVmOKCQ0tPDQ2QtmVrqu</t>
  </si>
  <si>
    <t>https://drive.google.com/file/d/1Q1KTNBhbbACZyVmOKCQ0tPDQ2QtmVrqu/view?usp=drivesdk</t>
  </si>
  <si>
    <t>Document successfully created; Document successfully merged; PDF created; Manually run by labterpadu.unit.uns@gmail.com; Timestamp: Oct 22 2024 9:21 AM</t>
  </si>
  <si>
    <t>1iRLCbLFpev7mkzBR3Vdp-LZougVG0NBk</t>
  </si>
  <si>
    <t>https://drive.google.com/file/d/1iRLCbLFpev7mkzBR3Vdp-LZougVG0NBk/view?usp=drivesdk</t>
  </si>
  <si>
    <t>Document successfully created; Document successfully merged; PDF created; Manually run by labterpadu.unit.uns@gmail.com; Timestamp: Oct 23 2024 10:44 PM</t>
  </si>
  <si>
    <t>Camelia Sakinatus Solehah</t>
  </si>
  <si>
    <t>M0221024</t>
  </si>
  <si>
    <t>12hpQ6XoOLsumxU7zimQ6bVG9k9F1-nvc</t>
  </si>
  <si>
    <t>https://drive.google.com/file/d/12hpQ6XoOLsumxU7zimQ6bVG9k9F1-nvc/view?usp=drivesdk</t>
  </si>
  <si>
    <t>Document successfully created; Document successfully merged; PDF created; Manually run by labterpadu.unit.uns@gmail.com; Timestamp: Dec 2 2024 12:31 AM</t>
  </si>
  <si>
    <t>Hana Wardani Puruhita</t>
  </si>
  <si>
    <t>T752102002</t>
  </si>
  <si>
    <t>S3 Ilmu Sipil</t>
  </si>
  <si>
    <t>1SRTrZrUpOjwP9OnzKfyNL7uYyJ_stm0a</t>
  </si>
  <si>
    <t>https://drive.google.com/file/d/1SRTrZrUpOjwP9OnzKfyNL7uYyJ_stm0a/view?usp=drivesdk</t>
  </si>
  <si>
    <t>Document successfully created; Document successfully merged; PDF created; Manually run by labterpadu.unit.uns@gmail.com; Timestamp: Dec 6 2024 4:01 AM</t>
  </si>
  <si>
    <t>Muhammad Yazid Hibatullah</t>
  </si>
  <si>
    <t>I01221322</t>
  </si>
  <si>
    <t>S1 Teknik Sipil/FT/UNS</t>
  </si>
  <si>
    <t>1gNilbA1jPzpwc-hqZF4nauFOXrEyDWVc</t>
  </si>
  <si>
    <t>https://drive.google.com/file/d/1gNilbA1jPzpwc-hqZF4nauFOXrEyDWVc/view?usp=drivesdk</t>
  </si>
  <si>
    <t>Document successfully created; Document successfully merged; PDF created; Manually run by labterpadu.unit.uns@gmail.com; Timestamp: Dec 12 2024 2:13 AM</t>
  </si>
  <si>
    <t>1l6UjyQ6ewWw0y19Ecqqr3Ved6mssJGWJ</t>
  </si>
  <si>
    <t>https://drive.google.com/file/d/1l6UjyQ6ewWw0y19Ecqqr3Ved6mssJGWJ/view?usp=drivesdk</t>
  </si>
  <si>
    <t>Document successfully created; Document successfully merged; PDF created; Manually run by labterpadu.unit.uns@gmail.com; Timestamp: Dec 29 2024 8:25 PM</t>
  </si>
  <si>
    <t>Teuku Reza Maulana Fasya</t>
  </si>
  <si>
    <t>PT PLN UIK TJB</t>
  </si>
  <si>
    <t>1ItDZrDRuHV4SEb4g1peHGOlk3VjyCQ0J</t>
  </si>
  <si>
    <t>https://drive.google.com/file/d/1ItDZrDRuHV4SEb4g1peHGOlk3VjyCQ0J/view?usp=drivesdk</t>
  </si>
  <si>
    <t>Document successfully created; Document successfully merged; PDF created; Manually run by labterpadu.unit.uns@gmail.com; Timestamp: Feb 3 2025 9:47 PM</t>
  </si>
  <si>
    <t>Florentina Maria Panda</t>
  </si>
  <si>
    <t>S3 Pendidikan IPA/FKIP/UNS</t>
  </si>
  <si>
    <t>1-hBID0xAzQt4LYgpSTKEpq36iBh7iHYI</t>
  </si>
  <si>
    <t>https://drive.google.com/file/d/1-hBID0xAzQt4LYgpSTKEpq36iBh7iHYI/view?usp=drivesdk</t>
  </si>
  <si>
    <t>Document successfully created; Document successfully merged; PDF created; Manually run by labterpadu.unit.uns@gmail.com; Timestamp: Feb 5 2025 10:50 PM</t>
  </si>
  <si>
    <t>Mahmudi</t>
  </si>
  <si>
    <t>1rMULnFIbRGR2jZmwBBe6zyOpd735tkko</t>
  </si>
  <si>
    <t>https://drive.google.com/file/d/1rMULnFIbRGR2jZmwBBe6zyOpd735tkko/view?usp=drivesdk</t>
  </si>
  <si>
    <t>Document successfully created; Document successfully merged; PDF created; Manually run by labterpadu.unit.uns@gmail.com; Timestamp: Feb 11 2025 10:38 PM</t>
  </si>
  <si>
    <t>1Jb7CzLCagRIcDNtulFz60mqECqct7shQ</t>
  </si>
  <si>
    <t>https://drive.google.com/file/d/1Jb7CzLCagRIcDNtulFz60mqECqct7shQ/view?usp=drivesdk</t>
  </si>
  <si>
    <t>Document successfully created; Document successfully merged; PDF created; Manually run by labterpadu.unit.uns@gmail.com; Timestamp: May 16 2025 2:36 AM</t>
  </si>
  <si>
    <t>‘Ulya Saffanah</t>
  </si>
  <si>
    <t>S072502001</t>
  </si>
  <si>
    <t>S2-Teknik Kimia/UNS</t>
  </si>
  <si>
    <t>1Rpl_BrbHGe8JN04dzUx4zHJbKIBVw5UR</t>
  </si>
  <si>
    <t>https://drive.google.com/file/d/1Rpl_BrbHGe8JN04dzUx4zHJbKIBVw5UR/view?usp=drivesdk</t>
  </si>
  <si>
    <t>Khusnul Khotimah</t>
  </si>
  <si>
    <t>K1522050</t>
  </si>
  <si>
    <t>Pendidikan Teknik Bangunan / FKIP / UNS</t>
  </si>
  <si>
    <t>1l__ZycIx8qCfBHu5SLa5iLlwRWOnJxTf</t>
  </si>
  <si>
    <t>https://drive.google.com/file/d/1l__ZycIx8qCfBHu5SLa5iLlwRWOnJxTf/view?usp=drivesdk</t>
  </si>
  <si>
    <t>Document successfully created; Document successfully merged; PDF created; Manually run by labterpadu.unit.uns@gmail.com; Timestamp: May 16 2025 2:37 AM</t>
  </si>
  <si>
    <t>PT. Bhatara Cipta Nawasena</t>
  </si>
  <si>
    <t>1BdamtXS6yqIMlKWWS1G5NtztDOCFdRRf</t>
  </si>
  <si>
    <t>https://drive.google.com/file/d/1BdamtXS6yqIMlKWWS1G5NtztDOCFdRRf/view?usp=drivesdk</t>
  </si>
  <si>
    <t>Namira Aulia</t>
  </si>
  <si>
    <t>I0121127</t>
  </si>
  <si>
    <t>1y4gPCDPpKSgCQYl1mOFE0dr6kicFrg6_</t>
  </si>
  <si>
    <t>https://drive.google.com/file/d/1y4gPCDPpKSgCQYl1mOFE0dr6kicFrg6_/view?usp=drivesdk</t>
  </si>
  <si>
    <t>Document successfully created; Document successfully merged; PDF created; Manually run by labterpadu.unit.uns@gmail.com; Timestamp: May 28 2025 12:31 AM</t>
  </si>
  <si>
    <t>Aziva Zuyina Billah</t>
  </si>
  <si>
    <t>I0121029</t>
  </si>
  <si>
    <t>1x015ClH2Ft6tKiRQkzLP9hl5OY2ZrZQ2</t>
  </si>
  <si>
    <t>https://drive.google.com/file/d/1x015ClH2Ft6tKiRQkzLP9hl5OY2ZrZQ2/view?usp=drivesdk</t>
  </si>
  <si>
    <t>1Q0hXsyivNUNOsR0tBXYmZhUhKRsJ7Zoc</t>
  </si>
  <si>
    <t>https://drive.google.com/file/d/1Q0hXsyivNUNOsR0tBXYmZhUhKRsJ7Zoc/view?usp=drivesdk</t>
  </si>
  <si>
    <t>Muhammad Sulthan Haykal Anas</t>
  </si>
  <si>
    <t>I0121120</t>
  </si>
  <si>
    <t>160OQlK2EC-A1SDev-n8xRCV2diILGPVO</t>
  </si>
  <si>
    <t>https://drive.google.com/file/d/160OQlK2EC-A1SDev-n8xRCV2diILGPVO/view?usp=drivesdk</t>
  </si>
  <si>
    <t>Aziz Irham Rosyadi</t>
  </si>
  <si>
    <t>1XtPtlD4ro7ZI2iYf9l_JdN9-FAabUFd7</t>
  </si>
  <si>
    <t>https://drive.google.com/file/d/1XtPtlD4ro7ZI2iYf9l_JdN9-FAabUFd7/view?usp=drivesdk</t>
  </si>
  <si>
    <t>Document successfully created; Document successfully merged; PDF created; Manually run by labterpadu.unit.uns@gmail.com; Timestamp: Jun 12 2025 4:59 AM</t>
  </si>
  <si>
    <t>Deaztsani Khairurrijalulhaq</t>
  </si>
  <si>
    <t>I0121038</t>
  </si>
  <si>
    <t>17VlMJjCy5bpxv6Qdemx6VQx-4fPhWkOm</t>
  </si>
  <si>
    <t>https://drive.google.com/file/d/17VlMJjCy5bpxv6Qdemx6VQx-4fPhWkOm/view?usp=drivesdk</t>
  </si>
  <si>
    <t>Dian Rahmawati</t>
  </si>
  <si>
    <t>K3321919</t>
  </si>
  <si>
    <t>1gaMDLqsOQ7VlzALhhNYoLua8aOmnCaO8</t>
  </si>
  <si>
    <t>https://drive.google.com/file/d/1gaMDLqsOQ7VlzALhhNYoLua8aOmnCaO8/view?usp=drivesdk</t>
  </si>
  <si>
    <t>Document successfully created; Document successfully merged; PDF created; Manually run by labterpadu.unit.uns@gmail.com; Timestamp: Jun 16 2025 3:56 AM</t>
  </si>
  <si>
    <t>1vsJP5vQ0uH0cz2mADd4VPoii0YbP5UZq</t>
  </si>
  <si>
    <t>https://drive.google.com/file/d/1vsJP5vQ0uH0cz2mADd4VPoii0YbP5UZq/view?usp=drivesdk</t>
  </si>
  <si>
    <t>S-3 Teknik Sipil/FT/UNS</t>
  </si>
  <si>
    <t>1gv1dssz3JBHU7o-8x9YPO1AC_0fJFnyn</t>
  </si>
  <si>
    <t>https://drive.google.com/file/d/1gv1dssz3JBHU7o-8x9YPO1AC_0fJFnyn/view?usp=drivesdk</t>
  </si>
  <si>
    <t>Document successfully created; Document successfully merged; PDF created; Manually run by labterpadu.unit.uns@gmail.com; Timestamp: Jun 24 2025 3:54 AM</t>
  </si>
  <si>
    <t>Wahyu Agung Widodo</t>
  </si>
  <si>
    <t>K1522082</t>
  </si>
  <si>
    <t>S-1 Pendidikan Teknik Bangunan/FKIP/UNS</t>
  </si>
  <si>
    <t>1MvgrysvQnhB85_I0Ga7E96XPVaiAzwk8</t>
  </si>
  <si>
    <t>https://drive.google.com/file/d/1MvgrysvQnhB85_I0Ga7E96XPVaiAzwk8/view?usp=drivesdk</t>
  </si>
  <si>
    <t>T852308004</t>
  </si>
  <si>
    <t>S-3 Pendidikan IPA UNS</t>
  </si>
  <si>
    <t>1Zcm3HMmX6kthpIMkJlK5xPm-a6VDg46y</t>
  </si>
  <si>
    <t>https://drive.google.com/file/d/1Zcm3HMmX6kthpIMkJlK5xPm-a6VDg46y/view?usp=drivesdk</t>
  </si>
  <si>
    <t>Document successfully created; Document successfully merged; PDF created; Manually run by labterpadu.unit.uns@gmail.com; Timestamp: Jul 3 2025 3:04 AM</t>
  </si>
  <si>
    <t>Kukuh Waskito</t>
  </si>
  <si>
    <t>1ubKeZ5F7HHl6CMWknyVFAfJ2b8kVmTKx</t>
  </si>
  <si>
    <t>https://drive.google.com/file/d/1ubKeZ5F7HHl6CMWknyVFAfJ2b8kVmTKx/view?usp=drivesdk</t>
  </si>
  <si>
    <t>1cWC4v_fk2oZZRa1PJkIScYufR2KpB83M</t>
  </si>
  <si>
    <t>https://drive.google.com/file/d/1cWC4v_fk2oZZRa1PJkIScYufR2KpB83M/view?usp=drivesdk</t>
  </si>
  <si>
    <t>Document successfully created; Document successfully merged; PDF created; Manually run by labterpadu.unit.uns@gmail.com; Timestamp: Jul 9 2025 2:33 AM</t>
  </si>
  <si>
    <t>Rahadian</t>
  </si>
  <si>
    <t>1ZVToNsL91txRA6bCh-Xl7LlOXS-Ip1_-</t>
  </si>
  <si>
    <t>https://drive.google.com/file/d/1ZVToNsL91txRA6bCh-Xl7LlOXS-Ip1_-/view?usp=drivesdk</t>
  </si>
  <si>
    <t>Document successfully created; Document successfully merged; PDF created; Manually run by labterpadu.unit.uns@gmail.com; Timestamp: Jul 22 2025 1:33 AM</t>
  </si>
  <si>
    <t>1xHOCzQOC77o_KM2ARk1yol4itnfwgHzi</t>
  </si>
  <si>
    <t>https://drive.google.com/file/d/1xHOCzQOC77o_KM2ARk1yol4itnfwgHzi/view?usp=drivesdk</t>
  </si>
  <si>
    <t>Document successfully created; Document successfully merged; PDF created; Manually run by labterpadu.unit.uns@gmail.com; Timestamp: Aug 25 2025 3:42 AM</t>
  </si>
  <si>
    <t>Luna Athalia Yunarto</t>
  </si>
  <si>
    <t>V2623023</t>
  </si>
  <si>
    <t>Teknik Kimia/ Sekolah Vokasi/Universitas sebelas maret</t>
  </si>
  <si>
    <t>1gcUxhQvnHA23GfnFHaRFS0eRx5mQ1-GN</t>
  </si>
  <si>
    <t>https://drive.google.com/file/d/1gcUxhQvnHA23GfnFHaRFS0eRx5mQ1-GN/view?usp=drivesdk</t>
  </si>
  <si>
    <t>Document successfully created; Document successfully merged; PDF created; Manually run by labterpadu.unit.uns@gmail.com; Timestamp: Aug 26 2025 12:57 AM</t>
  </si>
  <si>
    <t>Luna athalia yunarto</t>
  </si>
  <si>
    <t xml:space="preserve">Teknik Kimia/ Sekolah Vokasi/ Universitas Sebelas Maret Surakarta </t>
  </si>
  <si>
    <t>10uuN_39mXlKIxghNj0764mlt-lSbHgQD</t>
  </si>
  <si>
    <t>https://drive.google.com/file/d/10uuN_39mXlKIxghNj0764mlt-lSbHgQD/view?usp=drivesdk</t>
  </si>
  <si>
    <t>Document successfully created; Document successfully merged; PDF created; Manually run by labterpadu.unit.uns@gmail.com; Timestamp: Sep 22 2025 12:59 AM</t>
  </si>
  <si>
    <t>PT PUTERA PANGESTU JAYA LESTARI</t>
  </si>
  <si>
    <t>INSTANSI</t>
  </si>
  <si>
    <t>1GsSLiUtCw7JFLzZ1dojt29BF_aL-_O8t</t>
  </si>
  <si>
    <t>https://drive.google.com/file/d/1GsSLiUtCw7JFLzZ1dojt29BF_aL-_O8t/view?usp=drivesdk</t>
  </si>
  <si>
    <t>Afiatun Nisa</t>
  </si>
  <si>
    <t>smp dimsa sragen</t>
  </si>
  <si>
    <t>1Qhe87JRI-94hDerbhUQac44ORegtYc7l</t>
  </si>
  <si>
    <t>https://drive.google.com/file/d/1Qhe87JRI-94hDerbhUQac44ORegtYc7l/view?usp=drivesdk</t>
  </si>
  <si>
    <t>Dewi sulistyorini</t>
  </si>
  <si>
    <t xml:space="preserve">T752208002 </t>
  </si>
  <si>
    <t xml:space="preserve">S3 Teknik Spil/Fakultas Teknik/Universitas Sebelas Maret </t>
  </si>
  <si>
    <t>19pFnQh3SdLgORFCfFKBc1Od_P0F1Bjtt</t>
  </si>
  <si>
    <t>https://drive.google.com/file/d/19pFnQh3SdLgORFCfFKBc1Od_P0F1Bjtt/view?usp=drivesdk</t>
  </si>
  <si>
    <t>Document successfully created; Document successfully merged; PDF created; Manually run by labterpadu.unit.uns@gmail.com; Timestamp: Sep 22 2025 1:00 AM</t>
  </si>
  <si>
    <t>1sITMjJgxS7CGBk1I3RTmcHs-T5hyYk1I</t>
  </si>
  <si>
    <t>https://drive.google.com/file/d/1sITMjJgxS7CGBk1I3RTmcHs-T5hyYk1I/view?usp=drivesdk</t>
  </si>
  <si>
    <t>Document successfully created; Document successfully merged; PDF created; Manually run by labterpadu.unit.uns@gmail.com; Timestamp: Sep 28 2025 11:48 PM</t>
  </si>
  <si>
    <t xml:space="preserve">S3 Ilmu Lingkungan </t>
  </si>
  <si>
    <t>1PxIFeSKUjeVAbB_gQPqcfhiHgArdJRLl</t>
  </si>
  <si>
    <t>https://drive.google.com/file/d/1PxIFeSKUjeVAbB_gQPqcfhiHgArdJRLl/view?usp=drivesdk</t>
  </si>
  <si>
    <t>Document successfully created; Document successfully merged; PDF created; Manually run by labterpadu.unit.uns@gmail.com; Timestamp: Oct 13 2025 2:42 AM</t>
  </si>
  <si>
    <t>Muhammad Irfan Nawawi</t>
  </si>
  <si>
    <t>S912408002</t>
  </si>
  <si>
    <t>S2 Ilmu Fisika/ FMIPA/ Universitas Sebelas Maret</t>
  </si>
  <si>
    <t>1Snjb7n08H-7uuV6Fl8TlN3heXLN5qM3S</t>
  </si>
  <si>
    <t>https://drive.google.com/file/d/1Snjb7n08H-7uuV6Fl8TlN3heXLN5qM3S/view?usp=drivesdk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</si>
  <si>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</si>
  <si>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</si>
  <si>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</si>
  <si>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</si>
  <si>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</si>
  <si>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</si>
  <si>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</si>
  <si>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</si>
  <si>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</si>
  <si>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</si>
  <si>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</si>
  <si>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</si>
  <si>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</si>
  <si>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</si>
  <si>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</si>
  <si>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</si>
  <si>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</si>
  <si>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</si>
  <si>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</si>
  <si>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</si>
  <si>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</si>
  <si>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</si>
  <si>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</si>
  <si>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</si>
  <si>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</si>
  <si>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</si>
  <si>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</si>
  <si>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</si>
  <si>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</si>
  <si>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_1723794620561</t>
  </si>
  <si>
    <t>Rekap HPLC</t>
  </si>
  <si>
    <t>1UC3L-cyby9k1sBHt92Imix90AeJbuSUwmbqiHypX7LI</t>
  </si>
  <si>
    <t>Rekap HPLC &lt;&lt;Nama&gt;&gt;_&lt;&lt;Agenda&gt;&gt;</t>
  </si>
  <si>
    <t>PDF</t>
  </si>
  <si>
    <t>["1cV1hOHuyotRIKun7FRSbw38_wCsLhkAy"]</t>
  </si>
  <si>
    <t>[]</t>
  </si>
  <si>
    <t>MULTIPLE_OUTPUT</t>
  </si>
  <si>
    <t>[{"tag":"Agenda","type":"STANDARD","details":{"isUnmapped":false,"headerMap":"Agenda"}},{"tag":"Tanggal Map Keluar","type":"STANDARD","details":{"headerMap":"Tanggal Map Keluar","isUnmapped":false}},{"tag":"Nama","type":"STANDARD","details":{"isUnmapped":false,"headerMap":"Nama"}},{"tag":"NIM/NIP","type":"STANDARD","details":{"isUnmapped":false,"headerMap":"NIM/NIP"}},{"tag":"Fakultas/Univ","type":"STANDARD","details":{"headerMap":"Fakultas/Univ","isUnmapped":false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tambahan","type":"STANDARD","details":{"headerMap":"Harga per sampel","isUnmapped":false}},{"tag":"Menghidupkan alat","type":"STANDARD","details":{"isUnmapped":false,"headerMap":"Menghidupkan alat"}},{"tag":"Penstabilan","type":"STANDARD","details":{"isUnmapped":false,"headerMap":"Penstabilan"}},{"tag":"Waktu retensi","type":"STANDARD","details":{"isUnmapped":false,"headerMap":"Waktu retensi"}},{"tag":"Waktu retensi x 2","type":"STANDARD","details":{"isUnmapped":false,"headerMap":"Waktu retensi x 2"}},{"tag":"Preparasi pengukuran sampel","type":"STANDARD","details":{"isUnmapped":false,"headerMap":"Preparasi pengukuran sampel"}},{"tag":"Pencucian kolom2","type":"STANDARD","details":{"isUnmapped":false,"headerMap":"Pencucian kolom2"}},{"tag":"Pengolahan data","type":"STANDARD","details":{"isUnmapped":false,"headerMap":"Pengolahan data"}},{"tag":"Pencucian kolom sebelum dimatikan","type":"STANDARD","details":{"isUnmapped":false,"headerMap":"Pencucian kolom sebelum dimatikan"}},{"tag":"Mematikan instrumnet","type":"STANDARD","details":{"isUnmapped":false,"headerMap":"Mematikan instrument"}},{"tag":"Total waktu pengerjaan","type":"STANDARD","details":{"isUnmapped":false,"headerMap":"Total waktu pengerjaan"}},{"tag":"Disposable syringe","type":"STANDARD","details":{"headerMap":"Disposable syringe","isUnmapped":false}},{"tag":"Harga_1","type":"STANDARD","details":{"headerMap":"Harga_1","isUnmapped":false}},{"tag":"Total1","type":"STANDARD","details":{"headerMap":"Total1","isUnmapped":false}},{"tag":"Jumlah Syringe","type":"STANDARD","details":{"headerMap":"Jumlah Syringe","isUnmapped":false}},{"tag":"Harga_2","type":"STANDARD","details":{"headerMap":"Harga_2","isUnmapped":false}},{"tag":"Total2","type":"STANDARD","details":{"headerMap":"Total2","isUnmapped":false}},{"tag":"Jumlah Whatman","type":"STANDARD","details":{"headerMap":"Jumlah Whatman 42","isUnmapped":false}},{"tag":"Harga_3","type":"STANDARD","details":{"headerMap":"Harga_3","isUnmapped":false}},{"tag":"Total3","type":"STANDARD","details":{"headerMap":"Total3","isUnmapped":false}},{"tag":"Pelarut","type":"STANDARD","details":{"headerMap":"Pelarut","isUnmapped":false}},{"tag":"Volume","type":"STANDARD","details":{"headerMap":"Volume","isUnmapped":false}},{"tag":"Harga_4","type":"STANDARD","details":{"headerMap":"Harga_4","isUnmapped":false}},{"tag":"Total4","type":"STANDARD","details":{"headerMap":"Total4","isUnmapped":false}},{"tag":"Asetonitril","type":"STANDARD","details":{"headerMap":"Asetonitril","isUnmapped":false}},{"tag":"Harga_5","type":"STANDARD","details":{"headerMap":"Harga_5","isUnmapped":false}},{"tag":"Total5","type":"STANDARD","details":{"headerMap":"Total5","isUnmapped":false}},{"tag":"Metanol","type":"STANDARD","details":{"headerMap":"Metanol","isUnmapped":false}},{"tag":"Harga_6","type":"STANDARD","details":{"headerMap":"Harga_6","isUnmapped":false}},{"tag":"Total6","type":"STANDARD","details":{"headerMap":"Total6","isUnmapped":false}},{"tag":"Water Injection","type":"STANDARD","details":{"headerMap":"Water Injection","isUnmapped":false}},{"tag":"Harga_7","type":"STANDARD","details":{"headerMap":"Harga_7","isUnmapped":false}},{"tag":"Total7","type":"STANDARD","details":{"headerMap":"Total7","isUnmapped":false}},{"tag":"Total_Bahan","type":"STANDARD","details":{"headerMap":"Total_Bahan","isUnmapped":false}},{"tag":"Hari, Tanggal pembuatan rekap","type":"STANDARD","details":{"headerMap":"Hari, Tanggal pembuatan rekap","isUnmapped":false}},{"tag":"Pembuat Rekap","type":"STANDARD","details":{"isUnmapped":false,"headerMap":"Pembuat Rekap"}}]</t>
  </si>
  <si>
    <t>_1724229149718</t>
  </si>
  <si>
    <t>Rekap XRF</t>
  </si>
  <si>
    <t>1MfMvC3dubkidzfse9jop7ls0Gr0DNLRoZ2GzolhNfVk</t>
  </si>
  <si>
    <t>XRF_&lt;&lt;Nama&gt;&gt;_&lt;&lt;Agenda&gt;&gt;</t>
  </si>
  <si>
    <t>[{"tag":"Agenda","type":"STANDARD","details":{"isUnmapped":false,"headerMap":"Agenda"}},{"tag":"Tanggal Map Keluar","type":"STANDARD","details":{"headerMap":"Tanggal Map Keluar","isUnmapped":false}},{"tag":"Nama","type":"STANDARD","details":{"isUnmapped":false,"headerMap":"Nama"}},{"tag":"NIM/NIP","type":"STANDARD","details":{"isUnmapped":false,"headerMap":"NIM/NIP"}},{"tag":"Fakultas/Univ","type":"STANDARD","details":{"headerMap":"Fakultas/Univ","isUnmapped":false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sampel","type":"STANDARD","details":{"headerMap":"Harga per Sampel","isUnmapped":false}},{"tag":"Jumlah sampel","type":"STANDARD","details":{"isUnmapped":false,"headerMap":"Jumlah Sampel"}},{"tag":"Preparasi sampel","type":"STANDARD","details":{"isUnmapped":false,"headerMap":"Preparasi sampel"}},{"tag":"Penstabilan","type":"STANDARD","details":{"isUnmapped":false,"headerMap":"Penstabilan"}},{"tag":"Pengukuran sampel","type":"STANDARD","details":{"isUnmapped":false,"headerMap":"Pengukuran sampel"}},{"tag":"Jumlah Sampel sampel","type":"STANDARD","details":{"isUnmapped":false,"headerMap":"Jumlah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</si>
  <si>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_1724300549952</t>
  </si>
  <si>
    <t>Rekap GC-FID</t>
  </si>
  <si>
    <t>1P9LUp_ex_oJ4qQciHS0ksEgkd5r2bWdIWdzMXqGdYjo</t>
  </si>
  <si>
    <t>GC-FID_&lt;&lt;Nama&gt;&gt;_&lt;&lt;Agenda&gt;&gt;</t>
  </si>
  <si>
    <t>[{"tag":"Agenda","type":"STANDARD","details":{"isUnmapped":false,"headerMap":"Agenda"}},{"tag":"Tanggal Map Keluar","type":"STANDARD","details":{"headerMap":"Tanggal Map Keluar","isUnmapped":false}},{"tag":"Nama","type":"STANDARD","details":{"isUnmapped":false,"headerMap":"Nama"}},{"tag":"NIM/NIP","type":"STANDARD","details":{"isUnmapped":false,"headerMap":"NIM/NIP"}},{"tag":"Fakultas/Univ","type":"STANDARD","details":{"headerMap":"Fakultas/Univ","isUnmapped":false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sampel","type":"STANDARD","details":{"headerMap":"Harga per sampel","isUnmapped":false}},{"tag":"Harga total","type":"STANDARD","details":{"headerMap":"Harga total","isUnmapped":false}},{"tag":"Persiapan instrument","type":"STANDARD","details":{"isUnmapped":false,"headerMap":"Persiapan instrument"}},{"tag":"Preparasi sampel","type":"STANDARD","details":{"isUnmapped":false,"headerMap":"Preparasi sampel"}},{"tag":"Blank","type":"STANDARD","details":{"headerMap":"Blank","isUnmapped":false}},{"tag":"Waktu retensi + cooling down","type":"STANDARD","details":{"headerMap":"Waktu retensi","isUnmapped":false}},{"tag":"Pengukuran sampel","type":"STANDARD","details":{"isUnmapped":false,"headerMap":"Pengukuran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</si>
  <si>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_1724301888766</t>
  </si>
  <si>
    <t>Rekap PSA</t>
  </si>
  <si>
    <t>1RsyLJWjIE6NyQw6wtlyLvyTswMQon9btK0zz-PF1iFg</t>
  </si>
  <si>
    <t>PSA_&lt;&lt;Nama&gt;&gt;_&lt;&lt;Agenda&gt;&gt;</t>
  </si>
  <si>
    <t>[{"tag":"Agenda","type":"STANDARD","details":{"isUnmapped":false,"headerMap":"Agenda"}},{"tag":"Tanggal Map Keluar","type":"STANDARD","details":{"headerMap":"Hari, Tanggal pembuatan rekap","isUnmapped":false}},{"tag":"Nama","type":"STANDARD","details":{"isUnmapped":false,"headerMap":"Nama"}},{"tag":"NIM/NIP","type":"STANDARD","details":{"isUnmapped":false,"headerMap":"NIM/NIP"}},{"tag":"Fakultas/Univ","type":"STANDARD","details":{"headerMap":"Fakultas/Univ","isUnmapped":false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Sampel"}},{"tag":"Jumlah Pengukuran","type":"STANDARD","details":{"headerMap":"Jumlah Pengukuran","isUnmapped":false}},{"tag":"Particle Size","type":"STANDARD","details":{"headerMap":"Particle Size","isUnmapped":false}},{"tag":"Zeta Potensial","type":"STANDARD","details":{"headerMap":"Zeta Potensial","isUnmapped":false}},{"tag":"Harga per pengukuran","type":"STANDARD","details":{"headerMap":"Harga per pengukuran","isUnmapped":false}},{"tag":"Total Biaya","type":"STANDARD","details":{"headerMap":"Total Biaya","isUnmapped":false}},{"tag":"Persiapan instrumen","type":"STANDARD","details":{"isUnmapped":false,"headerMap":"Persiapan instrumen"}},{"tag":"Preparasi sampel","type":"STANDARD","details":{"isUnmapped":false,"headerMap":"Preparasi sampel"}},{"tag":"Preparasi tambahan","type":"STANDARD","details":{"headerMap":"Preparasi tambahan","isUnmapped":false}},{"tag":"Pengukuran sampel zeta","type":"STANDARD","details":{"headerMap":"Pengukuran sampel zeta","isUnmapped":false}},{"tag":"Pengukuran sampel size","type":"STANDARD","details":{"headerMap":"Pengukuran sampel size","isUnmapped":false}},{"tag":"Pengolahan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</si>
  <si>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_1724383314600</t>
  </si>
  <si>
    <t>Rekap ATR-FTIR</t>
  </si>
  <si>
    <t>13oUuUE3zgSl-QDhKPo7fUtckIUQJOc9uuYGkToj7x0M</t>
  </si>
  <si>
    <t>ATR-FTIR_&lt;&lt;Nama&gt;&gt;_&lt;&lt;Agenda&gt;&gt;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</si>
  <si>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sampel","type":"STANDARD","details":{"isUnmapped":false,"headerMap":"Harga per Sampel"}},{"tag":"Pengkondisian","type":"STANDARD","details":{"isUnmapped":false,"headerMap":"Pengkondisian"}},{"tag":"Preparasi dan Pengukuran","type":"STANDARD","details":{"isUnmapped":false,"headerMap":"Preparasi dan Pengukuran"}},{"tag":"Pengolahan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</si>
  <si>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_1724387083655</t>
  </si>
  <si>
    <t>Rekap Uv-Vis (Kimia)</t>
  </si>
  <si>
    <t>1jPiEAVV5IPT89fCqna9lbaO6OQw59yiZ_XhdtjkYL-Y</t>
  </si>
  <si>
    <t>Uv-Vis Kimia_&lt;&lt;Nama&gt;&gt;_&lt;&lt;Agenda&gt;&gt;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</si>
  <si>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sampel","type":"STANDARD","details":{"isUnmapped":false,"headerMap":"Harga per Sampel"}},{"tag":"Pengkondisian","type":"STANDARD","details":{"isUnmapped":false,"headerMap":"Pengkondisian"}},{"tag":"Preparasi pengukuran sampel","type":"STANDARD","details":{"isUnmapped":false,"headerMap":"Preparasi dan Pengukuran"}},{"tag":"Jumlah Sampel sampel","type":"STANDARD","details":{"isUnmapped":false,"headerMap":"Jumlah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</si>
  <si>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_1724394515727</t>
  </si>
  <si>
    <t>Rekap Uv-Vis (Udara)</t>
  </si>
  <si>
    <t>1xOprEjpZCCJzBUOzuB3KhIFiffCuwBsScXnEcJ3zGbA</t>
  </si>
  <si>
    <t>Uv-Vis (Udara)_&lt;&lt;Nama&gt;&gt;_&lt;&lt;Agenda&gt;&gt;</t>
  </si>
  <si>
    <t>[{"tag":"Agenda","type":"STANDARD","details":{"isUnmapped":false,"headerMap":"Agenda"}},{"tag":"Tanggal Map Keluar","type":"STANDARD","details":{"isUnmapped":false,"headerMap":"Hari, Tanggal pembuatan rekap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sampel","type":"STANDARD","details":{"isUnmapped":false,"headerMap":"Harga per Sampel"}},{"tag":"Keterangan","type":"STANDARD","details":{"isUnmapped":false,"headerMap":"Keterangan"}},{"tag":"Pengkondisian","type":"STANDARD","details":{"isUnmapped":false,"headerMap":"Pengkondisian"}},{"tag":"Preparasi pengukuran sampel","type":"STANDARD","details":{"isUnmapped":false,"headerMap":"Preparasi dan Pengukuran"}},{"tag":"Jumlah Sampel sampel","type":"STANDARD","details":{"isUnmapped":false,"headerMap":"Jumlah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</si>
  <si>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_1724719755945</t>
  </si>
  <si>
    <t>Rekap Impact Tester</t>
  </si>
  <si>
    <t>1tOSgZFUznrxLp8y3ltURAuoxOL3A5YBbQH5W_4pgZWI</t>
  </si>
  <si>
    <t>&lt;&lt;Pengujian&gt;&gt; &lt;&lt;Instrument&gt;&gt;_&lt;&lt;Nama&gt;&gt;_&lt;&lt;Agenda&gt;&gt;</t>
  </si>
  <si>
    <t>[{"tag":"Pengujian","type":"STANDARD","details":{"headerMap":"Pengujian","isUnmapped":false}},{"tag":"Agenda","type":"STANDARD","details":{"isUnmapped":false,"headerMap":"Agenda"}},{"tag":"Tanggal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Sampel"}},{"tag":"Pengulangan","type":"STANDARD","details":{"headerMap":"Pengulangan","isUnmapped":false}},{"tag":"Total Harga Berdasarkan Sampel","type":"STANDARD","details":{"isUnmapped":false,"headerMap":"Total Harga Berdasarkan Sampel"}},{"tag":"Tanggal pembuatan rekap","type":"STANDARD","details":{"headerMap":"Tanggal pembuatan rekap","isUnmapped":false}},{"tag":"Pembuat Rekap","type":"STANDARD","details":{"isUnmapped":false,"headerMap":"Pembuat Rekap"}}]</t>
  </si>
  <si>
    <t>_1724749898163</t>
  </si>
  <si>
    <t>Rekap GC-MS</t>
  </si>
  <si>
    <t>1WB9UoIVz0FAdv72BM5wpVeKY7yPi6fhNFFslZR9A-9I</t>
  </si>
  <si>
    <t>GC-MS_&lt;&lt;Nama&gt;&gt;_&lt;&lt;Agenda&gt;&gt;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</si>
  <si>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sampel","type":"STANDARD","details":{"isUnmapped":false,"headerMap":"Harga per sampel"}},{"tag":"Persiapan instrument","type":"STANDARD","details":{"isUnmapped":false,"headerMap":"Persiapan instrument"}},{"tag":"Preparasi sampel","type":"STANDARD","details":{"isUnmapped":false,"headerMap":"Preparasi sampel"}},{"tag":"Blank","type":"STANDARD","details":{"headerMap":"Blank","isUnmapped":false}},{"tag":"Waktu retensi + cooling down","type":"STANDARD","details":{"isUnmapped":false,"headerMap":"Waktu retensi"}},{"tag":"Pengukuran sampel","type":"STANDARD","details":{"isUnmapped":false,"headerMap":"Pengukuran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pengerjaan"}},{"tag":"Jumlah Syringe","type":"STANDARD","details":{"headerMap":"Jumlah Syringe","isUnmapped":false}},{"tag":"Harga_1","type":"STANDARD","details":{"headerMap":"Harga_1","isUnmapped":false}},{"tag":"Total_1","type":"STANDARD","details":{"headerMap":"Total_1","isUnmapped":false}},{"tag":"Jumlah Whatman","type":"STANDARD","details":{"headerMap":"Jumlah Whatman (50 k) / Nylon (30 k)","isUnmapped":false}},{"tag":"Harga_2","type":"STANDARD","details":{"headerMap":"Harga_2","isUnmapped":false}},{"tag":"Total_2","type":"STANDARD","details":{"headerMap":"Total_2","isUnmapped":false}},{"tag":"Pelarut","type":"STANDARD","details":{"headerMap":"Pelarut","isUnmapped":false}},{"tag":"Volume","type":"STANDARD","details":{"headerMap":"Volume","isUnmapped":false}},{"tag":"Harga_3","type":"STANDARD","details":{"headerMap":"Harga_3","isUnmapped":false}},{"tag":"Total_Bahan","type":"STANDARD","details":{"headerMap":"Total_Bahan","isUnmapped":false}},{"tag":"Hari, Tanggal pembuatan rekap","type":"STANDARD","details":{"isUnmapped":false,"headerMap":"Hari, Tanggal pembuatan rekap"}},{"tag":"Pembuat Rekap","type":"STANDARD","details":{"isUnmapped":false,"headerMap":"Pembuat Rekap"}}]</t>
  </si>
  <si>
    <t>_1725252046880</t>
  </si>
  <si>
    <t>Rekap DMA</t>
  </si>
  <si>
    <t>1FWdz7e0Va-rIlAH6odUx5FII5wJQ_hBuUl_0zcQaXkE</t>
  </si>
  <si>
    <t>DMA_&lt;&lt;Nama&gt;&gt;_&lt;&lt;Agenda&gt;&gt;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</si>
  <si>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sampel","type":"STANDARD","details":{"isUnmapped":false,"headerMap":"Harga per Sampel"}},{"tag":"Pengkondisian","type":"STANDARD","details":{"isUnmapped":false,"headerMap":"Pengkondisian"}},{"tag":"Jumlah boat","type":"STANDARD","details":{"isUnmapped":false,"headerMap":"Jumlah boat"}},{"tag":"Cleaning boat","type":"STANDARD","details":{"isUnmapped":false,"headerMap":"Cleaning boat"}},{"tag":"Preparasi","type":"STANDARD","details":{"isUnmapped":false,"headerMap":"Preparasi"}},{"tag":"Pengukuran","type":"STANDARD","details":{"isUnmapped":false,"headerMap":"Pengukuran"}},{"tag":"Pengolahan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</si>
  <si>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_1726194746687</t>
  </si>
  <si>
    <t>Antibakteri</t>
  </si>
  <si>
    <t>1VS74oCAZHCQn4gw1bxFXeIAI5mm184XBJ-aobOxDhSc</t>
  </si>
  <si>
    <t>Antibakteri_&lt;&lt;Agenda&gt;&gt;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</si>
  <si>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Lab"}},{"tag":"Instrument/Uji","type":"STANDARD","details":{"isUnmapped":false,"headerMap":"Instrument/Uji"}},{"tag":"Operator","type":"STANDARD","details":{"isUnmapped":false,"headerMap":"Operator"}},{"tag":"Jumlah Sampel","type":"STANDARD","details":{"isUnmapped":false,"headerMap":"Jumlah Sampel"}},{"tag":"Jumlah Cawan","type":"STANDARD","details":{"isUnmapped":false,"headerMap":"Jumlah Cawan"}},{"tag":"Harga per Cawan","type":"STANDARD","details":{"isUnmapped":false,"headerMap":"Harga per Cawan"}},{"tag":"Preparasi alat gelas &amp; media","type":"STANDARD","details":{"isUnmapped":false,"headerMap":"Preparasi alat gelas &amp; media"}},{"tag":"Seting alat auroclave","type":"STANDARD","details":{"headerMap":"Setting alat autoclave","isUnmapped":false}},{"tag":"Preparasi Sampel","type":"STANDARD","details":{"isUnmapped":false,"headerMap":"Preparasi sampel"}},{"tag":"Menuang media","type":"STANDARD","details":{"isUnmapped":false,"headerMap":"Menuang media"}},{"tag":"Regenerasi bakteri","type":"STANDARD","details":{"isUnmapped":false,"headerMap":"Regenerasi bakteri"}},{"tag":" Setting inkubator","type":"STANDARD","details":{"isUnmapped":false,"headerMap":"Setting inkubator"}},{"tag":"Mengerjakan sampel ","type":"STANDARD","details":{"isUnmapped":false,"headerMap":"Mengerjakan sampel"}},{"tag":"Setting inkubator 2","type":"STANDARD","details":{"isUnmapped":false,"headerMap":"Setting inkubator 2"}},{"tag":"Pengamatan + ukur daya hambat","type":"STANDARD","details":{"isUnmapped":false,"headerMap":"Pengamatan + ukur daya hambat"}},{"tag":"Laporan","type":"STANDARD","details":{"isUnmapped":false,"headerMap":"Laporan"}},{"tag":"Total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</si>
  <si>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_1727156526437</t>
  </si>
  <si>
    <t>1mPhWWie7tj55PpOFydvzeo_lGAQmS9oTJvAzDgYVZWQ</t>
  </si>
  <si>
    <t>ALT_&lt;&lt;Agenda&gt;&gt;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</si>
  <si>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Lab"},{"type":"STANDARD","details":{"isUnmapped":false,"headerMap":"Instrumen/Uji"},"tag":"Instrument/Uji"},{"type":"STANDARD","details":{"isUnmapped":false,"headerMap":"Operator"},"tag":"Operator"},{"type":"STANDARD","details":{"isUnmapped":false,"headerMap":"Jumlah Sampel"},"tag":"Jumlah Sampel"},{"type":"STANDARD","details":{"isUnmapped":false,"headerMap":"Jumlah Cawan"},"tag":"Jumlah Cawan"},{"type":"STANDARD","details":{"isUnmapped":false,"headerMap":"Harga per Cawan"},"tag":"Harga per Cawan"},{"type":"STANDARD","details":{"isUnmapped":false,"headerMap":"Preparasi alat gelas &amp; media"},"tag":"Preparasi alat gelas &amp; media"},{"type":"STANDARD","details":{"isUnmapped":false,"headerMap":"Setting autoclave"},"tag":"Seting alat auroclave"},{"type":"STANDARD","details":{"isUnmapped":false,"headerMap":"Preparasi sampel"},"tag":"Preparasi Sampel"},{"type":"STANDARD","details":{"isUnmapped":false,"headerMap":"Setting inkubator"},"tag":" Setting inkubator"},{"type":"STANDARD","details":{"isUnmapped":false,"headerMap":"Pengamatan"},"tag":"Pengamatan "},{"tag":"Laporan","type":"STANDARD","details":{"isUnmapped":false,"headerMap":"Laporan"}},{"tag":"Total waktu pengerjaan","type":"STANDARD","details":{"isUnmapped":false,"headerMap":"Total waktu"}},{"tag":"Hari, Tanggal pembuatan rekap","type":"STANDARD","details":{"isUnmapped":false,"headerMap":"Hari, Tanggal pembuatan rekap"}},{"tag":"Pembuat Rekap","type":"STANDARD","details":{"isUnmapped":false,"headerMap":"Pembuat Rekap"}}]</t>
  </si>
  <si>
    <t>_1728638739291</t>
  </si>
  <si>
    <t>1R585viLBEmBr7_Xt6dmXkDJgUcfyndRiXL5Zgp1gLmU</t>
  </si>
  <si>
    <t>Vanili_&lt;&lt;Agenda&gt;&gt;</t>
  </si>
  <si>
    <t>[{"tag":"Pengujian","type":"STANDARD","details":{"isUnmapped":false,"headerMap":"Pengujian"}},{"tag":"Agenda","type":"STANDARD","details":{"isUnmapped":false,"headerMap":"Agenda"}},{"tag":"Tanggal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Sampel"}},{"tag":"Total Harga Berdasarkan Sampel","type":"STANDARD","details":{"isUnmapped":false,"headerMap":"Total Harga Berdasarkan Sampel"}},{"tag":"Hari, Tanggal pembuatan rekap","type":"STANDARD","details":{"isUnmapped":false,"headerMap":"Tanggal pembuatan rekap"}},{"tag":"Pembuat Rekap","type":"STANDARD","details":{"isUnmapped":false,"headerMap":"Pembuat Rekap"}},{"tag":"Total waktu pengerjaan","type":"STANDARD","details":{"isUnmapped":false,"headerMap":"Total waktu pengerjaan"}},{"tag":"Hari, Tanggal pembuatan rekap","type":"STANDARD","details":{"isUnmapped":false,"headerMap":"Tanggal pembuatan rekap"}},{"tag":"Pembuat Rekap","type":"STANDARD","details":{"isUnmapped":false,"headerMap":"Pembuat Rekap"}}]</t>
  </si>
  <si>
    <t>_1735540657486</t>
  </si>
  <si>
    <t>1dEdK61snboARs_19YgEpvXNB_ltoOxRlgI3YIBQGTuM</t>
  </si>
  <si>
    <t>Sentrifuse_&lt;&lt;Agenda&gt;&gt;</t>
  </si>
  <si>
    <t>["1uzeQwUnSZ68GwwPE7-v2H_3vdoAnoqxv"]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</si>
  <si>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Sampel"}},{"tag":"Harga per sampel","type":"STANDARD","details":{"isUnmapped":false,"headerMap":"Harga per sampel"}},{"tag":"Harga Total Alat","type":"STANDARD","details":{"headerMap":"Harga Total Alat","isUnmapped":false}},{"tag":"Jumlah","type":"STANDARD","details":{"isUnmapped":false,"headerMap":"Jumlah"}},{"tag":"Harga satuan","type":"STANDARD","details":{"isUnmapped":false,"headerMap":"Harga satuan"}},{"tag":"Harga Total","type":"STANDARD","details":{"isUnmapped":false,"headerMap":"Harga Total"}},{"tag":"Hari, Tanggal pembuatan rekap","type":"STANDARD","details":{"isUnmapped":false,"headerMap":"Hari, Tanggal pembuatan rekap"}},{"tag":"Pembuat Rekap","type":"STANDARD","details":{"isUnmapped":false,"headerMap":"Pembuat Rekap"}}]</t>
  </si>
  <si>
    <t>_1736405244358</t>
  </si>
  <si>
    <t>Rekap Old GC-FID</t>
  </si>
  <si>
    <t>1k38RHPlBYa8WvY7IQ1kJRAEYhv5Fve4ir9gxCPLZGbc</t>
  </si>
  <si>
    <t>Old GC-FID_&lt;&lt;Nama&gt;&gt;_&lt;&lt;Agenda&gt;&gt;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</si>
  <si>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Sampel"}},{"tag":"Jumlah paket","type":"STANDARD","details":{"isUnmapped":false,"headerMap":"Jumlah Paket"}},{"tag":"Harga per paket","type":"STANDARD","details":{"isUnmapped":false,"headerMap":"Harga per paket"}},{"tag":"Tambahan sampel","type":"STANDARD","details":{"isUnmapped":false,"headerMap":"Tambahan sampel"}},{"tag":"Harga per tambahanl","type":"STANDARD","details":{"isUnmapped":false,"headerMap":"Harga per tambahan"}},{"tag":"Persiapan instrument","type":"STANDARD","details":{"isUnmapped":false,"headerMap":"Persiapan instrument"}},{"tag":"Preparasi sampel","type":"STANDARD","details":{"isUnmapped":false,"headerMap":"Preparasi sampel"}},{"tag":"Blank","type":"STANDARD","details":{"isUnmapped":false,"headerMap":"Blank"}},{"tag":"Waktu retensi + cooling down","type":"STANDARD","details":{"isUnmapped":false,"headerMap":"Waktu retensi"}},{"tag":"Pengukuran sampel","type":"STANDARD","details":{"isUnmapped":false,"headerMap":"Pengukuran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</si>
  <si>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_1739948789791</t>
  </si>
  <si>
    <t>Kuitansi bahan</t>
  </si>
  <si>
    <t>1oUBr2gCsnC8TY6kDHlRbHAx7K_k9OvpTjhVaw4sWvUY</t>
  </si>
  <si>
    <t>Bahan &lt;&lt;Nama&gt;&gt;</t>
  </si>
  <si>
    <t>[{"tag":"Nama","type":"STANDARD","details":{"isUnmapped":false,"headerMap":"Nama"}},{"tag":"NIM/NIP","type":"STANDARD","details":{"isUnmapped":false,"headerMap":"NIM"}},{"tag":"Jurusan/ Fakultas/Univ","type":"STANDARD","details":{"isUnmapped":false,"headerMap":"Jurusan/ Fakultas/Univ"}},{"tag":"Nama Bahan 1","type":"STANDARD","details":{"isUnmapped":false,"headerMap":"Nama Bahan 1"}},{"tag":"Jml 1","type":"STANDARD","details":{"isUnmapped":false,"headerMap":"Jml 1"}},{"tag":"Sat 1","type":"STANDARD","details":{"isUnmapped":false,"headerMap":"Sat 1"}},{"tag":"Harga Sat 1","type":"STANDARD","details":{"isUnmapped":false,"headerMap":"Harga Sat 1"}},{"tag":"Harga 1","type":"STANDARD","details":{"isUnmapped":false,"headerMap":"Harga 1"}},{"tag":"Nama Bahan 2","type":"STANDARD","details":{"headerMap":"Nama Bahan 2","isUnmapped":false}},{"tag":"Jml 2","type":"STANDARD","details":{"headerMap":"Jumlah Bahan 2","isUnmapped":false}},{"tag":"Sat 2","type":"STANDARD","details":{"headerMap":"Satuan 2","isUnmapped":false}},{"tag":"Harga Sat 2","type":"STANDARD","details":{"headerMap":"Harga Satuan 2","isUnmapped":false}},{"tag":"Harga 2","type":"STANDARD","details":{"headerMap":"Harga 2","isUnmapped":false}},{"tag":"Nama Bahan 3","type":"STANDARD","details":{"headerMap":"Nama Bahan 3","isUnmapped":false}},{"tag":"Jml 3","type":"STANDARD","details":{"headerMap":"Jumlah Bahan 3","isUnmapped":false}},{"tag":"Sat 3","type":"STANDARD","details":{"headerMap":"Satuan 3","isUnmapped":false}},{"tag":"Harga Sat 3","type":"STANDARD","details":{"headerMap":"Harga Satuan 3","isUnmapped":false}},{"tag":"Harga 3","type":"STANDARD","details":{"headerMap":"Harga 3","isUnmapped":false}},{"tag":"Total Harga","type":"STANDARD","details":{"isUnmapped":false,"headerMap":"Total Harga"}},{"tag":"Hari, Tanggal pembuatan rekap","type":"STANDARD","details":{"isUnmapped":false,"headerMap":"Hari, Tanggal pembuatan rekap"}},{"tag":"Pembuat Rekap","type":"STANDARD","details":{"isUnmapped":false,"headerMap":"Pembuat Rekap"}}]</t>
  </si>
  <si>
    <t>_1740538421430</t>
  </si>
  <si>
    <t>Ekstraksi</t>
  </si>
  <si>
    <t>1epMScgEyuDZUz4GC8u4F9Ii1hDUZd_Y-4g5_JphVOcs</t>
  </si>
  <si>
    <t>Ekstraksi_&lt;&lt;Agenda&gt;&gt;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</si>
  <si>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Lab"},{"type":"STANDARD","details":{"isUnmapped":false,"headerMap":"Proses"},"tag":"Proses"},{"type":"STANDARD","details":{"isUnmapped":false,"headerMap":"Analis"},"tag":"Analis"},{"type":"STANDARD","details":{"isUnmapped":false,"headerMap":"Jumlah Sampel"},"tag":"Jumlah Sampel"},{"type":"STANDARD","details":{"isUnmapped":false,"headerMap":"Harga per sampel"},"tag":"Harga per sampel"},{"type":"STANDARD","details":{"isUnmapped":false,"headerMap":"Total Harga"},"tag":"Total Harga"},{"type":"STANDARD","details":{"isUnmapped":false,"headerMap":"Hari, Tanggal pembuatan rekap"},"tag":"Hari, Tanggal pembuatan rekap"},{"type":"STANDARD","details":{"isUnmapped":false,"headerMap":"Pembuat Rekap"},"tag":"Pembuat Rekap"}]</t>
  </si>
  <si>
    <t>_1741917079699</t>
  </si>
  <si>
    <t>1iwxRKRSKJUKOZAYmDotNXJTf9PSBHc4PiXRTdlIv8YY</t>
  </si>
  <si>
    <t>Regenerasi_&lt;&lt;Nama&gt;&gt;</t>
  </si>
  <si>
    <t>["0AKGZaXbPRI9IUk9PVA"]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</si>
  <si>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Lab"},{"type":"STANDARD","details":{"isUnmapped":false,"headerMap":"Proses"},"tag":"Instrument"},{"type":"STANDARD","details":{"isUnmapped":false,"headerMap":"Analis"},"tag":"Operator"},{"type":"STANDARD","details":{"isUnmapped":false,"headerMap":"Jumlah Sampel"},"tag":"Jumlah Sampel"},{"type":"STANDARD","details":{"isUnmapped":false,"headerMap":"Harga per sampel"},"tag":"Harga per sampel"},{"type":"STANDARD","details":{"isUnmapped":false,"headerMap":"Total Harga"},"tag":"Harga Total Alat"},{"type":"STANDARD","details":{"isUnmapped":false,"headerMap":"Hari, Tanggal pembuatan rekap"},"tag":"Hari, Tanggal pembuatan rekap"},{"type":"STANDARD","details":{"isUnmapped":false,"headerMap":"Pembuat Rekap"},"tag":"Pembuat Rekap"}]</t>
  </si>
  <si>
    <t>_1746433982552</t>
  </si>
  <si>
    <t>1P0oUL_NmUY40TOTei2N543tTfed6I5xLH3-scVi9S8g</t>
  </si>
  <si>
    <t>Pewarnaan_Gram_&lt;&lt;Agenda&gt;&gt;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</si>
  <si>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Lab"},{"type":"STANDARD","details":{"isUnmapped":false,"headerMap":"Instrumen/Uji"},"tag":"Instrument/Uji"},{"type":"STANDARD","details":{"isUnmapped":false,"headerMap":"Operator"},"tag":"Operator"},{"type":"STANDARD","details":{"isUnmapped":false,"headerMap":"Jumlah Sampel"},"tag":"Jumlah Sampel"},{"type":"STANDARD","details":{"isUnmapped":false,"headerMap":"Harga per Sampel"},"tag":"Harga per sampel"},{"type":"STANDARD","details":{"isUnmapped":false,"headerMap":"Harga Total"},"tag":"Harga Totaln"},{"type":"STANDARD","details":{"isUnmapped":false,"headerMap":"Hari, Tanggal pembuatan rekap"},"tag":"Hari, Tanggal pembuatan rekap"},{"type":"STANDARD","details":{"isUnmapped":false,"headerMap":"Pembuat Rekap"},"tag":"Pembuat Rekap"}]</t>
  </si>
  <si>
    <t>_1746515088289</t>
  </si>
  <si>
    <t>1Hb2ktOaItJk22RqdsnaL-nNlrO4ggY9di3-KO-dRHtQ</t>
  </si>
  <si>
    <t>Candida_&lt;&lt;Agenda&gt;&gt;</t>
  </si>
  <si>
    <t>_1748847043522</t>
  </si>
  <si>
    <t>Fitokimia</t>
  </si>
  <si>
    <t>1ewtYHykVZPp1EHgy8h0IBh6JULdEPmukM0lGN6rMc1Q</t>
  </si>
  <si>
    <t>Fitokimia_&lt;&lt;Agenda&gt;&gt;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</si>
  <si>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Lab"},{"type":"STANDARD","details":{"isUnmapped":false,"headerMap":"Uji"},"tag":"Ujit"},{"type":"STANDARD","details":{"isUnmapped":false,"headerMap":"Analis"},"tag":"Analisr"},{"type":"STANDARD","details":{"isUnmapped":false,"headerMap":"Jumlah Sampel"},"tag":"Jumlah Sampel"},{"type":"STANDARD","details":{"isUnmapped":false,"headerMap":"Harga per sampel"},"tag":"Harga per sampel"},{"type":"STANDARD","details":{"isUnmapped":false,"headerMap":"Total Harga"},"tag":"Harga Total"},{"type":"STANDARD","details":{"isUnmapped":false,"headerMap":"Hari, Tanggal pembuatan rekap"},"tag":"Hari, Tanggal pembuatan rekap"},{"type":"STANDARD","details":{"isUnmapped":false,"headerMap":"Pembuat Rekap"},"tag":"Pembuat Rekap"}]</t>
  </si>
  <si>
    <t>_1750925131710</t>
  </si>
  <si>
    <t>TLC Scanner (Densitometer)</t>
  </si>
  <si>
    <t>1yorsCT0eUQhwzITXF_DoBh1GV_sYLsmId2-N2U6_1z0</t>
  </si>
  <si>
    <t>TLC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</si>
  <si>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Lab"}},{"tag":"Instrument","type":"STANDARD","details":{"isUnmapped":false,"headerMap":"Instrument"}},{"tag":"Operator","type":"STANDARD","details":{"isUnmapped":false,"headerMap":"Operator"}},{"tag":"Jumlah Sampel","type":"STANDARD","details":{"isUnmapped":false,"headerMap":"Jumlah Sampel"}},{"tag":"Jumlah paket","type":"STANDARD","details":{"isUnmapped":false,"headerMap":"Jumlah Paket"}},{"tag":"Harga per paket","type":"STANDARD","details":{"isUnmapped":false,"headerMap":"Harga per paket"}},{"tag":"Pengkondisian","type":"STANDARD","details":{"isUnmapped":false,"headerMap":"Persiapan instrument"}},{"tag":"Preparasi pengukuran sampel","type":"STANDARD","details":{"isUnmapped":false,"headerMap":"Preparasi sampel"}},{"tag":"Jumlah Sampel sampel","type":"STANDARD","details":{"isUnmapped":false,"headerMap":"Jumlah Sampel"}},{"tag":"Pengolahan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rekap","type":"STANDARD","details":{"isUnmapped":false,"headerMap":"Hari, Tanggal pembuatan rekap"}},{"tag":"Pembuat Rekap","type":"STANDARD","details":{"isUnmapped":false,"headerMap":"Pembuat Rekap"}}]</t>
  </si>
  <si>
    <t>_1752561914611</t>
  </si>
  <si>
    <t>1aK11lhPvkcQDNCxURzXRYW7aR1Q5FCHvskBvDnpYW8U</t>
  </si>
  <si>
    <t>E. coli_&lt;&lt;Agenda&gt;&gt;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</si>
  <si>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Lab"},{"type":"STANDARD","details":{"isUnmapped":false,"headerMap":"Instrumen/Uji"},"tag":"Instrument/Uji"},{"type":"STANDARD","details":{"isUnmapped":false,"headerMap":"Operator"},"tag":"Operator"},{"type":"STANDARD","details":{"isUnmapped":false,"headerMap":"Jumlah Sampel"},"tag":"Jumlah Sampel"},{"type":"STANDARD","details":{"isUnmapped":false,"headerMap":"Harga per Sampel"},"tag":"Harga per Sampel"},{"type":"STANDARD","details":{"isUnmapped":false,"headerMap":"Harga Total"},"tag":"Harga Total"},{"type":"STANDARD","details":{"isUnmapped":false,"headerMap":"Hari, Tanggal pembuatan rekap"},"tag":"Hari, Tanggal pembuatan rekap"},{"type":"STANDARD","details":{"isUnmapped":false,"headerMap":"Pembuat Rekap"},"tag":"Pembuat Rekap"}]</t>
  </si>
  <si>
    <t>_1752562137914</t>
  </si>
  <si>
    <t>1FFd1Z12Rm7BT9u1AJsIz06vrZMaO51mQBhCys1MT_o8</t>
  </si>
  <si>
    <t>S. aureus_&lt;&lt;Agenda&gt;&gt;</t>
  </si>
  <si>
    <t>_1755597872174</t>
  </si>
  <si>
    <t>1_IOavzzkXWS4gf3NBOvmu0cMJs1tGevARCSWqyi_tf4</t>
  </si>
  <si>
    <t>Rekap Viskositas</t>
  </si>
  <si>
    <t>[{"tag":"Agenda","type":"STANDARD","details":{"isUnmapped":false,"headerMap":"Agenda"}},{"tag":"Tanggal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Lab"}},{"tag":"Operator","type":"STANDARD","details":{"isUnmapped":false,"headerMap":"Operator"}},{"tag":"Jumlah Sampel","type":"STANDARD","details":{"isUnmapped":false,"headerMap":"Jumlah Sampel"}},{"tag":"Total Harga Berdasarkan Sampel","type":"STANDARD","details":{"isUnmapped":false,"headerMap":"Total Harga Berdasarkan Sampel"}},{"tag":"Pengkondisian","type":"STANDARD","details":{"isUnmapped":false,"headerMap":"Pengkondisian"}},{"tag":"Pengukuran","type":"STANDARD","details":{"isUnmapped":false,"headerMap":"Pengukuran"}},{"tag":"Pengolahan Data","type":"STANDARD","details":{"isUnmapped":false,"headerMap":"Pengolahan Data"}},{"tag":"Mematikan instrument","type":"STANDARD","details":{"isUnmapped":false,"headerMap":"Mematikan instrument"}},{"tag":"Total waktu pengerjaan","type":"STANDARD","details":{"isUnmapped":false,"headerMap":"Total waktu pengerjaan"}},{"tag":"Hari, Tanggal pembuatan rekap","type":"STANDARD","details":{"isUnmapped":false,"headerMap":"Tanggal pembuatan rekap"}},{"tag":"Pembuat Rekap","type":"STANDARD","details":{"isUnmapped":false,"headerMap":"Pembuat Rekap"}}]</t>
  </si>
  <si>
    <t>_1758863382044</t>
  </si>
  <si>
    <t>Kadar Air_Abu</t>
  </si>
  <si>
    <t>1jI6F6VGEhP703ysxJ3D1E7G_uEfEZYs5lpyK6odHTLY</t>
  </si>
  <si>
    <t>Kadar Air_Abu_&lt;&lt;Agenda&gt;&gt;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</si>
  <si>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Lab"},{"type":"STANDARD","details":{"isUnmapped":false,"headerMap":"Instrument"},"tag":"Instrument"},{"type":"STANDARD","details":{"isUnmapped":false,"headerMap":"Operator"},"tag":"Operator"},{"type":"STANDARD","details":{"isUnmapped":false,"headerMap":"Jumlah Sampel"},"tag":"Jumlah Sampel"},{"type":"STANDARD","details":{"isUnmapped":false,"headerMap":"Harga per sampel"},"tag":"Harga per sampel"},{"type":"STANDARD","details":{"isUnmapped":false,"headerMap":"Harga Total"},"tag":"Harga Totall"},{"type":"STANDARD","details":{"isUnmapped":false,"headerMap":"Hari, Tanggal pembuatan rekap"},"tag":"Hari, Tanggal pembuatan rekap"},{"type":"STANDARD","details":{"isUnmapped":false,"headerMap":"Pembuat Rekap"},"tag":"Pembuat Rekap"}]</t>
  </si>
  <si>
    <t>_1758864198283</t>
  </si>
  <si>
    <t>Daya Serap Iod</t>
  </si>
  <si>
    <t>1o4iP3y6RC-JqZsk2z4yTNGsaNoRlXLx8nTkrxAuMcPM</t>
  </si>
  <si>
    <t>Daya_Serap_Iod_&lt;&lt;Agenda&gt;&gt;</t>
  </si>
  <si>
    <t>_1760683928175</t>
  </si>
  <si>
    <t>Uji gabungan</t>
  </si>
  <si>
    <t>1Sf6IjGMDykHouAgkhkENqERktDzdAUb09ZK_q8LQC_4</t>
  </si>
  <si>
    <t>Uji Gabungan &lt;&lt;Agenda&gt;&gt;</t>
  </si>
  <si>
    <t>[{"tag":"Pengujian","type":"STANDARD","details":{"isUnmapped":false,"headerMap":"Pengujian"}},{"tag":"Agenda","type":"STANDARD","details":{"isUnmapped":false,"headerMap":"Agenda"}},{"tag":"Tanggal Map Keluar","type":"STANDARD","details":{"isUnmapped":false,"headerMap":"Tanggal Map Keluar"}},{"tag":"Nama","type":"STANDARD","details":{"isUnmapped":false,"headerMap":"Nama"}},{"tag":"NIM/NIP","type":"STANDARD","details":{"isUnmapped":false,"headerMap":"NIM/NIP"}},{"tag":"Fakultas/Univ","type":"STANDARD","details":{"isUnmapped":false,"headerMap":"Fakultas/Univ"}},{"tag":"Akses Lab","type":"STANDARD","details":{"isUnmapped":false,"headerMap":"Akses Lab"}},{"tag":"Uji 1","type":"STANDARD","details":{"isUnmapped":false,"headerMap":"Uji 1"}},{"tag":"Jumlah Sampel","type":"STANDARD","details":{"isUnmapped":false,"headerMap":"Jumlah Sampel"}},{"tag":"Harga_Uji1","type":"STANDARD","details":{"isUnmapped":false,"headerMap":"Harga_Uji1"}},{"tag":"Harga_1","type":"STANDARD","details":{"isUnmapped":false,"headerMap":"Harga_1"}},{"tag":"Analis1","type":"STANDARD","details":{"headerMap":"Analis1","isUnmapped":false}},{"tag":"Uji 2","type":"STANDARD","details":{"isUnmapped":false,"headerMap":"Uji 2"}},{"tag":"Harga_Uji2","type":"STANDARD","details":{"isUnmapped":false,"headerMap":"Harga_Uji2"}},{"tag":"Harga_2","type":"STANDARD","details":{"isUnmapped":false,"headerMap":"Harga_2"}},{"tag":"Analis2","type":"STANDARD","details":{"headerMap":"Analis2","isUnmapped":false}},{"tag":"Uji 3","type":"STANDARD","details":{"isUnmapped":false,"headerMap":"Uji 3"}},{"tag":"Harga_Uji3","type":"STANDARD","details":{"isUnmapped":false,"headerMap":"Harga_Uji3"}},{"tag":"Harga_3","type":"STANDARD","details":{"isUnmapped":false,"headerMap":"Harga_3"}},{"tag":"Analis3","type":"STANDARD","details":{"headerMap":"Analsi3","isUnmapped":false}},{"tag":"Uji 4","type":"STANDARD","details":{"isUnmapped":false,"headerMap":"Uji 4"}},{"tag":"Harga_Uji4","type":"STANDARD","details":{"isUnmapped":false,"headerMap":"Harga_Uji4"}},{"tag":"Harga_4","type":"STANDARD","details":{"isUnmapped":false,"headerMap":"Harga_4"}},{"tag":"Analis4","type":"STANDARD","details":{"headerMap":"Analis4","isUnmapped":false}},{"tag":"Uji 5","type":"STANDARD","details":{"isUnmapped":false,"headerMap":"Uji 5"}},{"tag":"Harga_Uji5","type":"STANDARD","details":{"isUnmapped":false,"headerMap":"Harga_Uji5"}},{"tag":"Harga_5","type":"STANDARD","details":{"isUnmapped":false,"headerMap":"Harga_5"}},{"tag":"Analis5","type":"STANDARD","details":{"headerMap":"Analis5","isUnmapped":false}},{"tag":"TotalHarga","type":"STANDARD","details":{"headerMap":"TotalHarga","isUnmapped":false}},{"tag":"Hari, Tanggal pembuatan rekap","type":"STANDARD","details":{"isUnmapped":false,"headerMap":"Hari, Tanggal pembuatan rekap"}},{"tag":"Pembuat Rekap","type":"STANDARD","details":{"isUnmapped":false,"headerMap":"Pembuat Rekap"}}]</t>
  </si>
  <si>
    <t>_1761898792518</t>
  </si>
  <si>
    <t>Rekap AAS</t>
  </si>
  <si>
    <t>13rUNuvAfclA8yP9WAKbYlgNj3gVKXzGfRyoZeQWaI6I</t>
  </si>
  <si>
    <t>AAS_&lt;&lt;Agenda&gt;&gt;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</si>
  <si>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Lab"},{"type":"STANDARD","details":{"isUnmapped":false,"headerMap":"Instrument"},"tag":"Instrument"},{"type":"STANDARD","details":{"isUnmapped":false,"headerMap":"Operator"},"tag":"Operator"},{"type":"STANDARD","details":{"isUnmapped":false,"headerMap":"Jumlah Sampel"},"tag":"Jumlah Sampel"},{"type":"STANDARD","details":{"isUnmapped":false,"headerMap":"Harga per sampel"},"tag":"Harga per sampel"},{"type":"STANDARD","details":{"isUnmapped":false,"headerMap":"Total Harga"},"tag":"Total Hargal"},{"type":"STANDARD","details":{"isUnmapped":false,"headerMap":"Hari, Tanggal pembuatan rekap"},"tag":"Hari, Tanggal pembuatan rekap"},{"type":"STANDARD","details":{"isUnmapped":false,"headerMap":"Pembuat Rekap"},"tag":"Pembuat Rekap"}]</t>
  </si>
  <si>
    <t>_1762318681703</t>
  </si>
  <si>
    <t>1LG_QoGCUHocAx369IACHep02M-n-_td2BcPvFL_s6Gg</t>
  </si>
  <si>
    <t>Organoleptik_&lt;Agenda&gt;&gt;</t>
  </si>
  <si>
    <t>[{"type":"STANDARD","details":{"isUnmapped":false,"headerMap":"Agenda"},"tag":"Agenda"},{"type":"STANDARD","details":{"isUnmapped":false,"headerMap":"Tanggal Map Keluar"},"tag":"Tanggal Map Keluar"},{"type":"STANDARD","details":{"isUnmapped":false,"headerMap":"Nama"},"tag":"Nama"},{"type":"STANDARD","details":{"isUnmapped":false,"headerMap":"NIM/NIP"},"tag":"NIM/NIP"},{"type":"STANDARD","details":{"isUnmapped":false,"headerMap":"Fakultas/Univ"},"tag":"Fakultas/Univ"},{"type":"STANDARD","details":{"isUnmapped":false,"headerMap":"Akses Lab"},"tag":"Akses Lab"},{"type":"STANDARD","details":{"isUnmapped":false,"headerMap":"Pengujian"},"tag":"Pengujian"},{"type":"STANDARD","details":{"isUnmapped":false,"headerMap":"Analis"},"tag":"Analis"},{"type":"STANDARD","details":{"isUnmapped":false,"headerMap":"Jumlah Sampel"},"tag":"Jumlah Sampel"},{"type":"STANDARD","details":{"isUnmapped":false,"headerMap":"Harga per sampel"},"tag":"Harga per sampel"},{"type":"STANDARD","details":{"isUnmapped":false,"headerMap":"Harga total"},"tag":"Harga total"},{"type":"STANDARD","details":{"isUnmapped":false,"headerMap":"Hari, Tanggal pembuatan rekap"},"tag":"Hari, Tanggal pembuatan rekap"},{"type":"STANDARD","details":{"isUnmapped":false,"headerMap":"Pembuat Rekap"},"tag":"Pembuat Rekap"}]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</si>
</sst>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Rp-421]#,##0"/>
    <numFmt numFmtId="165" formatCode="#,##0;(#,##0)"/>
    <numFmt numFmtId="166" formatCode="dddd, d mmmm yyyy"/>
    <numFmt numFmtId="167" formatCode="dddd&quot;, &quot;dd&quot; &quot;mmmm&quot; &quot;yyyy"/>
    <numFmt numFmtId="168" formatCode="d mmmm yyyy"/>
    <numFmt numFmtId="169" formatCode="dddd d mmmm yyyy"/>
    <numFmt numFmtId="170" formatCode="00#"/>
    <numFmt numFmtId="171" formatCode="dddd dd mmmm yyyy"/>
    <numFmt numFmtId="172" formatCode="dd/mm/yyyy"/>
    <numFmt numFmtId="173" formatCode="d&quot; &quot;mmmm&quot; &quot;yyyy"/>
    <numFmt numFmtId="174" formatCode="[$Rp-421]#,##0.00"/>
    <numFmt numFmtId="175" formatCode="dd/MM/yyyy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  <font>
      <b/>
      <sz val="11.0"/>
      <color rgb="FF000000"/>
      <name val="Calibri"/>
    </font>
    <font/>
    <font>
      <color rgb="FF000000"/>
      <name val="Calibri"/>
    </font>
    <font>
      <b/>
      <color theme="1"/>
      <name val="Arial"/>
    </font>
    <font>
      <b/>
      <i/>
      <color theme="1"/>
      <name val="Arial"/>
    </font>
    <font>
      <b/>
      <i/>
      <color rgb="FF000000"/>
      <name val="Arial"/>
    </font>
    <font>
      <u/>
      <color rgb="FF0000FF"/>
    </font>
    <font>
      <u/>
      <color rgb="FF0000FF"/>
    </font>
    <font>
      <color theme="1"/>
      <name val="Arial"/>
    </font>
    <font>
      <sz val="10.0"/>
      <color theme="1"/>
      <name val="Arial"/>
      <scheme val="minor"/>
    </font>
    <font>
      <b/>
      <i/>
      <sz val="10.0"/>
      <color rgb="FF000000"/>
      <name val="Arial"/>
      <scheme val="minor"/>
    </font>
    <font>
      <u/>
      <sz val="10.0"/>
      <color rgb="FF0000FF"/>
    </font>
    <font>
      <u/>
      <sz val="10.0"/>
      <color rgb="FF0000FF"/>
    </font>
    <font>
      <b/>
      <sz val="11.0"/>
      <color theme="1"/>
      <name val="Times New Roman"/>
    </font>
    <font>
      <sz val="12.0"/>
      <color rgb="FF000000"/>
      <name val="&quot;Times New Roman&quot;"/>
    </font>
    <font>
      <color rgb="FF000000"/>
      <name val="Arial"/>
      <scheme val="minor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b/>
      <i/>
      <sz val="11.0"/>
      <color rgb="FF000000"/>
      <name val="Arial"/>
      <scheme val="minor"/>
    </font>
    <font>
      <u/>
      <color rgb="FF0000FF"/>
      <name val="Arial"/>
    </font>
    <font>
      <u/>
      <color rgb="FF0000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rgb="FFAEAAAA"/>
        <bgColor rgb="FFAEAAA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3" xfId="0" applyAlignment="1" applyBorder="1" applyFont="1" applyNumberFormat="1">
      <alignment readingOrder="0" shrinkToFit="0" vertical="bottom" wrapText="0"/>
    </xf>
    <xf borderId="3" fillId="0" fontId="4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0" fontId="6" numFmtId="0" xfId="0" applyAlignment="1" applyBorder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readingOrder="0" shrinkToFit="0" vertical="top" wrapText="0"/>
    </xf>
    <xf borderId="4" fillId="0" fontId="7" numFmtId="0" xfId="0" applyBorder="1" applyFont="1"/>
    <xf borderId="2" fillId="0" fontId="7" numFmtId="0" xfId="0" applyBorder="1" applyFont="1"/>
    <xf borderId="5" fillId="0" fontId="6" numFmtId="0" xfId="0" applyAlignment="1" applyBorder="1" applyFont="1">
      <alignment horizontal="center" readingOrder="0" shrinkToFit="0" vertical="top" wrapText="0"/>
    </xf>
    <xf borderId="5" fillId="0" fontId="6" numFmtId="164" xfId="0" applyAlignment="1" applyBorder="1" applyFont="1" applyNumberFormat="1">
      <alignment horizontal="center" readingOrder="0" vertical="top"/>
    </xf>
    <xf borderId="5" fillId="3" fontId="3" numFmtId="0" xfId="0" applyAlignment="1" applyBorder="1" applyFont="1">
      <alignment horizontal="center" readingOrder="0" vertical="top"/>
    </xf>
    <xf borderId="0" fillId="3" fontId="3" numFmtId="0" xfId="0" applyAlignment="1" applyFont="1">
      <alignment horizontal="center" vertical="top"/>
    </xf>
    <xf borderId="0" fillId="0" fontId="3" numFmtId="0" xfId="0" applyAlignment="1" applyFont="1">
      <alignment shrinkToFit="0" vertical="top" wrapText="0"/>
    </xf>
    <xf borderId="6" fillId="0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164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3" fillId="0" fontId="3" numFmtId="164" xfId="0" applyAlignment="1" applyBorder="1" applyFont="1" applyNumberFormat="1">
      <alignment readingOrder="0" shrinkToFit="0" vertical="bottom" wrapText="0"/>
    </xf>
    <xf borderId="3" fillId="3" fontId="3" numFmtId="0" xfId="0" applyAlignment="1" applyBorder="1" applyFont="1">
      <alignment shrinkToFit="0" vertical="bottom" wrapText="0"/>
    </xf>
    <xf borderId="8" fillId="4" fontId="3" numFmtId="0" xfId="0" applyAlignment="1" applyBorder="1" applyFill="1" applyFont="1">
      <alignment horizontal="center" shrinkToFit="0" vertical="bottom" wrapText="0"/>
    </xf>
    <xf borderId="3" fillId="4" fontId="3" numFmtId="0" xfId="0" applyAlignment="1" applyBorder="1" applyFont="1">
      <alignment horizontal="right" readingOrder="0"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3" fillId="4" fontId="3" numFmtId="0" xfId="0" applyAlignment="1" applyBorder="1" applyFont="1">
      <alignment shrinkToFit="0" vertical="bottom" wrapText="0"/>
    </xf>
    <xf borderId="3" fillId="4" fontId="3" numFmtId="164" xfId="0" applyAlignment="1" applyBorder="1" applyFont="1" applyNumberForma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9" fillId="0" fontId="3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shrinkToFit="0" vertical="bottom" wrapText="0"/>
    </xf>
    <xf borderId="9" fillId="0" fontId="3" numFmtId="164" xfId="0" applyAlignment="1" applyBorder="1" applyFont="1" applyNumberFormat="1">
      <alignment readingOrder="0" shrinkToFit="0" vertical="bottom" wrapText="0"/>
    </xf>
    <xf borderId="9" fillId="3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11" fillId="0" fontId="3" numFmtId="164" xfId="0" applyAlignment="1" applyBorder="1" applyFont="1" applyNumberForma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4" fontId="3" numFmtId="0" xfId="0" applyAlignment="1" applyFont="1">
      <alignment readingOrder="0" shrinkToFit="0" vertical="bottom" wrapText="1"/>
    </xf>
    <xf borderId="3" fillId="0" fontId="3" numFmtId="0" xfId="0" applyAlignment="1" applyBorder="1" applyFont="1">
      <alignment shrinkToFit="0" vertical="bottom" wrapText="0"/>
    </xf>
    <xf borderId="3" fillId="0" fontId="3" numFmtId="164" xfId="0" applyAlignment="1" applyBorder="1" applyFont="1" applyNumberFormat="1">
      <alignment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shrinkToFit="0" vertical="bottom" wrapText="0"/>
    </xf>
    <xf borderId="9" fillId="0" fontId="3" numFmtId="164" xfId="0" applyAlignment="1" applyBorder="1" applyFont="1" applyNumberFormat="1">
      <alignment shrinkToFit="0" vertical="bottom" wrapText="0"/>
    </xf>
    <xf borderId="3" fillId="5" fontId="3" numFmtId="0" xfId="0" applyAlignment="1" applyBorder="1" applyFill="1" applyFont="1">
      <alignment readingOrder="0" shrinkToFit="0" vertical="bottom" wrapText="0"/>
    </xf>
    <xf borderId="3" fillId="5" fontId="3" numFmtId="0" xfId="0" applyAlignment="1" applyBorder="1" applyFont="1">
      <alignment shrinkToFit="0" vertical="bottom" wrapText="0"/>
    </xf>
    <xf borderId="3" fillId="5" fontId="3" numFmtId="164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3" fillId="6" fontId="3" numFmtId="0" xfId="0" applyAlignment="1" applyBorder="1" applyFill="1" applyFont="1">
      <alignment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7" fontId="3" numFmtId="0" xfId="0" applyAlignment="1" applyBorder="1" applyFill="1" applyFont="1">
      <alignment readingOrder="0" shrinkToFit="0" vertical="bottom" wrapText="0"/>
    </xf>
    <xf borderId="3" fillId="7" fontId="3" numFmtId="0" xfId="0" applyAlignment="1" applyBorder="1" applyFont="1">
      <alignment shrinkToFit="0" vertical="bottom" wrapText="0"/>
    </xf>
    <xf borderId="3" fillId="8" fontId="3" numFmtId="0" xfId="0" applyAlignment="1" applyBorder="1" applyFill="1" applyFont="1">
      <alignment readingOrder="0" shrinkToFit="0" vertical="bottom" wrapText="0"/>
    </xf>
    <xf borderId="3" fillId="8" fontId="3" numFmtId="0" xfId="0" applyAlignment="1" applyBorder="1" applyFont="1">
      <alignment shrinkToFit="0" vertical="bottom" wrapText="0"/>
    </xf>
    <xf borderId="3" fillId="9" fontId="3" numFmtId="164" xfId="0" applyAlignment="1" applyBorder="1" applyFill="1" applyFont="1" applyNumberFormat="1">
      <alignment readingOrder="0" shrinkToFit="0" vertical="bottom" wrapText="0"/>
    </xf>
    <xf borderId="3" fillId="10" fontId="3" numFmtId="164" xfId="0" applyAlignment="1" applyBorder="1" applyFill="1" applyFont="1" applyNumberFormat="1">
      <alignment readingOrder="0" shrinkToFit="0" vertical="bottom" wrapText="0"/>
    </xf>
    <xf borderId="3" fillId="6" fontId="3" numFmtId="0" xfId="0" applyAlignment="1" applyBorder="1" applyFont="1">
      <alignment readingOrder="0" shrinkToFit="0" vertical="bottom" wrapText="0"/>
    </xf>
    <xf borderId="3" fillId="11" fontId="3" numFmtId="0" xfId="0" applyAlignment="1" applyBorder="1" applyFill="1" applyFont="1">
      <alignment readingOrder="0" shrinkToFit="0" vertical="bottom" wrapText="0"/>
    </xf>
    <xf borderId="3" fillId="11" fontId="3" numFmtId="0" xfId="0" applyAlignment="1" applyBorder="1" applyFont="1">
      <alignment shrinkToFit="0" vertical="bottom" wrapText="0"/>
    </xf>
    <xf borderId="3" fillId="12" fontId="3" numFmtId="164" xfId="0" applyAlignment="1" applyBorder="1" applyFill="1" applyFont="1" applyNumberFormat="1">
      <alignment readingOrder="0" shrinkToFit="0" vertical="bottom" wrapText="0"/>
    </xf>
    <xf borderId="3" fillId="3" fontId="3" numFmtId="164" xfId="0" applyAlignment="1" applyBorder="1" applyFont="1" applyNumberFormat="1">
      <alignment readingOrder="0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3" fillId="9" fontId="3" numFmtId="0" xfId="0" applyAlignment="1" applyBorder="1" applyFont="1">
      <alignment horizontal="right" readingOrder="0" shrinkToFit="0" vertical="bottom" wrapText="0"/>
    </xf>
    <xf borderId="3" fillId="9" fontId="3" numFmtId="0" xfId="0" applyAlignment="1" applyBorder="1" applyFont="1">
      <alignment readingOrder="0" shrinkToFit="0" vertical="bottom" wrapText="0"/>
    </xf>
    <xf borderId="3" fillId="9" fontId="3" numFmtId="0" xfId="0" applyAlignment="1" applyBorder="1" applyFont="1">
      <alignment shrinkToFit="0" vertical="bottom" wrapText="0"/>
    </xf>
    <xf borderId="0" fillId="9" fontId="3" numFmtId="0" xfId="0" applyAlignment="1" applyFont="1">
      <alignment shrinkToFit="0" vertical="bottom" wrapText="0"/>
    </xf>
    <xf borderId="3" fillId="9" fontId="3" numFmtId="0" xfId="0" applyAlignment="1" applyBorder="1" applyFont="1">
      <alignment shrinkToFit="0" vertical="bottom" wrapText="0"/>
    </xf>
    <xf borderId="3" fillId="5" fontId="3" numFmtId="0" xfId="0" applyAlignment="1" applyBorder="1" applyFont="1">
      <alignment shrinkToFit="0" vertical="bottom" wrapText="0"/>
    </xf>
    <xf borderId="3" fillId="5" fontId="3" numFmtId="0" xfId="0" applyAlignment="1" applyBorder="1" applyFont="1">
      <alignment horizontal="right" readingOrder="0" shrinkToFit="0" vertical="bottom" wrapText="0"/>
    </xf>
    <xf borderId="3" fillId="3" fontId="3" numFmtId="0" xfId="0" applyAlignment="1" applyBorder="1" applyFont="1">
      <alignment shrinkToFit="0" vertical="bottom" wrapText="0"/>
    </xf>
    <xf borderId="3" fillId="4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readingOrder="0" shrinkToFit="0" vertical="top" wrapText="0"/>
    </xf>
    <xf borderId="3" fillId="0" fontId="3" numFmtId="164" xfId="0" applyAlignment="1" applyBorder="1" applyFont="1" applyNumberFormat="1">
      <alignment readingOrder="0" shrinkToFit="0" vertical="top" wrapText="0"/>
    </xf>
    <xf borderId="3" fillId="0" fontId="3" numFmtId="0" xfId="0" applyAlignment="1" applyBorder="1" applyFont="1">
      <alignment shrinkToFit="0" vertical="top" wrapText="0"/>
    </xf>
    <xf borderId="3" fillId="0" fontId="3" numFmtId="164" xfId="0" applyAlignment="1" applyBorder="1" applyFont="1" applyNumberFormat="1">
      <alignment readingOrder="0" vertical="top"/>
    </xf>
    <xf borderId="9" fillId="0" fontId="3" numFmtId="0" xfId="0" applyAlignment="1" applyBorder="1" applyFont="1">
      <alignment shrinkToFit="0" vertical="top" wrapText="0"/>
    </xf>
    <xf borderId="9" fillId="0" fontId="3" numFmtId="164" xfId="0" applyAlignment="1" applyBorder="1" applyFont="1" applyNumberFormat="1">
      <alignment readingOrder="0" shrinkToFit="0" vertical="top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shrinkToFit="0" vertical="top" wrapText="0"/>
    </xf>
    <xf borderId="5" fillId="0" fontId="3" numFmtId="164" xfId="0" applyAlignment="1" applyBorder="1" applyFont="1" applyNumberForma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3" numFmtId="164" xfId="0" applyAlignment="1" applyBorder="1" applyFont="1" applyNumberFormat="1">
      <alignment readingOrder="0" vertical="top"/>
    </xf>
    <xf borderId="9" fillId="0" fontId="3" numFmtId="164" xfId="0" applyAlignment="1" applyBorder="1" applyFont="1" applyNumberFormat="1">
      <alignment shrinkToFit="0" vertical="top" wrapText="0"/>
    </xf>
    <xf borderId="8" fillId="0" fontId="3" numFmtId="0" xfId="0" applyAlignment="1" applyBorder="1" applyFont="1">
      <alignment horizontal="center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3" fontId="3" numFmtId="164" xfId="0" applyAlignment="1" applyBorder="1" applyFont="1" applyNumberFormat="1">
      <alignment readingOrder="0" shrinkToFit="0" vertical="top" wrapText="0"/>
    </xf>
    <xf borderId="9" fillId="3" fontId="3" numFmtId="0" xfId="0" applyAlignment="1" applyBorder="1" applyFont="1">
      <alignment horizontal="left" readingOrder="0" vertical="top"/>
    </xf>
    <xf borderId="0" fillId="3" fontId="3" numFmtId="0" xfId="0" applyAlignment="1" applyFont="1">
      <alignment shrinkToFit="0" vertical="top" wrapText="0"/>
    </xf>
    <xf borderId="5" fillId="3" fontId="3" numFmtId="164" xfId="0" applyAlignment="1" applyBorder="1" applyFont="1" applyNumberFormat="1">
      <alignment readingOrder="0" shrinkToFit="0" vertical="top" wrapText="0"/>
    </xf>
    <xf borderId="5" fillId="3" fontId="3" numFmtId="0" xfId="0" applyAlignment="1" applyBorder="1" applyFont="1">
      <alignment readingOrder="0" vertical="top"/>
    </xf>
    <xf borderId="5" fillId="0" fontId="3" numFmtId="164" xfId="0" applyAlignment="1" applyBorder="1" applyFont="1" applyNumberFormat="1">
      <alignment shrinkToFit="0" vertical="bottom" wrapText="0"/>
    </xf>
    <xf borderId="3" fillId="13" fontId="3" numFmtId="0" xfId="0" applyAlignment="1" applyBorder="1" applyFill="1" applyFont="1">
      <alignment readingOrder="0" shrinkToFit="0" vertical="bottom" wrapText="0"/>
    </xf>
    <xf borderId="3" fillId="13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0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 readingOrder="0" shrinkToFit="0" wrapText="1"/>
    </xf>
    <xf borderId="0" fillId="2" fontId="10" numFmtId="0" xfId="0" applyAlignment="1" applyFont="1">
      <alignment horizontal="center"/>
    </xf>
    <xf borderId="0" fillId="2" fontId="1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2" numFmtId="0" xfId="0" applyAlignment="1" applyFont="1">
      <alignment readingOrder="0"/>
    </xf>
    <xf borderId="0" fillId="0" fontId="13" numFmtId="0" xfId="0" applyFont="1"/>
    <xf borderId="0" fillId="0" fontId="1" numFmtId="166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5" numFmtId="167" xfId="0" applyAlignment="1" applyFont="1" applyNumberFormat="1">
      <alignment readingOrder="0" shrinkToFit="0" vertical="center" wrapText="1"/>
    </xf>
    <xf borderId="0" fillId="0" fontId="0" numFmtId="167" xfId="0" applyAlignment="1" applyFont="1" applyNumberFormat="1">
      <alignment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4" numFmtId="0" xfId="0" applyAlignment="1" applyFont="1">
      <alignment horizontal="right" vertical="bottom"/>
    </xf>
    <xf borderId="0" fillId="0" fontId="1" numFmtId="167" xfId="0" applyFont="1" applyNumberFormat="1"/>
    <xf borderId="0" fillId="0" fontId="1" numFmtId="168" xfId="0" applyAlignment="1" applyFont="1" applyNumberFormat="1">
      <alignment readingOrder="0"/>
    </xf>
    <xf borderId="0" fillId="0" fontId="15" numFmtId="166" xfId="0" applyAlignment="1" applyFont="1" applyNumberFormat="1">
      <alignment readingOrder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5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readingOrder="0" shrinkToFit="0" vertical="center" wrapText="1"/>
    </xf>
    <xf borderId="0" fillId="2" fontId="16" numFmtId="0" xfId="0" applyAlignment="1" applyFont="1">
      <alignment readingOrder="0" shrinkToFit="0" vertical="center" wrapText="1"/>
    </xf>
    <xf borderId="0" fillId="14" fontId="15" numFmtId="0" xfId="0" applyAlignment="1" applyFill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5" numFmtId="3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5" numFmtId="0" xfId="0" applyFont="1"/>
    <xf borderId="0" fillId="0" fontId="17" numFmtId="0" xfId="0" applyAlignment="1" applyFont="1">
      <alignment readingOrder="0"/>
    </xf>
    <xf borderId="0" fillId="4" fontId="15" numFmtId="0" xfId="0" applyAlignment="1" applyFont="1">
      <alignment horizontal="right" readingOrder="0" vertical="bottom"/>
    </xf>
    <xf borderId="0" fillId="14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Font="1"/>
    <xf borderId="0" fillId="4" fontId="14" numFmtId="166" xfId="0" applyAlignment="1" applyFont="1" applyNumberFormat="1">
      <alignment horizontal="right" vertical="bottom"/>
    </xf>
    <xf borderId="0" fillId="4" fontId="14" numFmtId="167" xfId="0" applyAlignment="1" applyFont="1" applyNumberFormat="1">
      <alignment horizontal="right" vertical="bottom"/>
    </xf>
    <xf borderId="0" fillId="14" fontId="14" numFmtId="0" xfId="0" applyAlignment="1" applyFont="1">
      <alignment horizontal="right" readingOrder="0" vertical="bottom"/>
    </xf>
    <xf borderId="0" fillId="4" fontId="14" numFmtId="166" xfId="0" applyAlignment="1" applyFont="1" applyNumberFormat="1">
      <alignment horizontal="right" readingOrder="0" vertical="bottom"/>
    </xf>
    <xf borderId="0" fillId="4" fontId="14" numFmtId="167" xfId="0" applyAlignment="1" applyFont="1" applyNumberFormat="1">
      <alignment horizontal="right" readingOrder="0" vertical="bottom"/>
    </xf>
    <xf borderId="0" fillId="0" fontId="15" numFmtId="166" xfId="0" applyAlignment="1" applyFont="1" applyNumberFormat="1">
      <alignment horizontal="right" readingOrder="0"/>
    </xf>
    <xf borderId="0" fillId="0" fontId="14" numFmtId="0" xfId="0" applyAlignment="1" applyFont="1">
      <alignment readingOrder="0" vertical="bottom"/>
    </xf>
    <xf borderId="0" fillId="4" fontId="14" numFmtId="0" xfId="0" applyAlignment="1" applyFont="1">
      <alignment horizontal="right" vertical="bottom"/>
    </xf>
    <xf borderId="0" fillId="0" fontId="1" numFmtId="169" xfId="0" applyAlignment="1" applyFont="1" applyNumberFormat="1">
      <alignment readingOrder="0"/>
    </xf>
    <xf borderId="0" fillId="0" fontId="15" numFmtId="0" xfId="0" applyAlignment="1" applyFont="1">
      <alignment horizontal="right" readingOrder="0" shrinkToFit="0" vertical="center" wrapText="1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15" numFmtId="167" xfId="0" applyAlignment="1" applyFont="1" applyNumberFormat="1">
      <alignment horizontal="right" readingOrder="0" shrinkToFit="0" vertical="center" wrapText="1"/>
    </xf>
    <xf borderId="0" fillId="0" fontId="0" numFmtId="167" xfId="0" applyAlignment="1" applyFont="1" applyNumberFormat="1">
      <alignment horizontal="right" readingOrder="0" shrinkToFit="0" vertical="center" wrapText="1"/>
    </xf>
    <xf borderId="0" fillId="0" fontId="15" numFmtId="165" xfId="0" applyAlignment="1" applyFont="1" applyNumberFormat="1">
      <alignment readingOrder="0" shrinkToFit="0" vertical="center" wrapText="1"/>
    </xf>
    <xf borderId="0" fillId="0" fontId="0" numFmtId="165" xfId="0" applyAlignment="1" applyFont="1" applyNumberFormat="1">
      <alignment readingOrder="0" shrinkToFit="0" vertical="center" wrapText="1"/>
    </xf>
    <xf borderId="0" fillId="2" fontId="1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5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  <xf borderId="0" fillId="0" fontId="15" numFmtId="3" xfId="0" applyAlignment="1" applyFont="1" applyNumberFormat="1">
      <alignment horizontal="right" readingOrder="0"/>
    </xf>
    <xf borderId="0" fillId="15" fontId="1" numFmtId="0" xfId="0" applyAlignment="1" applyFill="1" applyFont="1">
      <alignment readingOrder="0"/>
    </xf>
    <xf borderId="0" fillId="13" fontId="1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" numFmtId="167" xfId="0" applyAlignment="1" applyFont="1" applyNumberFormat="1">
      <alignment horizontal="right"/>
    </xf>
    <xf borderId="0" fillId="0" fontId="15" numFmtId="167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5" numFmtId="167" xfId="0" applyAlignment="1" applyFont="1" applyNumberFormat="1">
      <alignment readingOrder="0"/>
    </xf>
    <xf borderId="0" fillId="14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165" xfId="0" applyAlignment="1" applyFont="1" applyNumberFormat="1">
      <alignment readingOrder="0"/>
    </xf>
    <xf borderId="0" fillId="0" fontId="18" numFmtId="0" xfId="0" applyFont="1"/>
    <xf borderId="0" fillId="14" fontId="15" numFmtId="0" xfId="0" applyAlignment="1" applyFont="1">
      <alignment readingOrder="0"/>
    </xf>
    <xf borderId="0" fillId="15" fontId="14" numFmtId="0" xfId="0" applyAlignment="1" applyFont="1">
      <alignment vertical="bottom"/>
    </xf>
    <xf borderId="0" fillId="0" fontId="15" numFmtId="0" xfId="0" applyAlignment="1" applyFont="1">
      <alignment readingOrder="0"/>
    </xf>
    <xf quotePrefix="1" borderId="0" fillId="14" fontId="1" numFmtId="0" xfId="0" applyAlignment="1" applyFont="1">
      <alignment horizontal="right" readingOrder="0"/>
    </xf>
    <xf borderId="0" fillId="15" fontId="14" numFmtId="0" xfId="0" applyAlignment="1" applyFont="1">
      <alignment readingOrder="0" vertical="bottom"/>
    </xf>
    <xf borderId="0" fillId="15" fontId="14" numFmtId="0" xfId="0" applyAlignment="1" applyFont="1">
      <alignment horizontal="right" vertical="bottom"/>
    </xf>
    <xf borderId="0" fillId="15" fontId="14" numFmtId="170" xfId="0" applyAlignment="1" applyFont="1" applyNumberFormat="1">
      <alignment horizontal="right" vertical="bottom"/>
    </xf>
    <xf borderId="0" fillId="0" fontId="1" numFmtId="0" xfId="0" applyAlignment="1" applyFont="1">
      <alignment horizontal="right"/>
    </xf>
    <xf borderId="0" fillId="2" fontId="2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shrinkToFit="0" wrapText="1"/>
    </xf>
    <xf borderId="0" fillId="0" fontId="19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shrinkToFit="0" vertical="bottom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0" fontId="2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172" xfId="0" applyAlignment="1" applyFont="1" applyNumberFormat="1">
      <alignment readingOrder="0"/>
    </xf>
    <xf borderId="0" fillId="0" fontId="14" numFmtId="166" xfId="0" applyAlignment="1" applyFont="1" applyNumberFormat="1">
      <alignment horizontal="right" readingOrder="0" vertical="bottom"/>
    </xf>
    <xf borderId="0" fillId="0" fontId="15" numFmtId="167" xfId="0" applyAlignment="1" applyFont="1" applyNumberFormat="1">
      <alignment readingOrder="0" vertical="center"/>
    </xf>
    <xf borderId="0" fillId="14" fontId="15" numFmtId="0" xfId="0" applyAlignment="1" applyFont="1">
      <alignment readingOrder="0" vertical="center"/>
    </xf>
    <xf borderId="0" fillId="0" fontId="15" numFmtId="3" xfId="0" applyAlignment="1" applyFont="1" applyNumberFormat="1">
      <alignment readingOrder="0" vertical="center"/>
    </xf>
    <xf borderId="0" fillId="0" fontId="15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0" fillId="0" fontId="14" numFmtId="0" xfId="0" applyAlignment="1" applyFont="1">
      <alignment horizontal="left" vertical="bottom"/>
    </xf>
    <xf borderId="11" fillId="16" fontId="1" numFmtId="167" xfId="0" applyAlignment="1" applyBorder="1" applyFill="1" applyFont="1" applyNumberFormat="1">
      <alignment readingOrder="0"/>
    </xf>
    <xf borderId="11" fillId="14" fontId="14" numFmtId="170" xfId="0" applyAlignment="1" applyBorder="1" applyFont="1" applyNumberFormat="1">
      <alignment vertical="bottom"/>
    </xf>
    <xf borderId="12" fillId="16" fontId="21" numFmtId="0" xfId="0" applyAlignment="1" applyBorder="1" applyFont="1">
      <alignment shrinkToFit="0" vertical="bottom" wrapText="0"/>
    </xf>
    <xf borderId="11" fillId="16" fontId="21" numFmtId="0" xfId="0" applyAlignment="1" applyBorder="1" applyFont="1">
      <alignment readingOrder="0" shrinkToFit="0" vertical="bottom" wrapText="0"/>
    </xf>
    <xf borderId="11" fillId="16" fontId="15" numFmtId="0" xfId="0" applyAlignment="1" applyBorder="1" applyFont="1">
      <alignment readingOrder="0" vertical="center"/>
    </xf>
    <xf borderId="11" fillId="16" fontId="1" numFmtId="0" xfId="0" applyAlignment="1" applyBorder="1" applyFont="1">
      <alignment readingOrder="0"/>
    </xf>
    <xf borderId="12" fillId="16" fontId="21" numFmtId="0" xfId="0" applyAlignment="1" applyBorder="1" applyFont="1">
      <alignment horizontal="right" shrinkToFit="0" vertical="bottom" wrapText="0"/>
    </xf>
    <xf borderId="11" fillId="16" fontId="1" numFmtId="0" xfId="0" applyBorder="1" applyFont="1"/>
    <xf borderId="0" fillId="16" fontId="1" numFmtId="167" xfId="0" applyAlignment="1" applyFont="1" applyNumberFormat="1">
      <alignment readingOrder="0"/>
    </xf>
    <xf borderId="0" fillId="14" fontId="14" numFmtId="170" xfId="0" applyAlignment="1" applyFont="1" applyNumberFormat="1">
      <alignment vertical="bottom"/>
    </xf>
    <xf borderId="13" fillId="16" fontId="21" numFmtId="0" xfId="0" applyAlignment="1" applyBorder="1" applyFont="1">
      <alignment shrinkToFit="0" vertical="bottom" wrapText="0"/>
    </xf>
    <xf borderId="0" fillId="16" fontId="21" numFmtId="0" xfId="0" applyAlignment="1" applyFont="1">
      <alignment readingOrder="0" shrinkToFit="0" vertical="bottom" wrapText="0"/>
    </xf>
    <xf borderId="0" fillId="16" fontId="15" numFmtId="0" xfId="0" applyAlignment="1" applyFont="1">
      <alignment readingOrder="0" vertical="center"/>
    </xf>
    <xf borderId="0" fillId="16" fontId="1" numFmtId="0" xfId="0" applyAlignment="1" applyFont="1">
      <alignment readingOrder="0"/>
    </xf>
    <xf borderId="13" fillId="16" fontId="21" numFmtId="0" xfId="0" applyAlignment="1" applyBorder="1" applyFont="1">
      <alignment horizontal="right" readingOrder="0" shrinkToFit="0" vertical="bottom" wrapText="0"/>
    </xf>
    <xf borderId="0" fillId="16" fontId="1" numFmtId="0" xfId="0" applyFont="1"/>
    <xf borderId="0" fillId="17" fontId="1" numFmtId="0" xfId="0" applyAlignment="1" applyFill="1" applyFont="1">
      <alignment readingOrder="0"/>
    </xf>
    <xf borderId="0" fillId="17" fontId="25" numFmtId="0" xfId="0" applyAlignment="1" applyFont="1">
      <alignment readingOrder="0"/>
    </xf>
    <xf borderId="0" fillId="17" fontId="26" numFmtId="0" xfId="0" applyFont="1"/>
    <xf borderId="0" fillId="17" fontId="1" numFmtId="0" xfId="0" applyFont="1"/>
    <xf borderId="13" fillId="16" fontId="21" numFmtId="0" xfId="0" applyAlignment="1" applyBorder="1" applyFont="1">
      <alignment horizontal="right" shrinkToFit="0" vertical="bottom" wrapText="0"/>
    </xf>
    <xf borderId="14" fillId="16" fontId="21" numFmtId="0" xfId="0" applyAlignment="1" applyBorder="1" applyFont="1">
      <alignment shrinkToFit="0" vertical="bottom" wrapText="0"/>
    </xf>
    <xf borderId="14" fillId="16" fontId="21" numFmtId="0" xfId="0" applyAlignment="1" applyBorder="1" applyFont="1">
      <alignment horizontal="right" shrinkToFit="0" vertical="bottom" wrapText="0"/>
    </xf>
    <xf borderId="15" fillId="16" fontId="21" numFmtId="0" xfId="0" applyAlignment="1" applyBorder="1" applyFont="1">
      <alignment shrinkToFit="0" vertical="bottom" wrapText="0"/>
    </xf>
    <xf borderId="15" fillId="16" fontId="21" numFmtId="0" xfId="0" applyAlignment="1" applyBorder="1" applyFont="1">
      <alignment horizontal="right" shrinkToFit="0" vertical="bottom" wrapText="0"/>
    </xf>
    <xf borderId="0" fillId="16" fontId="21" numFmtId="0" xfId="0" applyAlignment="1" applyFont="1">
      <alignment shrinkToFit="0" vertical="bottom" wrapText="0"/>
    </xf>
    <xf borderId="0" fillId="16" fontId="21" numFmtId="0" xfId="0" applyAlignment="1" applyFont="1">
      <alignment horizontal="right" shrinkToFit="0" vertical="bottom" wrapText="0"/>
    </xf>
    <xf borderId="0" fillId="16" fontId="15" numFmtId="3" xfId="0" applyAlignment="1" applyFont="1" applyNumberFormat="1">
      <alignment readingOrder="0" vertical="center"/>
    </xf>
    <xf borderId="16" fillId="16" fontId="1" numFmtId="167" xfId="0" applyAlignment="1" applyBorder="1" applyFont="1" applyNumberFormat="1">
      <alignment readingOrder="0"/>
    </xf>
    <xf borderId="16" fillId="14" fontId="1" numFmtId="0" xfId="0" applyAlignment="1" applyBorder="1" applyFont="1">
      <alignment readingOrder="0"/>
    </xf>
    <xf borderId="17" fillId="16" fontId="21" numFmtId="0" xfId="0" applyAlignment="1" applyBorder="1" applyFont="1">
      <alignment shrinkToFit="0" wrapText="0"/>
    </xf>
    <xf borderId="17" fillId="16" fontId="21" numFmtId="0" xfId="0" applyAlignment="1" applyBorder="1" applyFont="1">
      <alignment shrinkToFit="0" vertical="bottom" wrapText="0"/>
    </xf>
    <xf borderId="16" fillId="16" fontId="21" numFmtId="0" xfId="0" applyAlignment="1" applyBorder="1" applyFont="1">
      <alignment readingOrder="0" vertical="bottom"/>
    </xf>
    <xf borderId="16" fillId="16" fontId="21" numFmtId="0" xfId="0" applyAlignment="1" applyBorder="1" applyFont="1">
      <alignment readingOrder="0" shrinkToFit="0" vertical="bottom" wrapText="0"/>
    </xf>
    <xf borderId="16" fillId="16" fontId="15" numFmtId="0" xfId="0" applyAlignment="1" applyBorder="1" applyFont="1">
      <alignment readingOrder="0" vertical="center"/>
    </xf>
    <xf borderId="16" fillId="16" fontId="1" numFmtId="0" xfId="0" applyAlignment="1" applyBorder="1" applyFont="1">
      <alignment readingOrder="0"/>
    </xf>
    <xf borderId="16" fillId="16" fontId="21" numFmtId="0" xfId="0" applyAlignment="1" applyBorder="1" applyFont="1">
      <alignment horizontal="right" vertical="bottom"/>
    </xf>
    <xf borderId="16" fillId="16" fontId="1" numFmtId="0" xfId="0" applyBorder="1" applyFont="1"/>
    <xf borderId="0" fillId="15" fontId="14" numFmtId="0" xfId="0" applyAlignment="1" applyFont="1">
      <alignment vertical="bottom"/>
    </xf>
    <xf borderId="0" fillId="15" fontId="14" numFmtId="0" xfId="0" applyAlignment="1" applyFont="1">
      <alignment readingOrder="0" vertical="bottom"/>
    </xf>
    <xf borderId="0" fillId="4" fontId="1" numFmtId="0" xfId="0" applyAlignment="1" applyFont="1">
      <alignment readingOrder="0"/>
    </xf>
    <xf borderId="0" fillId="4" fontId="14" numFmtId="0" xfId="0" applyAlignment="1" applyFont="1">
      <alignment vertical="bottom"/>
    </xf>
    <xf borderId="0" fillId="4" fontId="14" numFmtId="0" xfId="0" applyAlignment="1" applyFont="1">
      <alignment readingOrder="0" vertical="bottom"/>
    </xf>
    <xf quotePrefix="1" borderId="0" fillId="0" fontId="14" numFmtId="0" xfId="0" applyAlignment="1" applyFont="1">
      <alignment vertical="bottom"/>
    </xf>
    <xf borderId="0" fillId="14" fontId="14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14" fontId="14" numFmtId="170" xfId="0" applyAlignment="1" applyFont="1" applyNumberFormat="1">
      <alignment horizontal="right" vertical="bottom"/>
    </xf>
    <xf borderId="0" fillId="0" fontId="1" numFmtId="167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18" fontId="1" numFmtId="0" xfId="0" applyAlignment="1" applyFill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14" fontId="14" numFmtId="0" xfId="0" applyAlignment="1" applyFont="1">
      <alignment readingOrder="0" vertical="bottom"/>
    </xf>
    <xf borderId="0" fillId="0" fontId="20" numFmtId="167" xfId="0" applyAlignment="1" applyFont="1" applyNumberFormat="1">
      <alignment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167" xfId="0" applyAlignment="1" applyFont="1" applyNumberFormat="1">
      <alignment horizontal="center" readingOrder="0" shrinkToFit="0" vertical="center" wrapText="1"/>
    </xf>
    <xf borderId="0" fillId="0" fontId="27" numFmtId="164" xfId="0" applyAlignment="1" applyFont="1" applyNumberFormat="1">
      <alignment horizontal="center" readingOrder="0" shrinkToFit="0" vertical="center" wrapText="1"/>
    </xf>
    <xf borderId="0" fillId="2" fontId="28" numFmtId="0" xfId="0" applyAlignment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17" fontId="1" numFmtId="0" xfId="0" applyAlignment="1" applyFont="1">
      <alignment horizontal="center" readingOrder="0"/>
    </xf>
    <xf borderId="0" fillId="0" fontId="14" numFmtId="0" xfId="0" applyAlignment="1" applyFont="1">
      <alignment horizontal="center" vertical="bottom"/>
    </xf>
    <xf borderId="0" fillId="0" fontId="1" numFmtId="167" xfId="0" applyAlignment="1" applyFont="1" applyNumberFormat="1">
      <alignment readingOrder="0" shrinkToFit="0" vertical="center" wrapText="1"/>
    </xf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15" numFmtId="167" xfId="0" applyAlignment="1" applyFont="1" applyNumberForma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15" numFmtId="0" xfId="0" applyAlignment="1" applyFont="1">
      <alignment horizontal="center" readingOrder="0" shrinkToFit="0" vertical="top" wrapText="1"/>
    </xf>
    <xf borderId="0" fillId="0" fontId="15" numFmtId="164" xfId="0" applyAlignment="1" applyFont="1" applyNumberFormat="1">
      <alignment readingOrder="0" shrinkToFit="0" vertical="top" wrapText="1"/>
    </xf>
    <xf borderId="0" fillId="18" fontId="15" numFmtId="164" xfId="0" applyAlignment="1" applyFont="1" applyNumberFormat="1">
      <alignment readingOrder="0" shrinkToFit="0" vertical="top" wrapText="1"/>
    </xf>
    <xf borderId="0" fillId="18" fontId="15" numFmtId="0" xfId="0" applyAlignment="1" applyFont="1">
      <alignment readingOrder="0" shrinkToFit="0" vertical="top" wrapText="0"/>
    </xf>
    <xf borderId="0" fillId="18" fontId="15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14" fontId="14" numFmtId="0" xfId="0" applyAlignment="1" applyFont="1">
      <alignment horizontal="right" vertical="bottom"/>
    </xf>
    <xf borderId="0" fillId="18" fontId="1" numFmtId="164" xfId="0" applyFont="1" applyNumberFormat="1"/>
    <xf borderId="0" fillId="18" fontId="1" numFmtId="0" xfId="0" applyFont="1"/>
    <xf borderId="0" fillId="0" fontId="15" numFmtId="0" xfId="0" applyAlignment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17" fontId="10" numFmtId="0" xfId="0" applyAlignment="1" applyFont="1">
      <alignment horizontal="center" shrinkToFit="0" vertical="center" wrapText="1"/>
    </xf>
    <xf borderId="0" fillId="0" fontId="1" numFmtId="167" xfId="0" applyAlignment="1" applyFont="1" applyNumberFormat="1">
      <alignment horizontal="center" readingOrder="0"/>
    </xf>
    <xf borderId="0" fillId="0" fontId="15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5" numFmtId="173" xfId="0" applyAlignment="1" applyFont="1" applyNumberFormat="1">
      <alignment readingOrder="0" shrinkToFit="0" vertical="top" wrapText="1"/>
    </xf>
    <xf borderId="0" fillId="0" fontId="15" numFmtId="170" xfId="0" applyAlignment="1" applyFont="1" applyNumberFormat="1">
      <alignment horizontal="center" readingOrder="0" shrinkToFit="0" vertical="top" wrapText="1"/>
    </xf>
    <xf borderId="0" fillId="0" fontId="15" numFmtId="0" xfId="0" applyAlignment="1" applyFont="1">
      <alignment readingOrder="0" shrinkToFit="0" vertical="top" wrapText="0"/>
    </xf>
    <xf borderId="0" fillId="0" fontId="15" numFmtId="164" xfId="0" applyAlignment="1" applyFont="1" applyNumberFormat="1">
      <alignment readingOrder="0" shrinkToFit="0" vertical="top" wrapText="0"/>
    </xf>
    <xf borderId="0" fillId="2" fontId="16" numFmtId="0" xfId="0" applyAlignment="1" applyFont="1">
      <alignment readingOrder="0" shrinkToFit="0" vertical="top" wrapText="0"/>
    </xf>
    <xf borderId="0" fillId="0" fontId="1" numFmtId="173" xfId="0" applyFont="1" applyNumberFormat="1"/>
    <xf borderId="0" fillId="0" fontId="14" numFmtId="170" xfId="0" applyAlignment="1" applyFont="1" applyNumberFormat="1">
      <alignment horizontal="center" vertical="bottom"/>
    </xf>
    <xf borderId="0" fillId="0" fontId="1" numFmtId="164" xfId="0" applyFont="1" applyNumberFormat="1"/>
    <xf borderId="0" fillId="0" fontId="1" numFmtId="173" xfId="0" applyAlignment="1" applyFont="1" applyNumberFormat="1">
      <alignment readingOrder="0"/>
    </xf>
    <xf borderId="0" fillId="0" fontId="1" numFmtId="170" xfId="0" applyAlignment="1" applyFont="1" applyNumberFormat="1">
      <alignment horizontal="center" readingOrder="0"/>
    </xf>
    <xf borderId="0" fillId="14" fontId="1" numFmtId="170" xfId="0" applyAlignment="1" applyFont="1" applyNumberFormat="1">
      <alignment horizontal="center" readingOrder="0"/>
    </xf>
    <xf borderId="0" fillId="14" fontId="14" numFmtId="170" xfId="0" applyAlignment="1" applyFont="1" applyNumberFormat="1">
      <alignment horizontal="center" vertical="bottom"/>
    </xf>
    <xf borderId="0" fillId="0" fontId="1" numFmtId="164" xfId="0" applyAlignment="1" applyFont="1" applyNumberFormat="1">
      <alignment readingOrder="0"/>
    </xf>
    <xf borderId="0" fillId="0" fontId="1" numFmtId="170" xfId="0" applyAlignment="1" applyFont="1" applyNumberFormat="1">
      <alignment horizontal="center"/>
    </xf>
    <xf borderId="0" fillId="0" fontId="14" numFmtId="173" xfId="0" applyAlignment="1" applyFont="1" applyNumberFormat="1">
      <alignment horizontal="right" vertical="bottom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vertical="top"/>
    </xf>
    <xf borderId="0" fillId="19" fontId="14" numFmtId="174" xfId="0" applyAlignment="1" applyFill="1" applyFont="1" applyNumberFormat="1">
      <alignment vertical="top"/>
    </xf>
    <xf borderId="0" fillId="0" fontId="14" numFmtId="0" xfId="0" applyAlignment="1" applyFont="1">
      <alignment readingOrder="0" vertical="top"/>
    </xf>
    <xf borderId="0" fillId="0" fontId="11" numFmtId="0" xfId="0" applyAlignment="1" applyFont="1">
      <alignment readingOrder="0" vertical="top"/>
    </xf>
    <xf borderId="0" fillId="19" fontId="14" numFmtId="174" xfId="0" applyAlignment="1" applyFont="1" applyNumberFormat="1">
      <alignment horizontal="right" vertical="bottom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14" numFmtId="173" xfId="0" applyAlignment="1" applyFont="1" applyNumberFormat="1">
      <alignment horizontal="right" readingOrder="0" vertical="bottom"/>
    </xf>
    <xf borderId="1" fillId="0" fontId="3" numFmtId="0" xfId="0" applyAlignment="1" applyBorder="1" applyFont="1">
      <alignment readingOrder="0" shrinkToFit="0" vertical="bottom" wrapText="0"/>
    </xf>
    <xf borderId="0" fillId="19" fontId="1" numFmtId="174" xfId="0" applyAlignment="1" applyFont="1" applyNumberFormat="1">
      <alignment readingOrder="0"/>
    </xf>
    <xf borderId="0" fillId="19" fontId="1" numFmtId="174" xfId="0" applyFont="1" applyNumberFormat="1"/>
    <xf borderId="0" fillId="0" fontId="1" numFmtId="175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175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generasi-style">
      <tableStyleElement dxfId="3" type="firstRowStripe"/>
      <tableStyleElement dxfId="2" type="secondRowStripe"/>
    </tableStyle>
    <tableStyle count="2" pivot="0" name="GC-MS-style">
      <tableStyleElement dxfId="2" type="firstRowStripe"/>
      <tableStyleElement dxfId="3" type="secondRowStripe"/>
    </tableStyle>
    <tableStyle count="2" pivot="0" name="GC-FID-style">
      <tableStyleElement dxfId="3" type="firstRowStripe"/>
      <tableStyleElement dxfId="2" type="secondRowStripe"/>
    </tableStyle>
    <tableStyle count="2" pivot="0" name="GC-FID-style 2">
      <tableStyleElement dxfId="2" type="firstRowStripe"/>
      <tableStyleElement dxfId="3" type="secondRowStripe"/>
    </tableStyle>
    <tableStyle count="2" pivot="0" name="GC-FID-style 3">
      <tableStyleElement dxfId="3" type="firstRowStripe"/>
      <tableStyleElement dxfId="2" type="secondRowStripe"/>
    </tableStyle>
    <tableStyle count="2" pivot="0" name="GC-FID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3" Type="http://schemas.openxmlformats.org/officeDocument/2006/relationships/worksheet" Target="worksheets/sheet39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Form_Responses1" name="Form_Responses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m Responses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5:J9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generasi-style" showColumnStripes="0" showFirstColumn="1" showLastColumn="1" showRowStripes="1"/>
</table>
</file>

<file path=xl/tables/table3.xml><?xml version="1.0" encoding="utf-8"?>
<table xmlns="http://schemas.openxmlformats.org/spreadsheetml/2006/main" headerRowCount="0" ref="A17:C17" displayName="Table_2" name="Table_2" id="3">
  <tableColumns count="3">
    <tableColumn name="Column1" id="1"/>
    <tableColumn name="Column2" id="2"/>
    <tableColumn name="Column3" id="3"/>
  </tableColumns>
  <tableStyleInfo name="GC-MS-style" showColumnStripes="0" showFirstColumn="1" showLastColumn="1" showRowStripes="1"/>
</table>
</file>

<file path=xl/tables/table4.xml><?xml version="1.0" encoding="utf-8"?>
<table xmlns="http://schemas.openxmlformats.org/spreadsheetml/2006/main" headerRowCount="0" ref="D17:L39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C-FID-style" showColumnStripes="0" showFirstColumn="1" showLastColumn="1" showRowStripes="1"/>
</table>
</file>

<file path=xl/tables/table5.xml><?xml version="1.0" encoding="utf-8"?>
<table xmlns="http://schemas.openxmlformats.org/spreadsheetml/2006/main" headerRowCount="0" ref="D40:H48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GC-FID-style 2" showColumnStripes="0" showFirstColumn="1" showLastColumn="1" showRowStripes="1"/>
</table>
</file>

<file path=xl/tables/table6.xml><?xml version="1.0" encoding="utf-8"?>
<table xmlns="http://schemas.openxmlformats.org/spreadsheetml/2006/main" headerRowCount="0" ref="D49:H54" displayName="Table_5" name="Table_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GC-FID-style 3" showColumnStripes="0" showFirstColumn="1" showLastColumn="1" showRowStripes="1"/>
</table>
</file>

<file path=xl/tables/table7.xml><?xml version="1.0" encoding="utf-8"?>
<table xmlns="http://schemas.openxmlformats.org/spreadsheetml/2006/main" headerRowCount="0" ref="D55:H63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GC-FID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3Wq84eEGAML_cJ2WAvg1SiRfeQHYh4F/view?usp=drivesdk" TargetMode="External"/><Relationship Id="rId2" Type="http://schemas.openxmlformats.org/officeDocument/2006/relationships/hyperlink" Target="https://drive.google.com/file/d/1fNmCb1en7iEqUtKoB7d0bDv7RW4Wb5HC/view?usp=drivesdk" TargetMode="External"/><Relationship Id="rId3" Type="http://schemas.openxmlformats.org/officeDocument/2006/relationships/hyperlink" Target="https://drive.google.com/file/d/1xIZgW6zqK4QK220PwLOMa1TCo2rqyefN/view?usp=drivesdk" TargetMode="External"/><Relationship Id="rId4" Type="http://schemas.openxmlformats.org/officeDocument/2006/relationships/hyperlink" Target="https://drive.google.com/file/d/1gsmso5lws4njxwYzaH4gqv8A_pj0woaD/view?usp=drivesdk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file/d/1jIziFdUeycqHguSGINsbst-b4X0N4urB/view?usp=drivesdk" TargetMode="External"/><Relationship Id="rId6" Type="http://schemas.openxmlformats.org/officeDocument/2006/relationships/hyperlink" Target="https://drive.google.com/file/d/1d33UQqpy93u3uYf_kB_bwp24A0g07lPW/view?usp=drivesdk" TargetMode="External"/><Relationship Id="rId7" Type="http://schemas.openxmlformats.org/officeDocument/2006/relationships/hyperlink" Target="https://drive.google.com/file/d/14uFk-hsJf63XZ_DyLUqf6cNg5KInyzjS/view?usp=drivesdk" TargetMode="External"/><Relationship Id="rId8" Type="http://schemas.openxmlformats.org/officeDocument/2006/relationships/hyperlink" Target="https://drive.google.com/file/d/1X9NhmzJiMke9g2uVZroxZZLqrTSBz4Eu/view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M5cmc6il8KMDpSkDUz3kglKO-JV-wNi/view?usp=drivesdk" TargetMode="External"/><Relationship Id="rId2" Type="http://schemas.openxmlformats.org/officeDocument/2006/relationships/hyperlink" Target="https://drive.google.com/file/d/1S1T6_mGlvJJdVIAit4pprfv3LxmjSMWn/view?usp=drivesdk" TargetMode="External"/><Relationship Id="rId3" Type="http://schemas.openxmlformats.org/officeDocument/2006/relationships/hyperlink" Target="https://drive.google.com/file/d/1Z8pLrjTgOkJCu5FwYY6EoIfdbY-9SEWm/view?usp=drivesdk" TargetMode="External"/><Relationship Id="rId4" Type="http://schemas.openxmlformats.org/officeDocument/2006/relationships/hyperlink" Target="https://drive.google.com/file/d/1_J3w2KBjCnTUSpCEHxL2dyjJW19D8pyK/view?usp=drivesdk" TargetMode="External"/><Relationship Id="rId5" Type="http://schemas.openxmlformats.org/officeDocument/2006/relationships/hyperlink" Target="https://drive.google.com/file/d/17_hli0vi4KzTK8xNPmFiOqo4-6DKOZaS/view?usp=drivesdk" TargetMode="External"/><Relationship Id="rId6" Type="http://schemas.openxmlformats.org/officeDocument/2006/relationships/hyperlink" Target="https://drive.google.com/file/d/1ouHjvFXCe_JugbMGkcH1TRCjtdnw0B-W/view?usp=drivesdk" TargetMode="External"/><Relationship Id="rId7" Type="http://schemas.openxmlformats.org/officeDocument/2006/relationships/hyperlink" Target="https://drive.google.com/file/d/1N7TycLYkagmRjLZJn4Dag_O6E6vPZcYQ/view?usp=drivesdk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gjzUUyiFNNVGEw4u4e4-vFrnovJKPBV/view?usp=drivesdk" TargetMode="External"/><Relationship Id="rId2" Type="http://schemas.openxmlformats.org/officeDocument/2006/relationships/hyperlink" Target="https://drive.google.com/file/d/1az1dqMf8Z9wkDk1tfCI0lXptSGLh8GxF/view?usp=drivesdk" TargetMode="External"/><Relationship Id="rId3" Type="http://schemas.openxmlformats.org/officeDocument/2006/relationships/hyperlink" Target="https://drive.google.com/file/d/1_HtZ58MDGsSfsIjaoCkjO7P3I_7sc0iH/view?usp=drivesdk" TargetMode="External"/><Relationship Id="rId4" Type="http://schemas.openxmlformats.org/officeDocument/2006/relationships/hyperlink" Target="https://drive.google.com/file/d/1_lkezOOvx2TrYkdLPU3hmeMJDAkn8iw2/view?usp=drivesdk" TargetMode="External"/><Relationship Id="rId11" Type="http://schemas.openxmlformats.org/officeDocument/2006/relationships/table" Target="../tables/table2.xml"/><Relationship Id="rId9" Type="http://schemas.openxmlformats.org/officeDocument/2006/relationships/drawing" Target="../drawings/drawing8.xml"/><Relationship Id="rId5" Type="http://schemas.openxmlformats.org/officeDocument/2006/relationships/hyperlink" Target="https://drive.google.com/file/d/1p_7d7Ep0UDGgGJIR32PN2KG_kC5EV934/view?usp=drivesdk" TargetMode="External"/><Relationship Id="rId6" Type="http://schemas.openxmlformats.org/officeDocument/2006/relationships/hyperlink" Target="https://drive.google.com/file/d/1Zv721vZXAzVEpZ1RDg4c_Jd7DHyqBdZD/view?usp=drivesdk" TargetMode="External"/><Relationship Id="rId7" Type="http://schemas.openxmlformats.org/officeDocument/2006/relationships/hyperlink" Target="https://drive.google.com/file/d/1mCeHwdA4aWtwlbWPRRoe8jQ66fGqH2rS/view?usp=drivesdk" TargetMode="External"/><Relationship Id="rId8" Type="http://schemas.openxmlformats.org/officeDocument/2006/relationships/hyperlink" Target="https://drive.google.com/file/d/11LC2kVe_labbfvLlBwFEWVDJNB9cx_kd/view?usp=drivesd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qJsS7Dh2Uvv9YyFslfT_ehCTDxp9J3O/view?usp=drivesdk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CAxmB5Y2TkcVhQf03UHQ3nl104pe2ph/view?usp=drivesdk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M9po5ZwdyrPXRQxsno2qdndXPeyCE5W/view?usp=drivesdk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_REV0hn2OS6CfwHaLKDopwTW8vtEOx1s/view?usp=drivesdk" TargetMode="External"/><Relationship Id="rId22" Type="http://schemas.openxmlformats.org/officeDocument/2006/relationships/hyperlink" Target="https://drive.google.com/file/d/1eOcViftL4I9OUANbnZ_1NadcchR3Xtcc/view?usp=drivesdk" TargetMode="External"/><Relationship Id="rId21" Type="http://schemas.openxmlformats.org/officeDocument/2006/relationships/hyperlink" Target="https://drive.google.com/file/d/1kGc-qh8RxpVi7e50Tat5TX_4F-MD35yX/view?usp=drivesdk" TargetMode="External"/><Relationship Id="rId24" Type="http://schemas.openxmlformats.org/officeDocument/2006/relationships/hyperlink" Target="https://drive.google.com/file/d/1pGQ__eSCxKLBcmVq2hyVgvNSXFYav3ds/view?usp=drivesdk" TargetMode="External"/><Relationship Id="rId23" Type="http://schemas.openxmlformats.org/officeDocument/2006/relationships/hyperlink" Target="https://drive.google.com/file/d/1EK2XEnuOsQPy_qjqUM_hYIp9HdEef1vu/view?usp=drivesdk" TargetMode="External"/><Relationship Id="rId1" Type="http://schemas.openxmlformats.org/officeDocument/2006/relationships/hyperlink" Target="https://drive.google.com/file/d/1YQu1FuyLYYFpQ5tlbxyPx2PVPInH-Ye8/view?usp=drivesdk" TargetMode="External"/><Relationship Id="rId2" Type="http://schemas.openxmlformats.org/officeDocument/2006/relationships/hyperlink" Target="https://drive.google.com/file/d/1_ApHqvZC52h7o3wXMli_sun_ConK9Huw/view?usp=drivesdk" TargetMode="External"/><Relationship Id="rId3" Type="http://schemas.openxmlformats.org/officeDocument/2006/relationships/hyperlink" Target="https://drive.google.com/file/d/1P9V0ZfzjrEUe4ja4Az1Tcbu5SuLJ3t26/view?usp=drivesdk" TargetMode="External"/><Relationship Id="rId4" Type="http://schemas.openxmlformats.org/officeDocument/2006/relationships/hyperlink" Target="https://drive.google.com/file/d/1gDuKlRNUq1dpYf_z2PlFvdkuI_bL_dZu/view?usp=drivesdk" TargetMode="External"/><Relationship Id="rId9" Type="http://schemas.openxmlformats.org/officeDocument/2006/relationships/hyperlink" Target="https://drive.google.com/file/d/13AB7gKofGw4LOMgQxOt4ayOHpOO82PJo/view?usp=drivesdk" TargetMode="External"/><Relationship Id="rId26" Type="http://schemas.openxmlformats.org/officeDocument/2006/relationships/hyperlink" Target="https://drive.google.com/file/d/1PZtXDTDohq41_OA0xOl5PwEoChGerC1z/view?usp=drivesdk" TargetMode="External"/><Relationship Id="rId25" Type="http://schemas.openxmlformats.org/officeDocument/2006/relationships/hyperlink" Target="https://drive.google.com/file/d/1Qr16cQnvXb8W5g4PB_J7x_yrAlPXhOPR/view?usp=drivesdk" TargetMode="External"/><Relationship Id="rId28" Type="http://schemas.openxmlformats.org/officeDocument/2006/relationships/hyperlink" Target="https://drive.google.com/file/d/12pS2Talcs6P4Ij_S-5oEtG8QaV32r-t-/view?usp=drivesdk" TargetMode="External"/><Relationship Id="rId27" Type="http://schemas.openxmlformats.org/officeDocument/2006/relationships/hyperlink" Target="https://drive.google.com/file/d/1PcEP5LjYY3S1zKbCF-pbxruzZQciiETK/view?usp=drivesdk" TargetMode="External"/><Relationship Id="rId5" Type="http://schemas.openxmlformats.org/officeDocument/2006/relationships/hyperlink" Target="https://drive.google.com/file/d/1RiuTuwmzo6O7qQAcJd-UKR7Doz5pAEiA/view?usp=drivesdk" TargetMode="External"/><Relationship Id="rId6" Type="http://schemas.openxmlformats.org/officeDocument/2006/relationships/hyperlink" Target="https://drive.google.com/file/d/1YpE_i7Xo0aCEM7AauGKKeFcbalRV8ZV5/view?usp=drivesdk" TargetMode="External"/><Relationship Id="rId29" Type="http://schemas.openxmlformats.org/officeDocument/2006/relationships/hyperlink" Target="https://drive.google.com/file/d/1feIBsqmQwQ6803_PZ7NkE3pqI4ifwzFN/view?usp=drivesdk" TargetMode="External"/><Relationship Id="rId7" Type="http://schemas.openxmlformats.org/officeDocument/2006/relationships/hyperlink" Target="https://drive.google.com/file/d/1htjZ1ZPf32I0KYns4PbS2upqYFeo3ZrO/view?usp=drivesdk" TargetMode="External"/><Relationship Id="rId8" Type="http://schemas.openxmlformats.org/officeDocument/2006/relationships/hyperlink" Target="https://drive.google.com/file/d/1OSur_85z0JFkxMOOnZUm9iqq6CTw32h4/view?usp=drivesdk" TargetMode="External"/><Relationship Id="rId31" Type="http://schemas.openxmlformats.org/officeDocument/2006/relationships/hyperlink" Target="https://drive.google.com/file/d/1AuZ9IcUmFvnw1gdgmCjbXcQTnQ9srxWn/view?usp=drivesdk" TargetMode="External"/><Relationship Id="rId30" Type="http://schemas.openxmlformats.org/officeDocument/2006/relationships/hyperlink" Target="https://drive.google.com/file/d/1Y3o3UkkkV-ErdF-GfQIT7nQITnzz6PIJ/view?usp=drivesdk" TargetMode="External"/><Relationship Id="rId11" Type="http://schemas.openxmlformats.org/officeDocument/2006/relationships/hyperlink" Target="https://drive.google.com/file/d/1mOiD4tWDsk9iCOri7zP9xQkpA8VmKO-f/view?usp=drivesdk" TargetMode="External"/><Relationship Id="rId33" Type="http://schemas.openxmlformats.org/officeDocument/2006/relationships/hyperlink" Target="https://drive.google.com/file/d/1UdJP3U5qISpyKIySPdrB3AoPdoIApUdR/view?usp=drivesdk" TargetMode="External"/><Relationship Id="rId10" Type="http://schemas.openxmlformats.org/officeDocument/2006/relationships/hyperlink" Target="https://drive.google.com/file/d/16tH3cYjHPEUh7qYRPP7JHlD54KSDE2xi/view?usp=drivesdk" TargetMode="External"/><Relationship Id="rId32" Type="http://schemas.openxmlformats.org/officeDocument/2006/relationships/hyperlink" Target="https://drive.google.com/file/d/10xjOq8alyqZZOqkf4_jTZHtwx5N4raIA/view?usp=drivesdk" TargetMode="External"/><Relationship Id="rId13" Type="http://schemas.openxmlformats.org/officeDocument/2006/relationships/hyperlink" Target="https://drive.google.com/file/d/1xY-cDVLs87E-6eESqwuXvKDXC7V2j3bq/view?usp=drivesdk" TargetMode="External"/><Relationship Id="rId12" Type="http://schemas.openxmlformats.org/officeDocument/2006/relationships/hyperlink" Target="https://drive.google.com/file/d/1ErZTPYI2lyPJx1aPcy67Tw45LPAsAt95/view?usp=drivesdk" TargetMode="External"/><Relationship Id="rId34" Type="http://schemas.openxmlformats.org/officeDocument/2006/relationships/drawing" Target="../drawings/drawing13.xml"/><Relationship Id="rId15" Type="http://schemas.openxmlformats.org/officeDocument/2006/relationships/hyperlink" Target="https://drive.google.com/file/d/1S4RT8KtLq3Plu4UKMkk70X37ZbFr7epw/view?usp=drivesdk" TargetMode="External"/><Relationship Id="rId14" Type="http://schemas.openxmlformats.org/officeDocument/2006/relationships/hyperlink" Target="https://drive.google.com/file/d/1H_COBmdEIwPWHe9j2iwNsLLOa8OLqWY1/view?usp=drivesdk" TargetMode="External"/><Relationship Id="rId36" Type="http://schemas.openxmlformats.org/officeDocument/2006/relationships/table" Target="../tables/table3.xml"/><Relationship Id="rId17" Type="http://schemas.openxmlformats.org/officeDocument/2006/relationships/hyperlink" Target="https://drive.google.com/file/d/1ofHlEOZPKxmskCi7xIS1-udo9GIkY9V4/view?usp=drivesdk" TargetMode="External"/><Relationship Id="rId16" Type="http://schemas.openxmlformats.org/officeDocument/2006/relationships/hyperlink" Target="https://drive.google.com/file/d/1UenJrawKMtox-ofjff6S604owWZ1B56t/view?usp=drivesdk" TargetMode="External"/><Relationship Id="rId19" Type="http://schemas.openxmlformats.org/officeDocument/2006/relationships/hyperlink" Target="https://drive.google.com/file/d/1-EZo-L_qnh9wIxwtlQzhG1T7LadeDfEY/view?usp=drivesdk" TargetMode="External"/><Relationship Id="rId18" Type="http://schemas.openxmlformats.org/officeDocument/2006/relationships/hyperlink" Target="https://drive.google.com/file/d/1AnqqmrYH1TH1md8DI44BvdJr64MTIvV5/view?usp=drivesd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9ycJSfv8Z-SxF3rvfl_Ya58G8K0mLw3/view?usp=drivesdk" TargetMode="External"/><Relationship Id="rId2" Type="http://schemas.openxmlformats.org/officeDocument/2006/relationships/hyperlink" Target="https://drive.google.com/file/d/1RlcjiwkHSLO6JtweNzRMoByhbT4ZYUo1/view?usp=drivesdk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bVfvCIC04pMfgxsGH9mTrMtHXWSpxvi/view?usp=drivesdk" TargetMode="External"/><Relationship Id="rId2" Type="http://schemas.openxmlformats.org/officeDocument/2006/relationships/hyperlink" Target="https://drive.google.com/file/d/1nRppHkhST7e6KZAvFt7j6Riq2BCuSnVA/view?usp=drivesdk" TargetMode="External"/><Relationship Id="rId3" Type="http://schemas.openxmlformats.org/officeDocument/2006/relationships/hyperlink" Target="https://drive.google.com/file/d/1TBNdzBu31Mu4P4IoZwDHXkWGR7ANmAm8/view?usp=drivesdk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rb3L_04ewOpn1EEnYejZV_wBX1BKYqT/view?usp=drivesd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ZnS9PLNPOaQDWGRsKAPDmssbsnP0fI4/view?usp=drivesdk" TargetMode="External"/><Relationship Id="rId2" Type="http://schemas.openxmlformats.org/officeDocument/2006/relationships/hyperlink" Target="https://drive.google.com/file/d/11dsMBcxL8YYVdz7e29_p0u5Z1jOC8b7W/view?usp=drivesdk" TargetMode="External"/><Relationship Id="rId3" Type="http://schemas.openxmlformats.org/officeDocument/2006/relationships/hyperlink" Target="https://drive.google.com/file/d/1hXls0OV4DjT3C0087-U9yZNP-7S0zT7k/view?usp=drivesdk" TargetMode="External"/><Relationship Id="rId4" Type="http://schemas.openxmlformats.org/officeDocument/2006/relationships/hyperlink" Target="https://drive.google.com/file/d/1PfTAYPtreqJJi2AKjl5pKT7k-71CPuCc/view?usp=drivesdk" TargetMode="External"/><Relationship Id="rId9" Type="http://schemas.openxmlformats.org/officeDocument/2006/relationships/hyperlink" Target="https://drive.google.com/file/d/1JT4ZR74lbj7d2SRzQuUQL6gikqkIO53V/view?usp=drivesdk" TargetMode="External"/><Relationship Id="rId5" Type="http://schemas.openxmlformats.org/officeDocument/2006/relationships/hyperlink" Target="https://drive.google.com/file/d/1sBEvDe_imTAAr-XZlHY_VxRZWgwVOsLq/view?usp=drivesdk" TargetMode="External"/><Relationship Id="rId6" Type="http://schemas.openxmlformats.org/officeDocument/2006/relationships/hyperlink" Target="https://drive.google.com/file/d/1N6btOJR8wLDPfRl3iZXL0BxAuOyQG6Qi/view?usp=drivesdk" TargetMode="External"/><Relationship Id="rId7" Type="http://schemas.openxmlformats.org/officeDocument/2006/relationships/hyperlink" Target="https://drive.google.com/file/d/16CHL8vrDb4xhFB1LhCcxmnQEf-MZVB57/view?usp=drivesdk" TargetMode="External"/><Relationship Id="rId8" Type="http://schemas.openxmlformats.org/officeDocument/2006/relationships/hyperlink" Target="https://drive.google.com/file/d/1licsAdnbpWyvndb1p0vgcffEIOHljjnu/view?usp=drivesdk" TargetMode="External"/><Relationship Id="rId11" Type="http://schemas.openxmlformats.org/officeDocument/2006/relationships/hyperlink" Target="https://drive.google.com/file/d/1LOGlyaNkDgANPFb540B-NeaNsOiwoJmi/view?usp=drivesdk" TargetMode="External"/><Relationship Id="rId10" Type="http://schemas.openxmlformats.org/officeDocument/2006/relationships/hyperlink" Target="https://drive.google.com/file/d/1sdyA4fRnN2tmPDuJd-lPpugMqTnvBgp-/view?usp=drivesdk" TargetMode="External"/><Relationship Id="rId13" Type="http://schemas.openxmlformats.org/officeDocument/2006/relationships/hyperlink" Target="https://drive.google.com/file/d/1KTo_2Yspl8puhSl2ej82RXfQIaFOpJPB/view?usp=drivesdk" TargetMode="External"/><Relationship Id="rId12" Type="http://schemas.openxmlformats.org/officeDocument/2006/relationships/hyperlink" Target="https://drive.google.com/file/d/13oNGplBHbPYSaGOeZF-PUl59zWHL45mL/view?usp=drivesdk" TargetMode="External"/><Relationship Id="rId15" Type="http://schemas.openxmlformats.org/officeDocument/2006/relationships/hyperlink" Target="https://drive.google.com/file/d/1wcONXcA_09HdxADGB4SOs7ju5EuFb144/view?usp=drivesdk" TargetMode="External"/><Relationship Id="rId14" Type="http://schemas.openxmlformats.org/officeDocument/2006/relationships/hyperlink" Target="https://drive.google.com/file/d/1kqT8dinvyKXJHun0NUYQAsNTvrdcjasq/view?usp=drivesdk" TargetMode="External"/><Relationship Id="rId17" Type="http://schemas.openxmlformats.org/officeDocument/2006/relationships/hyperlink" Target="https://drive.google.com/file/d/1BHOc3INyjU0vxX_RfnmpW-o7tlHHXXye/view?usp=drivesdk" TargetMode="External"/><Relationship Id="rId16" Type="http://schemas.openxmlformats.org/officeDocument/2006/relationships/hyperlink" Target="https://drive.google.com/file/d/1koEN29xHJkiirGeo2CEd6ygs1IY5Gblu/view?usp=drivesdk" TargetMode="External"/><Relationship Id="rId19" Type="http://schemas.openxmlformats.org/officeDocument/2006/relationships/drawing" Target="../drawings/drawing18.xml"/><Relationship Id="rId18" Type="http://schemas.openxmlformats.org/officeDocument/2006/relationships/hyperlink" Target="https://drive.google.com/file/d/1CFDtNGIFcXYJVPu0Zn_J_oSq-uBNsmlX/view?usp=drivesdk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45YVYm2KGq_fWJ5EGsdnKgehWRlZJ1k/view?usp=drivesdk" TargetMode="External"/><Relationship Id="rId84" Type="http://schemas.openxmlformats.org/officeDocument/2006/relationships/table" Target="../tables/table5.xml"/><Relationship Id="rId83" Type="http://schemas.openxmlformats.org/officeDocument/2006/relationships/table" Target="../tables/table4.xml"/><Relationship Id="rId42" Type="http://schemas.openxmlformats.org/officeDocument/2006/relationships/hyperlink" Target="https://drive.google.com/file/d/11VWVeOMNrRIzqKD0VaxPJfbYL9LQSfFC/view?usp=drivesdk" TargetMode="External"/><Relationship Id="rId86" Type="http://schemas.openxmlformats.org/officeDocument/2006/relationships/table" Target="../tables/table7.xml"/><Relationship Id="rId41" Type="http://schemas.openxmlformats.org/officeDocument/2006/relationships/hyperlink" Target="https://drive.google.com/file/d/19G5Ff4MzghVUOF-nrDNIHz-wfk_gKZGR/view?usp=drivesdk" TargetMode="External"/><Relationship Id="rId85" Type="http://schemas.openxmlformats.org/officeDocument/2006/relationships/table" Target="../tables/table6.xml"/><Relationship Id="rId44" Type="http://schemas.openxmlformats.org/officeDocument/2006/relationships/hyperlink" Target="https://drive.google.com/file/d/1PxBkyUmVax3TeR50D57UexHc35M6O7tp/view?usp=drivesdk" TargetMode="External"/><Relationship Id="rId43" Type="http://schemas.openxmlformats.org/officeDocument/2006/relationships/hyperlink" Target="https://drive.google.com/file/d/1kH95HXwHX4LM5XoP1-5SMBgVnvETL-jr/view?usp=drivesdk" TargetMode="External"/><Relationship Id="rId46" Type="http://schemas.openxmlformats.org/officeDocument/2006/relationships/hyperlink" Target="https://drive.google.com/file/d/1lYn76jsbqAG7l5wmnRpuJa5BJknc74Sr/view?usp=drivesdk" TargetMode="External"/><Relationship Id="rId45" Type="http://schemas.openxmlformats.org/officeDocument/2006/relationships/hyperlink" Target="https://drive.google.com/file/d/1EZHqFwVbuhaHdhj7QaKOz8Ro5rC_XgaF/view?usp=drivesdk" TargetMode="External"/><Relationship Id="rId1" Type="http://schemas.openxmlformats.org/officeDocument/2006/relationships/hyperlink" Target="https://drive.google.com/file/d/1m2rySq1-9nQMyri71YopIWXKWNVfPgIO/view?usp=drivesdk" TargetMode="External"/><Relationship Id="rId2" Type="http://schemas.openxmlformats.org/officeDocument/2006/relationships/hyperlink" Target="https://drive.google.com/file/d/1YqMxMmY8-cbTE8Fn9zxLQR6RnlyrxFJA/view?usp=drivesdk" TargetMode="External"/><Relationship Id="rId3" Type="http://schemas.openxmlformats.org/officeDocument/2006/relationships/hyperlink" Target="https://drive.google.com/file/d/1WpPt6RN2cMxtZH-R4NrLhJuN_PTlirNR/view?usp=drivesdk" TargetMode="External"/><Relationship Id="rId4" Type="http://schemas.openxmlformats.org/officeDocument/2006/relationships/hyperlink" Target="https://drive.google.com/file/d/1o4bm9z-rKYopG8uwlNhCrVNI1_1bC7Xp/view?usp=drivesdk" TargetMode="External"/><Relationship Id="rId9" Type="http://schemas.openxmlformats.org/officeDocument/2006/relationships/hyperlink" Target="https://drive.google.com/file/d/1y1xN1A4Wpwfu3ihlOJ-ZxLO4LGOSeHsS/view?usp=drivesdk" TargetMode="External"/><Relationship Id="rId48" Type="http://schemas.openxmlformats.org/officeDocument/2006/relationships/hyperlink" Target="https://drive.google.com/file/d/1sl-SO6MZJg9RgRY8nbmr_h8U-x6gQek3/view?usp=drivesdk" TargetMode="External"/><Relationship Id="rId47" Type="http://schemas.openxmlformats.org/officeDocument/2006/relationships/hyperlink" Target="https://drive.google.com/file/d/1mUEpB_WHg-_DhcsXQavTRYFhmGecAqcY/view?usp=drivesdk" TargetMode="External"/><Relationship Id="rId49" Type="http://schemas.openxmlformats.org/officeDocument/2006/relationships/hyperlink" Target="https://drive.google.com/file/d/1nDMpqjcU_fQRiHw5lSzpQX4lhOzJ-QLx/view?usp=drivesdk" TargetMode="External"/><Relationship Id="rId5" Type="http://schemas.openxmlformats.org/officeDocument/2006/relationships/hyperlink" Target="https://drive.google.com/file/d/1bmhhulBCJFkhkPhwHVwmfaE0AfZLCXvP/view?usp=drivesdk" TargetMode="External"/><Relationship Id="rId6" Type="http://schemas.openxmlformats.org/officeDocument/2006/relationships/hyperlink" Target="https://drive.google.com/file/d/1-wy2FjC5sv_HV3Mx_JOcCEw3Z6Sn63vx/view?usp=drivesdk" TargetMode="External"/><Relationship Id="rId7" Type="http://schemas.openxmlformats.org/officeDocument/2006/relationships/hyperlink" Target="https://drive.google.com/file/d/1KcfE49nuZS9w3GVk89RoDrUPGwxeLqdq/view?usp=drivesdk" TargetMode="External"/><Relationship Id="rId8" Type="http://schemas.openxmlformats.org/officeDocument/2006/relationships/hyperlink" Target="https://drive.google.com/file/d/1EwuDpmx-RcFyCO-hPtErisl_7tSTXexq/view?usp=drivesdk" TargetMode="External"/><Relationship Id="rId73" Type="http://schemas.openxmlformats.org/officeDocument/2006/relationships/hyperlink" Target="https://drive.google.com/file/d/1s7BHEUQJTxUhNsx8G1iQDA5Kd9B8ERAq/view?usp=drivesdk" TargetMode="External"/><Relationship Id="rId72" Type="http://schemas.openxmlformats.org/officeDocument/2006/relationships/hyperlink" Target="https://drive.google.com/file/d/1AH6N_s1IwZiK6-L0rZ-Pj_6mfewZuSSH/view?usp=drivesdk" TargetMode="External"/><Relationship Id="rId31" Type="http://schemas.openxmlformats.org/officeDocument/2006/relationships/hyperlink" Target="https://drive.google.com/file/d/19QGFn9iJGeY3Jvl-yN3xav2v1aRfLVoQ/view?usp=drivesdk" TargetMode="External"/><Relationship Id="rId75" Type="http://schemas.openxmlformats.org/officeDocument/2006/relationships/hyperlink" Target="https://drive.google.com/file/d/1YUtcQLLGcSWPU4C89Fe4m7d5fkMXcRUl/view?usp=drivesdk" TargetMode="External"/><Relationship Id="rId30" Type="http://schemas.openxmlformats.org/officeDocument/2006/relationships/hyperlink" Target="https://drive.google.com/file/d/1nccbRcVp72U2qv6bAtaFBmaxHoo7NULU/view?usp=drivesdk" TargetMode="External"/><Relationship Id="rId74" Type="http://schemas.openxmlformats.org/officeDocument/2006/relationships/hyperlink" Target="https://drive.google.com/file/d/1chY6MtRhu-jD3F1QaARUEGcET7an3g5U/view?usp=drivesdk" TargetMode="External"/><Relationship Id="rId33" Type="http://schemas.openxmlformats.org/officeDocument/2006/relationships/hyperlink" Target="https://drive.google.com/file/d/1zy4j-AOmzsysgw7n-t9VkPeoPhag5YMn/view?usp=drivesdk" TargetMode="External"/><Relationship Id="rId77" Type="http://schemas.openxmlformats.org/officeDocument/2006/relationships/hyperlink" Target="https://drive.google.com/file/d/1ZHLGJCn8PJmIhuH9JkPqs6oJPk3Z9sUh/view?usp=drivesdk" TargetMode="External"/><Relationship Id="rId32" Type="http://schemas.openxmlformats.org/officeDocument/2006/relationships/hyperlink" Target="https://drive.google.com/file/d/1Q54XXDpdRcZ_erprehXqefkmD7lWjS81/view?usp=drivesdk" TargetMode="External"/><Relationship Id="rId76" Type="http://schemas.openxmlformats.org/officeDocument/2006/relationships/hyperlink" Target="https://drive.google.com/file/d/1HaIolMsxvzPOIvyodsI0GP20GAi3K16q/view?usp=drivesdk" TargetMode="External"/><Relationship Id="rId35" Type="http://schemas.openxmlformats.org/officeDocument/2006/relationships/hyperlink" Target="https://drive.google.com/file/d/1nExAMJlksoWWfezkQBvdmqRXwa8wO-uf/view?usp=drivesdk" TargetMode="External"/><Relationship Id="rId34" Type="http://schemas.openxmlformats.org/officeDocument/2006/relationships/hyperlink" Target="https://drive.google.com/file/d/1901SScCOoa56VqTRZf6ZgXVAETqX4sdk/view?usp=drivesdk" TargetMode="External"/><Relationship Id="rId78" Type="http://schemas.openxmlformats.org/officeDocument/2006/relationships/drawing" Target="../drawings/drawing19.xml"/><Relationship Id="rId71" Type="http://schemas.openxmlformats.org/officeDocument/2006/relationships/hyperlink" Target="https://drive.google.com/file/d/1GshpPM4loF1W_zpFN9xtsHn9Lcb7TtwX/view?usp=drivesdk" TargetMode="External"/><Relationship Id="rId70" Type="http://schemas.openxmlformats.org/officeDocument/2006/relationships/hyperlink" Target="https://drive.google.com/file/d/1SiAEPy6sbbQrZ0MqeZAqJpLkpHObipUu/view?usp=drivesdk" TargetMode="External"/><Relationship Id="rId37" Type="http://schemas.openxmlformats.org/officeDocument/2006/relationships/hyperlink" Target="https://drive.google.com/file/d/1taXOMzptrgWJ6cCH-ydFLkiqfjm5tBAi/view?usp=drivesdk" TargetMode="External"/><Relationship Id="rId36" Type="http://schemas.openxmlformats.org/officeDocument/2006/relationships/hyperlink" Target="https://drive.google.com/file/d/15_6zJAL6_pqYP9ajJ8R0HcKkB1iclAVs/view?usp=drivesdk" TargetMode="External"/><Relationship Id="rId39" Type="http://schemas.openxmlformats.org/officeDocument/2006/relationships/hyperlink" Target="https://drive.google.com/file/d/1mFgR82e63q21Vj0ZuhdYwpfZgrA8tmcX/view?usp=drivesdk" TargetMode="External"/><Relationship Id="rId38" Type="http://schemas.openxmlformats.org/officeDocument/2006/relationships/hyperlink" Target="https://drive.google.com/file/d/1R_17JrE1swVvE4jUfcS0cspXgjLVHtuT/view?usp=drivesdk" TargetMode="External"/><Relationship Id="rId62" Type="http://schemas.openxmlformats.org/officeDocument/2006/relationships/hyperlink" Target="https://drive.google.com/file/d/1qzCFgU_8vHE7vE3BLNlc1fU1XLhMaYLD/view?usp=drivesdk" TargetMode="External"/><Relationship Id="rId61" Type="http://schemas.openxmlformats.org/officeDocument/2006/relationships/hyperlink" Target="https://drive.google.com/file/d/1Og7GYOsvdqR21jZlPorrenjgom1-JlAn/view?usp=drivesdk" TargetMode="External"/><Relationship Id="rId20" Type="http://schemas.openxmlformats.org/officeDocument/2006/relationships/hyperlink" Target="https://drive.google.com/file/d/1nM8kOtA8O5M2x4vVPRefXRrll9VQcgzo/view?usp=drivesdk" TargetMode="External"/><Relationship Id="rId64" Type="http://schemas.openxmlformats.org/officeDocument/2006/relationships/hyperlink" Target="https://drive.google.com/file/d/19t0NJwSlZk1z3q7AXEvTX1rlw1UNc9M9/view?usp=drivesdk" TargetMode="External"/><Relationship Id="rId63" Type="http://schemas.openxmlformats.org/officeDocument/2006/relationships/hyperlink" Target="https://drive.google.com/file/d/1XbGK2UH-WTeA9oxpX7gudiIlrUYk9wOU/view?usp=drivesdk" TargetMode="External"/><Relationship Id="rId22" Type="http://schemas.openxmlformats.org/officeDocument/2006/relationships/hyperlink" Target="https://drive.google.com/file/d/1O9gSc17UhUjajlUxdqfT-S-tcMXc7TRS/view?usp=drivesdk" TargetMode="External"/><Relationship Id="rId66" Type="http://schemas.openxmlformats.org/officeDocument/2006/relationships/hyperlink" Target="https://drive.google.com/file/d/16yBirKO8N-RxOyLiwbXGyH_pVve4Cf03/view?usp=drivesdk" TargetMode="External"/><Relationship Id="rId21" Type="http://schemas.openxmlformats.org/officeDocument/2006/relationships/hyperlink" Target="https://drive.google.com/file/d/16bdqrhiSukCo0L1eCqQomZUwXzp1EVS-/view?usp=drivesdk" TargetMode="External"/><Relationship Id="rId65" Type="http://schemas.openxmlformats.org/officeDocument/2006/relationships/hyperlink" Target="https://drive.google.com/file/d/1lTE3KRZselNy9i6vyoYBJx2AFUb2eSHk/view?usp=drivesdk" TargetMode="External"/><Relationship Id="rId24" Type="http://schemas.openxmlformats.org/officeDocument/2006/relationships/hyperlink" Target="https://drive.google.com/file/d/1DXu8l-S9kje15PxyBIDBoJqsysgtRhne/view?usp=drivesdk" TargetMode="External"/><Relationship Id="rId68" Type="http://schemas.openxmlformats.org/officeDocument/2006/relationships/hyperlink" Target="https://drive.google.com/file/d/1_qvmeqw5tUQi39rERUuPCT33RHe6Vo39/view?usp=drivesdk" TargetMode="External"/><Relationship Id="rId23" Type="http://schemas.openxmlformats.org/officeDocument/2006/relationships/hyperlink" Target="https://drive.google.com/file/d/12YCv5tqMntVhewBJG8tzbQqD8gjSLK13/view?usp=drivesdk" TargetMode="External"/><Relationship Id="rId67" Type="http://schemas.openxmlformats.org/officeDocument/2006/relationships/hyperlink" Target="https://drive.google.com/file/d/1qNyrU2co3GzZ0QhxdICn94hLtBn-ZlWd/view?usp=drivesdk" TargetMode="External"/><Relationship Id="rId60" Type="http://schemas.openxmlformats.org/officeDocument/2006/relationships/hyperlink" Target="https://drive.google.com/file/d/1RJ0vKf7N63ZVYnZyax8-Y_yOEFkSV25T/view?usp=drivesdk" TargetMode="External"/><Relationship Id="rId26" Type="http://schemas.openxmlformats.org/officeDocument/2006/relationships/hyperlink" Target="https://drive.google.com/file/d/1LpSBvogH5BQMrU6OZ1VCMgyR-IAT1zIf/view?usp=drivesdk" TargetMode="External"/><Relationship Id="rId25" Type="http://schemas.openxmlformats.org/officeDocument/2006/relationships/hyperlink" Target="https://drive.google.com/file/d/1ISSAO3eiuvwDkDnvWi_iSAxkd0i5ugS_/view?usp=drivesdk" TargetMode="External"/><Relationship Id="rId69" Type="http://schemas.openxmlformats.org/officeDocument/2006/relationships/hyperlink" Target="https://drive.google.com/file/d/1balHz6qKbhwFiReIenfItwyjmlq9Cq7_/view?usp=drivesdk" TargetMode="External"/><Relationship Id="rId28" Type="http://schemas.openxmlformats.org/officeDocument/2006/relationships/hyperlink" Target="https://drive.google.com/file/d/1oyB8dgZbnYjZhFNUQe7j5CnXpps5eGuE/view?usp=drivesdk" TargetMode="External"/><Relationship Id="rId27" Type="http://schemas.openxmlformats.org/officeDocument/2006/relationships/hyperlink" Target="https://drive.google.com/file/d/162a4YTcuB9tMi8y8WoT3V_DQS3x17XLl/view?usp=drivesdk" TargetMode="External"/><Relationship Id="rId29" Type="http://schemas.openxmlformats.org/officeDocument/2006/relationships/hyperlink" Target="https://drive.google.com/file/d/11SrLctOIz7xNPhIfU4TGMHTbZ4Grxo6V/view?usp=drivesdk" TargetMode="External"/><Relationship Id="rId51" Type="http://schemas.openxmlformats.org/officeDocument/2006/relationships/hyperlink" Target="https://drive.google.com/file/d/1AtEbek0sSJFtYqJpTVlEhw4EC7_KYtq9/view?usp=drivesdk" TargetMode="External"/><Relationship Id="rId50" Type="http://schemas.openxmlformats.org/officeDocument/2006/relationships/hyperlink" Target="https://drive.google.com/file/d/1XSRZ0WREM_bEHhi2SLTL4oQiqp9XHsO8/view?usp=drivesdk" TargetMode="External"/><Relationship Id="rId53" Type="http://schemas.openxmlformats.org/officeDocument/2006/relationships/hyperlink" Target="https://drive.google.com/file/d/1b6a-_3VZ_AQ26zWg1FaSuzpe9HKy9eU6/view?usp=drivesdk" TargetMode="External"/><Relationship Id="rId52" Type="http://schemas.openxmlformats.org/officeDocument/2006/relationships/hyperlink" Target="https://drive.google.com/file/d/1fcaon6SAjnOEDwejVwioXnEwbNhFZotV/view?usp=drivesdk" TargetMode="External"/><Relationship Id="rId11" Type="http://schemas.openxmlformats.org/officeDocument/2006/relationships/hyperlink" Target="https://drive.google.com/file/d/1mVGgW7NoVPFGIHVywgCs_D3uR0D5mpMY/view?usp=drivesdk" TargetMode="External"/><Relationship Id="rId55" Type="http://schemas.openxmlformats.org/officeDocument/2006/relationships/hyperlink" Target="https://drive.google.com/file/d/15KCI_0ezleLzR88vu-d26TR-YaVr8MLW/view?usp=drivesdk" TargetMode="External"/><Relationship Id="rId10" Type="http://schemas.openxmlformats.org/officeDocument/2006/relationships/hyperlink" Target="https://drive.google.com/file/d/1ecI7HHxHcQ1X0ZLsyLOrXvoyzOFU6-QI/view?usp=drivesdk" TargetMode="External"/><Relationship Id="rId54" Type="http://schemas.openxmlformats.org/officeDocument/2006/relationships/hyperlink" Target="https://drive.google.com/file/d/1FSukRsEg8HYsa2_JoTgIc9ZpFN4JnKhh/view?usp=drivesdk" TargetMode="External"/><Relationship Id="rId13" Type="http://schemas.openxmlformats.org/officeDocument/2006/relationships/hyperlink" Target="https://drive.google.com/file/d/1jnWQsFZ4TSZ-CCUKxpfXMsIS3bH50Uep/view?usp=drivesdk" TargetMode="External"/><Relationship Id="rId57" Type="http://schemas.openxmlformats.org/officeDocument/2006/relationships/hyperlink" Target="https://drive.google.com/file/d/1gJ7vC-Q7cEmv3NY2U1Kzem8qddZ6O3Ev/view?usp=drivesdk" TargetMode="External"/><Relationship Id="rId12" Type="http://schemas.openxmlformats.org/officeDocument/2006/relationships/hyperlink" Target="https://drive.google.com/file/d/1rL42hNhq2reDmqdkh-dUvDjUQuqRF6Zx/view?usp=drivesdk" TargetMode="External"/><Relationship Id="rId56" Type="http://schemas.openxmlformats.org/officeDocument/2006/relationships/hyperlink" Target="https://drive.google.com/file/d/1F2NNuP6xTb2YOLn1OseJdCAkR-ZITFUy/view?usp=drivesdk" TargetMode="External"/><Relationship Id="rId15" Type="http://schemas.openxmlformats.org/officeDocument/2006/relationships/hyperlink" Target="https://drive.google.com/file/d/1CkTRrWDCWh34SvWCmnr_K1_9k_9o2mMN/view?usp=drivesdk" TargetMode="External"/><Relationship Id="rId59" Type="http://schemas.openxmlformats.org/officeDocument/2006/relationships/hyperlink" Target="https://drive.google.com/file/d/1GSqtObn_P35XZRmjONjAh-YrUzzgvt_z/view?usp=drivesdk" TargetMode="External"/><Relationship Id="rId14" Type="http://schemas.openxmlformats.org/officeDocument/2006/relationships/hyperlink" Target="https://drive.google.com/file/d/1fdd-4gHp-o4om5SAmEGHXIz1PTosO7vu/view?usp=drivesdk" TargetMode="External"/><Relationship Id="rId58" Type="http://schemas.openxmlformats.org/officeDocument/2006/relationships/hyperlink" Target="https://drive.google.com/file/d/1OSMepCywNnnE_OaJd0FCtJB62LMG1yvt/view?usp=drivesdk" TargetMode="External"/><Relationship Id="rId17" Type="http://schemas.openxmlformats.org/officeDocument/2006/relationships/hyperlink" Target="https://drive.google.com/file/d/1wmDtI2G2sR6a1xKx9msJlSD7cI3G8Agu/view?usp=drivesdk" TargetMode="External"/><Relationship Id="rId16" Type="http://schemas.openxmlformats.org/officeDocument/2006/relationships/hyperlink" Target="https://drive.google.com/file/d/1HnoNYxrQIte-ywj4uU__TFHAUAZLzr2m/view?usp=drivesdk" TargetMode="External"/><Relationship Id="rId19" Type="http://schemas.openxmlformats.org/officeDocument/2006/relationships/hyperlink" Target="https://drive.google.com/file/d/1-AROhlRHjzIii4IjzmzRbWg10XJlpLp0/view?usp=drivesdk" TargetMode="External"/><Relationship Id="rId18" Type="http://schemas.openxmlformats.org/officeDocument/2006/relationships/hyperlink" Target="https://drive.google.com/file/d/1Yc4KURsHgUz3JITFHVXpUBFl5PW6uhv_/view?usp=drivesd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SyQZ7gq1qKagzuJoQ_qL9lyZ1yhOkcz/view?usp=drivesdk" TargetMode="External"/><Relationship Id="rId2" Type="http://schemas.openxmlformats.org/officeDocument/2006/relationships/hyperlink" Target="https://drive.google.com/file/d/1oQTZsvvRNXL3CY2f2KeNAjpfi3x47_Rb/view?usp=drivesdk" TargetMode="External"/><Relationship Id="rId3" Type="http://schemas.openxmlformats.org/officeDocument/2006/relationships/hyperlink" Target="https://drive.google.com/file/d/1SMMY4lZkFFCc60UM2oBYWMz3m_szlYri/view?usp=drivesdk" TargetMode="External"/><Relationship Id="rId4" Type="http://schemas.openxmlformats.org/officeDocument/2006/relationships/hyperlink" Target="https://drive.google.com/file/d/11AmyJf8EsdLB0hJWHUTMjcCJdObTGQrc/view?usp=drivesdk" TargetMode="External"/><Relationship Id="rId9" Type="http://schemas.openxmlformats.org/officeDocument/2006/relationships/hyperlink" Target="https://drive.google.com/file/d/1qsgt8Zsytci5H7MMigAia7BrtD3piEVW/view?usp=drivesdk" TargetMode="External"/><Relationship Id="rId5" Type="http://schemas.openxmlformats.org/officeDocument/2006/relationships/hyperlink" Target="https://drive.google.com/file/d/1k1EWn95GKYYGKpAiNzDS52BlcbJFgi9L/view?usp=drivesdk" TargetMode="External"/><Relationship Id="rId6" Type="http://schemas.openxmlformats.org/officeDocument/2006/relationships/hyperlink" Target="https://drive.google.com/file/d/1A2qy6UkFnczIHkG5BPNw4ePbVk8aSJCd/view?usp=drivesdk" TargetMode="External"/><Relationship Id="rId7" Type="http://schemas.openxmlformats.org/officeDocument/2006/relationships/hyperlink" Target="https://drive.google.com/file/d/1dxFzK_lR3F-Vy-9-9iTupsMfZo59tW_0/view?usp=drivesdk" TargetMode="External"/><Relationship Id="rId8" Type="http://schemas.openxmlformats.org/officeDocument/2006/relationships/hyperlink" Target="https://drive.google.com/file/d/1QP7Dyxdf3loycVBXVkop06HJVK-pQcQ9/view?usp=drivesdk" TargetMode="External"/><Relationship Id="rId10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dGSs_WL0tueA6gqFBSESfsxAkRo5eE4/view?usp=drivesdk" TargetMode="External"/><Relationship Id="rId42" Type="http://schemas.openxmlformats.org/officeDocument/2006/relationships/hyperlink" Target="https://drive.google.com/file/d/1rM6qreuzoFS3cm0vT68dCquaFwvlyQjK/view?usp=drivesdk" TargetMode="External"/><Relationship Id="rId41" Type="http://schemas.openxmlformats.org/officeDocument/2006/relationships/hyperlink" Target="https://drive.google.com/file/d/1mpN3JRRroRGcbthCskm4VdCIDEINrz2-/view?usp=drivesdk" TargetMode="External"/><Relationship Id="rId44" Type="http://schemas.openxmlformats.org/officeDocument/2006/relationships/hyperlink" Target="https://drive.google.com/file/d/1_Nn9NeYuQe00li8M4uunWrcJAU_3wu8v/view?usp=drivesdk" TargetMode="External"/><Relationship Id="rId43" Type="http://schemas.openxmlformats.org/officeDocument/2006/relationships/hyperlink" Target="https://drive.google.com/file/d/1NNh2W49LEintvQgQrXeiG1XOFXxPTfr4/view?usp=drivesdk" TargetMode="External"/><Relationship Id="rId46" Type="http://schemas.openxmlformats.org/officeDocument/2006/relationships/drawing" Target="../drawings/drawing21.xml"/><Relationship Id="rId45" Type="http://schemas.openxmlformats.org/officeDocument/2006/relationships/hyperlink" Target="https://drive.google.com/file/d/12kv3YeAdl9X1t0I2_7XU12IPwkuWAIL9/view?usp=drivesdk" TargetMode="External"/><Relationship Id="rId1" Type="http://schemas.openxmlformats.org/officeDocument/2006/relationships/hyperlink" Target="https://drive.google.com/file/d/1WlSZslAiMeFaB9Bsz-g0dd4nnjZhV_6p/view?usp=drivesdk" TargetMode="External"/><Relationship Id="rId2" Type="http://schemas.openxmlformats.org/officeDocument/2006/relationships/hyperlink" Target="https://drive.google.com/file/d/1ncR57gNe3Lnu2C_FP4Da4miIhVhW68I5/view?usp=drivesdk" TargetMode="External"/><Relationship Id="rId3" Type="http://schemas.openxmlformats.org/officeDocument/2006/relationships/hyperlink" Target="https://drive.google.com/file/d/1mCYewurGbIpY07YmrteHXMzx28WlYkDo/view?usp=drivesdk" TargetMode="External"/><Relationship Id="rId4" Type="http://schemas.openxmlformats.org/officeDocument/2006/relationships/hyperlink" Target="https://drive.google.com/file/d/1kg1G_eM3Tirvi-eD8nNaT6_hrfyyxNL6/view?usp=drivesdk" TargetMode="External"/><Relationship Id="rId9" Type="http://schemas.openxmlformats.org/officeDocument/2006/relationships/hyperlink" Target="https://drive.google.com/file/d/1S6cNBHs1LBl7dHKr4clc5sixBHAxhfrH/view?usp=drivesdk" TargetMode="External"/><Relationship Id="rId5" Type="http://schemas.openxmlformats.org/officeDocument/2006/relationships/hyperlink" Target="https://drive.google.com/file/d/1ozpIXNgzWwUrkdntH_c4OxvsBVBvenjB/view?usp=drivesdk" TargetMode="External"/><Relationship Id="rId6" Type="http://schemas.openxmlformats.org/officeDocument/2006/relationships/hyperlink" Target="https://drive.google.com/file/d/1uvVgX-oQWtnQm1Tlw8Rh7FwUvfz3FlXx/view?usp=drivesdk" TargetMode="External"/><Relationship Id="rId7" Type="http://schemas.openxmlformats.org/officeDocument/2006/relationships/hyperlink" Target="https://drive.google.com/file/d/1bO8HeZZBubngW1pQ9EyhtaosbYFJrvl-/view?usp=drivesdk" TargetMode="External"/><Relationship Id="rId8" Type="http://schemas.openxmlformats.org/officeDocument/2006/relationships/hyperlink" Target="https://drive.google.com/file/d/1gQSa2EpmY16qdn5Sa9bToUYQmyLz6xCM/view?usp=drivesdk" TargetMode="External"/><Relationship Id="rId31" Type="http://schemas.openxmlformats.org/officeDocument/2006/relationships/hyperlink" Target="https://drive.google.com/file/d/1InqrReDkhGXDzNpSN_alLvdJNRTZANmA/view?usp=drivesdk" TargetMode="External"/><Relationship Id="rId30" Type="http://schemas.openxmlformats.org/officeDocument/2006/relationships/hyperlink" Target="https://drive.google.com/file/d/1nUGw6fO75iYCT0pGYHvKGhZHEX-51NRx/view?usp=drivesdk" TargetMode="External"/><Relationship Id="rId33" Type="http://schemas.openxmlformats.org/officeDocument/2006/relationships/hyperlink" Target="https://drive.google.com/file/d/1x3WInapxYXdCGBHHcb6kn9rOuWJitM_h/view?usp=drivesdk" TargetMode="External"/><Relationship Id="rId32" Type="http://schemas.openxmlformats.org/officeDocument/2006/relationships/hyperlink" Target="https://drive.google.com/file/d/1W-zUHF17njNaLuH-k2BPtulz0GV3P-kf/view?usp=drivesdk" TargetMode="External"/><Relationship Id="rId35" Type="http://schemas.openxmlformats.org/officeDocument/2006/relationships/hyperlink" Target="https://drive.google.com/file/d/10CLJoQgFWph7PFOxFgxfz66wFXpoBLGv/view?usp=drivesdk" TargetMode="External"/><Relationship Id="rId34" Type="http://schemas.openxmlformats.org/officeDocument/2006/relationships/hyperlink" Target="https://drive.google.com/file/d/13Tjn4q3q9LRND0QHnbE78UEd9L6_iXr7/view?usp=drivesdk" TargetMode="External"/><Relationship Id="rId37" Type="http://schemas.openxmlformats.org/officeDocument/2006/relationships/hyperlink" Target="https://drive.google.com/file/d/13KQpPhMxI74Ae6zkN-YqXQR6TBToxr7K/view?usp=drivesdk" TargetMode="External"/><Relationship Id="rId36" Type="http://schemas.openxmlformats.org/officeDocument/2006/relationships/hyperlink" Target="https://drive.google.com/file/d/1MqijRUA783Yu46vZG0Ux8-lB2PO7rzLc/view?usp=drivesdk" TargetMode="External"/><Relationship Id="rId39" Type="http://schemas.openxmlformats.org/officeDocument/2006/relationships/hyperlink" Target="https://drive.google.com/file/d/1dqbb4bfbSWV2oD_Y-WvItnF0WbhEIGTr/view?usp=drivesdk" TargetMode="External"/><Relationship Id="rId38" Type="http://schemas.openxmlformats.org/officeDocument/2006/relationships/hyperlink" Target="https://drive.google.com/file/d/16MaKB_GhB3ZuLTv5zrfFruUgPAkeNNgz/view?usp=drivesdk" TargetMode="External"/><Relationship Id="rId20" Type="http://schemas.openxmlformats.org/officeDocument/2006/relationships/hyperlink" Target="https://drive.google.com/file/d/12HHm7isD8_CLfs7vJVAyDnxb14LHCme1/view?usp=drivesdk" TargetMode="External"/><Relationship Id="rId22" Type="http://schemas.openxmlformats.org/officeDocument/2006/relationships/hyperlink" Target="https://drive.google.com/file/d/14vkdJT_DsAiHLG0puz0o2u2CMCXJ0mvG/view?usp=drivesdk" TargetMode="External"/><Relationship Id="rId21" Type="http://schemas.openxmlformats.org/officeDocument/2006/relationships/hyperlink" Target="https://drive.google.com/file/d/1iIAJZ4HhFb188Awh9gVX5-Pwyt6SFPKK/view?usp=drivesdk" TargetMode="External"/><Relationship Id="rId24" Type="http://schemas.openxmlformats.org/officeDocument/2006/relationships/hyperlink" Target="https://drive.google.com/file/d/1Iufuz7z5zFcr9lywhBSSICOcNrdzGYYA/view?usp=drivesdk" TargetMode="External"/><Relationship Id="rId23" Type="http://schemas.openxmlformats.org/officeDocument/2006/relationships/hyperlink" Target="https://drive.google.com/file/d/1XxQ-9_HXN3L29QPyDYOGV3HD2OP7oiHa/view?usp=drivesdk" TargetMode="External"/><Relationship Id="rId26" Type="http://schemas.openxmlformats.org/officeDocument/2006/relationships/hyperlink" Target="https://drive.google.com/file/d/1DUZ9Cx_-2C4sdfGOggmCZx2ogHbdlLaB/view?usp=drivesdk" TargetMode="External"/><Relationship Id="rId25" Type="http://schemas.openxmlformats.org/officeDocument/2006/relationships/hyperlink" Target="https://drive.google.com/file/d/1qN9qcBx5HLNbTBmo1SDYxSvYGgm3MajT/view?usp=drivesdk" TargetMode="External"/><Relationship Id="rId28" Type="http://schemas.openxmlformats.org/officeDocument/2006/relationships/hyperlink" Target="https://drive.google.com/file/d/1qFGH5t93zGOxAqoAXask6uY9Jh9QWwpu/view?usp=drivesdk" TargetMode="External"/><Relationship Id="rId27" Type="http://schemas.openxmlformats.org/officeDocument/2006/relationships/hyperlink" Target="https://drive.google.com/file/d/1sz1uKpNSAgM4YTzSw29USsHmbZ7URmtp/view?usp=drivesdk" TargetMode="External"/><Relationship Id="rId29" Type="http://schemas.openxmlformats.org/officeDocument/2006/relationships/hyperlink" Target="https://drive.google.com/file/d/1UfcDfz6DXl7oTROpLmnEVCiSfvQYtxbG/view?usp=drivesdk" TargetMode="External"/><Relationship Id="rId11" Type="http://schemas.openxmlformats.org/officeDocument/2006/relationships/hyperlink" Target="https://drive.google.com/file/d/1wZQjy-19s6TD4x7WzuOyW3QVoFjlwU5o/view?usp=drivesdk" TargetMode="External"/><Relationship Id="rId10" Type="http://schemas.openxmlformats.org/officeDocument/2006/relationships/hyperlink" Target="https://drive.google.com/file/d/16p2NrbxbGbkYsRS7yWMMOwmhSSNzaeRh/view?usp=drivesdk" TargetMode="External"/><Relationship Id="rId13" Type="http://schemas.openxmlformats.org/officeDocument/2006/relationships/hyperlink" Target="https://drive.google.com/file/d/1gmJR-z_oCPTOlEY3gcWpoZAS0bnrpe1p/view?usp=drivesdk" TargetMode="External"/><Relationship Id="rId12" Type="http://schemas.openxmlformats.org/officeDocument/2006/relationships/hyperlink" Target="https://drive.google.com/file/d/1OfNAiqqQuUS7JiXl8QZUlD-XcQqfkaKl/view?usp=drivesdk" TargetMode="External"/><Relationship Id="rId15" Type="http://schemas.openxmlformats.org/officeDocument/2006/relationships/hyperlink" Target="https://drive.google.com/file/d/11klDD80MZuvHBcgCikfZ7vlTiUUqvtFI/view?usp=drivesdk" TargetMode="External"/><Relationship Id="rId14" Type="http://schemas.openxmlformats.org/officeDocument/2006/relationships/hyperlink" Target="https://drive.google.com/file/d/1VcfFacrCL46sJR9aX5Yoj1ZJyrQqZiUT/view?usp=drivesdk" TargetMode="External"/><Relationship Id="rId17" Type="http://schemas.openxmlformats.org/officeDocument/2006/relationships/hyperlink" Target="https://drive.google.com/file/d/17jRfNYpxsXoVqjQN5OB16b6IbXyo4LKo/view?usp=drivesdk" TargetMode="External"/><Relationship Id="rId16" Type="http://schemas.openxmlformats.org/officeDocument/2006/relationships/hyperlink" Target="https://drive.google.com/file/d/1X1YlwsphnBKth7sLKPoEwr-BGut89SFs/view?usp=drivesdk" TargetMode="External"/><Relationship Id="rId19" Type="http://schemas.openxmlformats.org/officeDocument/2006/relationships/hyperlink" Target="https://drive.google.com/file/d/10CkVdy48s8OgOvAVZDWbRyJX9WzvjSdA/view?usp=drivesdk" TargetMode="External"/><Relationship Id="rId18" Type="http://schemas.openxmlformats.org/officeDocument/2006/relationships/hyperlink" Target="https://drive.google.com/file/d/1LG-XIGzrvGqwdk32B0MkA9jDK7_Dijg9/view?usp=drivesdk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Ccsb1iE5O9U8aL8ly860yzmfV-5dMGI/view?usp=drivesdk" TargetMode="External"/><Relationship Id="rId42" Type="http://schemas.openxmlformats.org/officeDocument/2006/relationships/hyperlink" Target="https://drive.google.com/file/d/12mhkzUlt87TWffYT7dNr5Lfw7uFfQNrV/view?usp=drivesdk" TargetMode="External"/><Relationship Id="rId41" Type="http://schemas.openxmlformats.org/officeDocument/2006/relationships/hyperlink" Target="https://drive.google.com/file/d/1xmmCuMAYv4DP5yTgNp8TnapgN032GsNe/view?usp=drivesdk" TargetMode="External"/><Relationship Id="rId44" Type="http://schemas.openxmlformats.org/officeDocument/2006/relationships/hyperlink" Target="https://drive.google.com/file/d/19KQ5HkoVsVQitpjOYEQVqt7S0yR_uV5O/view?usp=drivesdk" TargetMode="External"/><Relationship Id="rId43" Type="http://schemas.openxmlformats.org/officeDocument/2006/relationships/hyperlink" Target="https://drive.google.com/file/d/1jgwudx4wJUpZgIMJn4uv8sxSwfrS34By/view?usp=drivesdk" TargetMode="External"/><Relationship Id="rId46" Type="http://schemas.openxmlformats.org/officeDocument/2006/relationships/hyperlink" Target="https://drive.google.com/file/d/1r8YnYmiehuppJa5HKunrTOa_o-8dCIq-/view?usp=drivesdk" TargetMode="External"/><Relationship Id="rId45" Type="http://schemas.openxmlformats.org/officeDocument/2006/relationships/hyperlink" Target="https://drive.google.com/file/d/19qcS0uN5lA1kG_162axZadBvw-_hWAcZ/view?usp=drivesdk" TargetMode="External"/><Relationship Id="rId107" Type="http://schemas.openxmlformats.org/officeDocument/2006/relationships/hyperlink" Target="https://drive.google.com/file/d/1Vex1qFh4-g5Xhktvd-FBctRurWTSKQeI/view?usp=drivesdk" TargetMode="External"/><Relationship Id="rId106" Type="http://schemas.openxmlformats.org/officeDocument/2006/relationships/hyperlink" Target="https://drive.google.com/file/d/1qoNbO6GEptvRjujA4cJlvCwbKT4EEz-u/view?usp=drivesdk" TargetMode="External"/><Relationship Id="rId105" Type="http://schemas.openxmlformats.org/officeDocument/2006/relationships/hyperlink" Target="https://drive.google.com/file/d/14w5JuH-poCj0uBFI1_uhMLns4D45vdYy/view?usp=drivesdk" TargetMode="External"/><Relationship Id="rId104" Type="http://schemas.openxmlformats.org/officeDocument/2006/relationships/hyperlink" Target="https://drive.google.com/file/d/1K2xlPUqxzjO6BR9GaAkUb6TDCS6TOltR/view?usp=drivesdk" TargetMode="External"/><Relationship Id="rId109" Type="http://schemas.openxmlformats.org/officeDocument/2006/relationships/hyperlink" Target="https://drive.google.com/file/d/1v6X6-XaKDyMB49Hwtsf0urhMEUZTwNiR/view?usp=drivesdk" TargetMode="External"/><Relationship Id="rId108" Type="http://schemas.openxmlformats.org/officeDocument/2006/relationships/hyperlink" Target="https://drive.google.com/file/d/1e2W1R9BlG7TvCeqnZteV1JRWqsG9U_yv/view?usp=drivesdk" TargetMode="External"/><Relationship Id="rId48" Type="http://schemas.openxmlformats.org/officeDocument/2006/relationships/hyperlink" Target="https://drive.google.com/file/d/1zphqDjIDSe4c_SF90brNnfHpD9I9xNDV/view?usp=drivesdk" TargetMode="External"/><Relationship Id="rId47" Type="http://schemas.openxmlformats.org/officeDocument/2006/relationships/hyperlink" Target="https://drive.google.com/file/d/1qxlcupnJ60VGyoJBXvpE9hutH0epA74X/view?usp=drivesdk" TargetMode="External"/><Relationship Id="rId49" Type="http://schemas.openxmlformats.org/officeDocument/2006/relationships/hyperlink" Target="https://drive.google.com/file/d/1SZoGJMlXMNPxOw9G-H6FXmaV6Tr4g7KJ/view?usp=drivesdk" TargetMode="External"/><Relationship Id="rId103" Type="http://schemas.openxmlformats.org/officeDocument/2006/relationships/hyperlink" Target="https://drive.google.com/file/d/1pI5dvLHLu5rSfZ7d7ZnOuqECPnjDgTPU/view?usp=drivesdk" TargetMode="External"/><Relationship Id="rId102" Type="http://schemas.openxmlformats.org/officeDocument/2006/relationships/hyperlink" Target="https://drive.google.com/file/d/1ELZhfEJbEPB4Rc3P9E5BczCQjp869_Qj/view?usp=drivesdk" TargetMode="External"/><Relationship Id="rId101" Type="http://schemas.openxmlformats.org/officeDocument/2006/relationships/hyperlink" Target="https://drive.google.com/file/d/1vCOr8QOyeZZMZiW-57-lMwk9prZ-RVF-/view?usp=drivesdk" TargetMode="External"/><Relationship Id="rId100" Type="http://schemas.openxmlformats.org/officeDocument/2006/relationships/hyperlink" Target="https://drive.google.com/file/d/1VL1TKandXJM925W70tNT6LWuaBp8jTJ5/view?usp=drivesdk" TargetMode="External"/><Relationship Id="rId31" Type="http://schemas.openxmlformats.org/officeDocument/2006/relationships/hyperlink" Target="https://drive.google.com/file/d/1YTsxJ1Vmp7_EXUEL2qA9KyDpfnD-28U3/view?usp=drivesdk" TargetMode="External"/><Relationship Id="rId30" Type="http://schemas.openxmlformats.org/officeDocument/2006/relationships/hyperlink" Target="https://drive.google.com/file/d/1PiYJuXNkVxY2F3BtYfPWNEbHwvzG5gm5/view?usp=drivesdk" TargetMode="External"/><Relationship Id="rId33" Type="http://schemas.openxmlformats.org/officeDocument/2006/relationships/hyperlink" Target="https://drive.google.com/file/d/1Qf1v064RxEHC5_pEExDZBXTdllile1O1/view?usp=drivesdk" TargetMode="External"/><Relationship Id="rId32" Type="http://schemas.openxmlformats.org/officeDocument/2006/relationships/hyperlink" Target="https://drive.google.com/file/d/1Wg51AUUixJjeqWcBkRmNDy38kX-CXbcr/view?usp=drivesdk" TargetMode="External"/><Relationship Id="rId35" Type="http://schemas.openxmlformats.org/officeDocument/2006/relationships/hyperlink" Target="https://drive.google.com/file/d/16oyY752jkUEJ3O-i4gU6iGjrzr15iTAB/view?usp=drivesdk" TargetMode="External"/><Relationship Id="rId34" Type="http://schemas.openxmlformats.org/officeDocument/2006/relationships/hyperlink" Target="https://drive.google.com/file/d/1w26qtQyHweEjhdGS-umLsvNuNj4eqnD5/view?usp=drivesdk" TargetMode="External"/><Relationship Id="rId37" Type="http://schemas.openxmlformats.org/officeDocument/2006/relationships/hyperlink" Target="https://drive.google.com/file/d/19OkqhorYVRjpGqbo5vHQHhR4AVWLZeK-/view?usp=drivesdk" TargetMode="External"/><Relationship Id="rId36" Type="http://schemas.openxmlformats.org/officeDocument/2006/relationships/hyperlink" Target="https://drive.google.com/file/d/1A1Sdz3v4L3lE2533QN-45drJw4dbrwXX/view?usp=drivesdk" TargetMode="External"/><Relationship Id="rId39" Type="http://schemas.openxmlformats.org/officeDocument/2006/relationships/hyperlink" Target="https://drive.google.com/file/d/19RZuEpSU8FWnwG1FLH47fJqn7JNzFZuG/view?usp=drivesdk" TargetMode="External"/><Relationship Id="rId38" Type="http://schemas.openxmlformats.org/officeDocument/2006/relationships/hyperlink" Target="https://drive.google.com/file/d/1HNJjXLHX6G3lv8AybQunklzUiit9NkuH/view?usp=drivesdk" TargetMode="External"/><Relationship Id="rId20" Type="http://schemas.openxmlformats.org/officeDocument/2006/relationships/hyperlink" Target="https://drive.google.com/file/d/1BQorZxfGCXq4m7JCgW7nIC_pCN8tarLu/view?usp=drivesdk" TargetMode="External"/><Relationship Id="rId22" Type="http://schemas.openxmlformats.org/officeDocument/2006/relationships/hyperlink" Target="https://drive.google.com/file/d/1KTRzU0UzVIjUPbGga5_PtVwGUMref_GP/view?usp=drivesdk" TargetMode="External"/><Relationship Id="rId21" Type="http://schemas.openxmlformats.org/officeDocument/2006/relationships/hyperlink" Target="https://drive.google.com/file/d/1Zc-kg93wfE8krmH6Qjo0Sx3PsmOy9OKS/view?usp=drivesdk" TargetMode="External"/><Relationship Id="rId24" Type="http://schemas.openxmlformats.org/officeDocument/2006/relationships/hyperlink" Target="https://drive.google.com/file/d/1srcyVNK0O4Yekgv4mxQw7pN7Hu4BD_oE/view?usp=drivesdk" TargetMode="External"/><Relationship Id="rId23" Type="http://schemas.openxmlformats.org/officeDocument/2006/relationships/hyperlink" Target="https://drive.google.com/file/d/18cYVhK7HbLwLX14LnbzeLhwtxsr9raaY/view?usp=drivesdk" TargetMode="External"/><Relationship Id="rId129" Type="http://schemas.openxmlformats.org/officeDocument/2006/relationships/hyperlink" Target="https://drive.google.com/file/d/1217gmrrnl9fKFYNw-UHmndYGs9RjRlUj/view?usp=drivesdk" TargetMode="External"/><Relationship Id="rId128" Type="http://schemas.openxmlformats.org/officeDocument/2006/relationships/hyperlink" Target="https://drive.google.com/file/d/1HbIzCTGB91qa9hIv4CNRksYq1qVhrxWm/view?usp=drivesdk" TargetMode="External"/><Relationship Id="rId127" Type="http://schemas.openxmlformats.org/officeDocument/2006/relationships/hyperlink" Target="https://drive.google.com/file/d/1W5fd8gxCrktWon3mwvUiSjMhg7ij1Ooe/view?usp=drivesdk" TargetMode="External"/><Relationship Id="rId126" Type="http://schemas.openxmlformats.org/officeDocument/2006/relationships/hyperlink" Target="https://drive.google.com/file/d/1lKcMfetoYJlVdYpHcCCuK3cEskwXqInR/view?usp=drivesdk" TargetMode="External"/><Relationship Id="rId26" Type="http://schemas.openxmlformats.org/officeDocument/2006/relationships/hyperlink" Target="https://drive.google.com/file/d/1GYYvyeWDTkc751ptHwB_L2vkjy9adwPK/view?usp=drivesdk" TargetMode="External"/><Relationship Id="rId121" Type="http://schemas.openxmlformats.org/officeDocument/2006/relationships/hyperlink" Target="https://drive.google.com/file/d/1eziSkfOZyAHONqNmVNZzUyQj1VeHzKe7/view?usp=drivesdk" TargetMode="External"/><Relationship Id="rId25" Type="http://schemas.openxmlformats.org/officeDocument/2006/relationships/hyperlink" Target="https://drive.google.com/file/d/1SMG9fngGMAl6lgLzBE2IBmgvGxMe2Shh/view?usp=drivesdk" TargetMode="External"/><Relationship Id="rId120" Type="http://schemas.openxmlformats.org/officeDocument/2006/relationships/hyperlink" Target="https://drive.google.com/file/d/17zIbOjpGWKU5e-EctOxNQ7hhmGAMMX4z/view?usp=drivesdk" TargetMode="External"/><Relationship Id="rId28" Type="http://schemas.openxmlformats.org/officeDocument/2006/relationships/hyperlink" Target="https://drive.google.com/file/d/1hb3RxMGUmb5kVSfSCFEmt1f8dCihpiGZ/view?usp=drivesdk" TargetMode="External"/><Relationship Id="rId27" Type="http://schemas.openxmlformats.org/officeDocument/2006/relationships/hyperlink" Target="https://drive.google.com/file/d/1Hmq8nxhjVjrMm9rgyEUVe2RfifdP3W8g/view?usp=drivesdk" TargetMode="External"/><Relationship Id="rId125" Type="http://schemas.openxmlformats.org/officeDocument/2006/relationships/hyperlink" Target="https://drive.google.com/file/d/1iry96pejknw92QU5Y70udw2UbyQKI8gf/view?usp=drivesdk" TargetMode="External"/><Relationship Id="rId29" Type="http://schemas.openxmlformats.org/officeDocument/2006/relationships/hyperlink" Target="https://drive.google.com/file/d/1y5QwigTUrSP1vIYUGNuSdRkRJXfTTIhI/view?usp=drivesdk" TargetMode="External"/><Relationship Id="rId124" Type="http://schemas.openxmlformats.org/officeDocument/2006/relationships/hyperlink" Target="https://drive.google.com/file/d/12RA7KOXfF17CA-olPqo1Mc77dS0qaZdZ/view?usp=drivesdk" TargetMode="External"/><Relationship Id="rId123" Type="http://schemas.openxmlformats.org/officeDocument/2006/relationships/hyperlink" Target="https://drive.google.com/file/d/1gqZWmtBXRnsGYsRHgvZtL8BhqKuaS81R/view?usp=drivesdk" TargetMode="External"/><Relationship Id="rId122" Type="http://schemas.openxmlformats.org/officeDocument/2006/relationships/hyperlink" Target="http://m.sc/" TargetMode="External"/><Relationship Id="rId95" Type="http://schemas.openxmlformats.org/officeDocument/2006/relationships/hyperlink" Target="https://drive.google.com/file/d/1Ogt6GSXUxovq7JpyTnQYeelFPhT0OSWJ/view?usp=drivesdk" TargetMode="External"/><Relationship Id="rId94" Type="http://schemas.openxmlformats.org/officeDocument/2006/relationships/hyperlink" Target="https://drive.google.com/file/d/1BCZH-ugdC3G2pHP2V0Wivo9BC3D3BgBi/view?usp=drivesdk" TargetMode="External"/><Relationship Id="rId97" Type="http://schemas.openxmlformats.org/officeDocument/2006/relationships/hyperlink" Target="https://drive.google.com/file/d/1MHQg1jeMHrwC21VESBXf8l9MUFvq86hT/view?usp=drivesdk" TargetMode="External"/><Relationship Id="rId96" Type="http://schemas.openxmlformats.org/officeDocument/2006/relationships/hyperlink" Target="https://drive.google.com/file/d/1w-sQt643a6kXUtbuiX0VhSChAt0ZutY3/view?usp=drivesdk" TargetMode="External"/><Relationship Id="rId11" Type="http://schemas.openxmlformats.org/officeDocument/2006/relationships/hyperlink" Target="https://drive.google.com/file/d/16b_2U48wkRoOi6OBku7Yuhj-TUlmgC2_/view?usp=drivesdk" TargetMode="External"/><Relationship Id="rId99" Type="http://schemas.openxmlformats.org/officeDocument/2006/relationships/hyperlink" Target="https://drive.google.com/file/d/18aGHYw-YkyNUR1KP_Ez7IcKlGP_AQDCA/view?usp=drivesdk" TargetMode="External"/><Relationship Id="rId10" Type="http://schemas.openxmlformats.org/officeDocument/2006/relationships/hyperlink" Target="https://drive.google.com/file/d/1hQ2lgvBdQoP374XrBp_dnfI4clLpJRyq/view?usp=drivesdk" TargetMode="External"/><Relationship Id="rId98" Type="http://schemas.openxmlformats.org/officeDocument/2006/relationships/hyperlink" Target="https://drive.google.com/file/d/1Sim_3VDB9n_kkrZ6W4DKHHaKUFNMhjnq/view?usp=drivesdk" TargetMode="External"/><Relationship Id="rId13" Type="http://schemas.openxmlformats.org/officeDocument/2006/relationships/hyperlink" Target="https://drive.google.com/file/d/1VzU4BdaY_73eJyZMUofuE_kuxowF8oqA/view?usp=drivesdk" TargetMode="External"/><Relationship Id="rId12" Type="http://schemas.openxmlformats.org/officeDocument/2006/relationships/hyperlink" Target="https://drive.google.com/file/d/1FkZy01peOdmk0z5z71l9dPUZIg712_hb/view?usp=drivesdk" TargetMode="External"/><Relationship Id="rId91" Type="http://schemas.openxmlformats.org/officeDocument/2006/relationships/hyperlink" Target="https://drive.google.com/file/d/1DSg-udFv7E-lbsyEWGHVYY-iC2DwoonG/view?usp=drivesdk" TargetMode="External"/><Relationship Id="rId90" Type="http://schemas.openxmlformats.org/officeDocument/2006/relationships/hyperlink" Target="https://drive.google.com/file/d/1FMQjId6QYkKoVXLTsTbVN2sHyQXEJ0Y3/view?usp=drivesdk" TargetMode="External"/><Relationship Id="rId93" Type="http://schemas.openxmlformats.org/officeDocument/2006/relationships/hyperlink" Target="https://drive.google.com/file/d/1VvPMwhbRXuLws5BjtcVKqIpNfuSY7Qse/view?usp=drivesdk" TargetMode="External"/><Relationship Id="rId92" Type="http://schemas.openxmlformats.org/officeDocument/2006/relationships/hyperlink" Target="https://drive.google.com/file/d/1nEMzIGWFbzJLL_lh6b0hXD3fbARTBeq3/view?usp=drivesdk" TargetMode="External"/><Relationship Id="rId118" Type="http://schemas.openxmlformats.org/officeDocument/2006/relationships/hyperlink" Target="https://drive.google.com/file/d/1Cghz1trKbC5cEVVPKj9J0tNwgHDgowVh/view?usp=drivesdk" TargetMode="External"/><Relationship Id="rId117" Type="http://schemas.openxmlformats.org/officeDocument/2006/relationships/hyperlink" Target="https://drive.google.com/file/d/1pWQsLdFA56gf4u4RkM50PBphnHv8klhY/view?usp=drivesdk" TargetMode="External"/><Relationship Id="rId116" Type="http://schemas.openxmlformats.org/officeDocument/2006/relationships/hyperlink" Target="https://drive.google.com/file/d/1sqYyVui5scXxZyphhB_qO7LQpNEf6N6f/view?usp=drivesdk" TargetMode="External"/><Relationship Id="rId115" Type="http://schemas.openxmlformats.org/officeDocument/2006/relationships/hyperlink" Target="https://drive.google.com/file/d/152CuccZK_qOSJ__1_60d_R7WxbkYFDQ2/view?usp=drivesdk" TargetMode="External"/><Relationship Id="rId119" Type="http://schemas.openxmlformats.org/officeDocument/2006/relationships/hyperlink" Target="https://drive.google.com/file/d/18jQzu-oRtteVx7hmJ38OGxdCS5aznfFB/view?usp=drivesdk" TargetMode="External"/><Relationship Id="rId15" Type="http://schemas.openxmlformats.org/officeDocument/2006/relationships/hyperlink" Target="https://drive.google.com/file/d/1IcoJ79jyZyO2ltdnf7P-CugWquus-zTl/view?usp=drivesdk" TargetMode="External"/><Relationship Id="rId110" Type="http://schemas.openxmlformats.org/officeDocument/2006/relationships/hyperlink" Target="https://drive.google.com/file/d/1_VZyJnpXyQ76qo7xuH0J2JXaBUXYo7b2/view?usp=drivesdk" TargetMode="External"/><Relationship Id="rId14" Type="http://schemas.openxmlformats.org/officeDocument/2006/relationships/hyperlink" Target="https://drive.google.com/file/d/1dzq7dMsgs9bPamHtIESSEg9sXBO9qhgT/view?usp=drivesdk" TargetMode="External"/><Relationship Id="rId17" Type="http://schemas.openxmlformats.org/officeDocument/2006/relationships/hyperlink" Target="https://drive.google.com/file/d/13yJmyOgKn7HP3i_yyosRgjrJhywL30yM/view?usp=drivesdk" TargetMode="External"/><Relationship Id="rId16" Type="http://schemas.openxmlformats.org/officeDocument/2006/relationships/hyperlink" Target="https://drive.google.com/file/d/1tlYFVA9783h3Giuk0TYUVkQFyCBSDQfH/view?usp=drivesdk" TargetMode="External"/><Relationship Id="rId19" Type="http://schemas.openxmlformats.org/officeDocument/2006/relationships/hyperlink" Target="https://drive.google.com/file/d/1qBOEBTV58QIT8XpmbKHSCkIagIz4iYRF/view?usp=drivesdk" TargetMode="External"/><Relationship Id="rId114" Type="http://schemas.openxmlformats.org/officeDocument/2006/relationships/hyperlink" Target="https://drive.google.com/file/d/17CQeDJCDb9ZXB0VWIPMXY1FauGxv_sQo/view?usp=drivesdk" TargetMode="External"/><Relationship Id="rId18" Type="http://schemas.openxmlformats.org/officeDocument/2006/relationships/hyperlink" Target="https://drive.google.com/file/d/11ez0qu2NrMAJLGR24-gCDCG5wTfuhlh7/view?usp=drivesdk" TargetMode="External"/><Relationship Id="rId113" Type="http://schemas.openxmlformats.org/officeDocument/2006/relationships/hyperlink" Target="https://drive.google.com/file/d/1qbjMiffCIiC9btuCAG4y7oVyTuhhLhQ-/view?usp=drivesdk" TargetMode="External"/><Relationship Id="rId112" Type="http://schemas.openxmlformats.org/officeDocument/2006/relationships/hyperlink" Target="https://drive.google.com/file/d/1DCar9oy89cJn-gYVHP6e5-ScbzSKqtWe/view?usp=drivesdk" TargetMode="External"/><Relationship Id="rId111" Type="http://schemas.openxmlformats.org/officeDocument/2006/relationships/hyperlink" Target="https://drive.google.com/file/d/1b1uyEkRR_1U7KQCtvE6xCjecB87BH3eG/view?usp=drivesdk" TargetMode="External"/><Relationship Id="rId84" Type="http://schemas.openxmlformats.org/officeDocument/2006/relationships/hyperlink" Target="https://drive.google.com/file/d/1vx4guOVVyb_GJQM86SJo99wHT6ur5wkX/view?usp=drivesdk" TargetMode="External"/><Relationship Id="rId83" Type="http://schemas.openxmlformats.org/officeDocument/2006/relationships/hyperlink" Target="https://drive.google.com/file/d/1r8fCfLxSSq_U0mPpBHfwt5fOnz4l-ReD/view?usp=drivesdk" TargetMode="External"/><Relationship Id="rId86" Type="http://schemas.openxmlformats.org/officeDocument/2006/relationships/hyperlink" Target="https://drive.google.com/file/d/1ubWZ1PA-kGnhynEvpUZ8VTODoh2GMimt/view?usp=drivesdk" TargetMode="External"/><Relationship Id="rId85" Type="http://schemas.openxmlformats.org/officeDocument/2006/relationships/hyperlink" Target="https://drive.google.com/file/d/1Hb5z0qM3NY1NDy43XJVIO2FQ5jPGdTjc/view?usp=drivesdk" TargetMode="External"/><Relationship Id="rId88" Type="http://schemas.openxmlformats.org/officeDocument/2006/relationships/hyperlink" Target="https://drive.google.com/file/d/1cxBrPIBnkqhnTEPWhh-QY-DSFKX6xoXZ/view?usp=drivesdk" TargetMode="External"/><Relationship Id="rId150" Type="http://schemas.openxmlformats.org/officeDocument/2006/relationships/hyperlink" Target="https://drive.google.com/file/d/1qOqRTbmz0_yp-1SdFvtpeBIJsUk5-lPO/view?usp=drivesdk" TargetMode="External"/><Relationship Id="rId87" Type="http://schemas.openxmlformats.org/officeDocument/2006/relationships/hyperlink" Target="https://drive.google.com/file/d/1kd02KfEfb2Mvvuj09Jli6uG-NiRAmnb1/view?usp=drivesdk" TargetMode="External"/><Relationship Id="rId89" Type="http://schemas.openxmlformats.org/officeDocument/2006/relationships/hyperlink" Target="https://drive.google.com/file/d/1c3Ir-_sdkoNfaBEhe-6zwkQKRnd5hPIS/view?usp=drivesdk" TargetMode="External"/><Relationship Id="rId80" Type="http://schemas.openxmlformats.org/officeDocument/2006/relationships/hyperlink" Target="https://drive.google.com/file/d/1Gd6ua88yMVM0Lz1bSt_HvsB8ts6gwnQ7/view?usp=drivesdk" TargetMode="External"/><Relationship Id="rId82" Type="http://schemas.openxmlformats.org/officeDocument/2006/relationships/hyperlink" Target="https://drive.google.com/file/d/1eL3vxtU8Coji7Rp41K30ohq5kSpUvUcX/view?usp=drivesdk" TargetMode="External"/><Relationship Id="rId81" Type="http://schemas.openxmlformats.org/officeDocument/2006/relationships/hyperlink" Target="https://drive.google.com/file/d/1HGI8L2qQlcbK7G65kgeJtOhaBEDmCOZi/view?usp=drivesdk" TargetMode="External"/><Relationship Id="rId1" Type="http://schemas.openxmlformats.org/officeDocument/2006/relationships/hyperlink" Target="https://drive.google.com/file/d/1HYGM0R2bItqjHxy1hC8uJF8ndq99gEp8/view?usp=drivesdk" TargetMode="External"/><Relationship Id="rId2" Type="http://schemas.openxmlformats.org/officeDocument/2006/relationships/hyperlink" Target="https://drive.google.com/file/d/15n1zeDBkg7XXuXTflammVmKSsJ7mDKdA/view?usp=drivesdk" TargetMode="External"/><Relationship Id="rId3" Type="http://schemas.openxmlformats.org/officeDocument/2006/relationships/hyperlink" Target="https://drive.google.com/file/d/1W1FH10uNPADp8Wm1YvD7Zi7pdgel3WRD/view?usp=drivesdk" TargetMode="External"/><Relationship Id="rId149" Type="http://schemas.openxmlformats.org/officeDocument/2006/relationships/hyperlink" Target="https://drive.google.com/file/d/1xGBtlZyJBhFy8UptoMRsq_-wPDDk_9xW/view?usp=drivesdk" TargetMode="External"/><Relationship Id="rId4" Type="http://schemas.openxmlformats.org/officeDocument/2006/relationships/hyperlink" Target="https://drive.google.com/file/d/1QKPB2tYCb8zIinM8a0l8zfREHyFJl2vt/view?usp=drivesdk" TargetMode="External"/><Relationship Id="rId148" Type="http://schemas.openxmlformats.org/officeDocument/2006/relationships/hyperlink" Target="https://drive.google.com/file/d/1DPUiAVJ8eRsJ04ep_bXqkk8qwrO_Lpei/view?usp=drivesdk" TargetMode="External"/><Relationship Id="rId9" Type="http://schemas.openxmlformats.org/officeDocument/2006/relationships/hyperlink" Target="https://drive.google.com/file/d/1L60QgJaUUcdV2faIM4fErzZJc0diVgsM/view?usp=drivesdk" TargetMode="External"/><Relationship Id="rId143" Type="http://schemas.openxmlformats.org/officeDocument/2006/relationships/hyperlink" Target="https://drive.google.com/file/d/1CyfVIC9lgj4StHdM2w3u3akRpzpYFZev/view?usp=drivesdk" TargetMode="External"/><Relationship Id="rId142" Type="http://schemas.openxmlformats.org/officeDocument/2006/relationships/hyperlink" Target="https://drive.google.com/file/d/1kSKhMZ5mnrmmDejIAH8yMpdfY8VYeUq2/view?usp=drivesdk" TargetMode="External"/><Relationship Id="rId141" Type="http://schemas.openxmlformats.org/officeDocument/2006/relationships/hyperlink" Target="https://drive.google.com/file/d/1l-AWwFEofQa0loVs28exKRIS8uagUT3R/view?usp=drivesdk" TargetMode="External"/><Relationship Id="rId140" Type="http://schemas.openxmlformats.org/officeDocument/2006/relationships/hyperlink" Target="https://drive.google.com/file/d/1jhfkBUcqBEYNpAfTs0TZchiHcAlpim_D/view?usp=drivesdk" TargetMode="External"/><Relationship Id="rId5" Type="http://schemas.openxmlformats.org/officeDocument/2006/relationships/hyperlink" Target="https://drive.google.com/file/d/1hq-6NgM6ovfvowoXPmb1p0ZJm7IcquAh/view?usp=drivesdk" TargetMode="External"/><Relationship Id="rId147" Type="http://schemas.openxmlformats.org/officeDocument/2006/relationships/hyperlink" Target="https://drive.google.com/file/d/1e8qyOZoJeXA7UpyKmncpuE3Mhuhfe0gJ/view?usp=drivesdk" TargetMode="External"/><Relationship Id="rId6" Type="http://schemas.openxmlformats.org/officeDocument/2006/relationships/hyperlink" Target="https://drive.google.com/file/d/1CCYpgZoMCOInuGLEXs_UuWNTh7-IV10I/view?usp=drivesdk" TargetMode="External"/><Relationship Id="rId146" Type="http://schemas.openxmlformats.org/officeDocument/2006/relationships/hyperlink" Target="https://drive.google.com/file/d/1hylFwp-IsH7ALynKhtHCTKj2VF6Kkmi_/view?usp=drivesdk" TargetMode="External"/><Relationship Id="rId7" Type="http://schemas.openxmlformats.org/officeDocument/2006/relationships/hyperlink" Target="https://drive.google.com/file/d/1uesOUeLmoGj2sHgYdOt9lzKSbr4nKvu4/view?usp=drivesdk" TargetMode="External"/><Relationship Id="rId145" Type="http://schemas.openxmlformats.org/officeDocument/2006/relationships/hyperlink" Target="https://drive.google.com/file/d/1NUV5Tr_l5QF1LpmOlpftyZENpVpMDDCL/view?usp=drivesdk" TargetMode="External"/><Relationship Id="rId8" Type="http://schemas.openxmlformats.org/officeDocument/2006/relationships/hyperlink" Target="https://drive.google.com/file/d/1g9E5XC3njR1VqoKS6WABj1Ttjyfjehb6/view?usp=drivesdk" TargetMode="External"/><Relationship Id="rId144" Type="http://schemas.openxmlformats.org/officeDocument/2006/relationships/hyperlink" Target="https://drive.google.com/file/d/1oZ_xDYdjgHdaVYNQ6UswPvd4AZlhrMmL/view?usp=drivesdk" TargetMode="External"/><Relationship Id="rId73" Type="http://schemas.openxmlformats.org/officeDocument/2006/relationships/hyperlink" Target="https://drive.google.com/file/d/18YhDENJBE1iuCdTEDW5fPPML-YXo9qFS/view?usp=drivesdk" TargetMode="External"/><Relationship Id="rId72" Type="http://schemas.openxmlformats.org/officeDocument/2006/relationships/hyperlink" Target="https://drive.google.com/file/d/1TCYInV7f71tSlYptuOv79tOzLBEb_Ppk/view?usp=drivesdk" TargetMode="External"/><Relationship Id="rId75" Type="http://schemas.openxmlformats.org/officeDocument/2006/relationships/hyperlink" Target="https://drive.google.com/file/d/1tXHLQIYEjTRFsWC3AqQsHc-bOKea0f9M/view?usp=drivesdk" TargetMode="External"/><Relationship Id="rId74" Type="http://schemas.openxmlformats.org/officeDocument/2006/relationships/hyperlink" Target="https://drive.google.com/file/d/1oCTJXT6b8EpyzLfEXK6qaut1q6ZAefxj/view?usp=drivesdk" TargetMode="External"/><Relationship Id="rId77" Type="http://schemas.openxmlformats.org/officeDocument/2006/relationships/hyperlink" Target="https://drive.google.com/file/d/18JJ8DZhx6M1y2Cu94V9JcTGZ93ERATQA/view?usp=drivesdk" TargetMode="External"/><Relationship Id="rId76" Type="http://schemas.openxmlformats.org/officeDocument/2006/relationships/hyperlink" Target="https://drive.google.com/file/d/1kDfV-c06GSVCQIJHz5Pthw55qpDsXCp3/view?usp=drivesdk" TargetMode="External"/><Relationship Id="rId79" Type="http://schemas.openxmlformats.org/officeDocument/2006/relationships/hyperlink" Target="https://drive.google.com/file/d/1TYTJHnv9J7gzcQSOTMjq6Sc-jiy1utvC/view?usp=drivesdk" TargetMode="External"/><Relationship Id="rId78" Type="http://schemas.openxmlformats.org/officeDocument/2006/relationships/hyperlink" Target="https://drive.google.com/file/d/1jkFVrxlsnHANp1O5NN6fVdQIv6EVl2lb/view?usp=drivesdk" TargetMode="External"/><Relationship Id="rId71" Type="http://schemas.openxmlformats.org/officeDocument/2006/relationships/hyperlink" Target="https://drive.google.com/file/d/18msaV6uE2cHRUTSWn5cT8IoKIdbnrSe0/view?usp=drivesdk" TargetMode="External"/><Relationship Id="rId70" Type="http://schemas.openxmlformats.org/officeDocument/2006/relationships/hyperlink" Target="https://drive.google.com/file/d/1509OFiTijYdTUGkKbaxDh_A19fB4BdYO/view?usp=drivesdk" TargetMode="External"/><Relationship Id="rId139" Type="http://schemas.openxmlformats.org/officeDocument/2006/relationships/hyperlink" Target="https://drive.google.com/file/d/1e4mKnssjatHQ8d1_bVyTHYPVcH-gsfxW/view?usp=drivesdk" TargetMode="External"/><Relationship Id="rId138" Type="http://schemas.openxmlformats.org/officeDocument/2006/relationships/hyperlink" Target="https://drive.google.com/file/d/1QpmvCIQrk84GatY4n3WVjvNMUuyluhe_/view?usp=drivesdk" TargetMode="External"/><Relationship Id="rId137" Type="http://schemas.openxmlformats.org/officeDocument/2006/relationships/hyperlink" Target="https://drive.google.com/file/d/1tPm-qUIZa-hkMrMTq0cV_vcRBc2h2z5c/view?usp=drivesdk" TargetMode="External"/><Relationship Id="rId132" Type="http://schemas.openxmlformats.org/officeDocument/2006/relationships/hyperlink" Target="https://drive.google.com/file/d/1gVEBhI-ioTOrY-mrlMPQvOKfTE2lX3QT/view?usp=drivesdk" TargetMode="External"/><Relationship Id="rId131" Type="http://schemas.openxmlformats.org/officeDocument/2006/relationships/hyperlink" Target="https://drive.google.com/file/d/1JjNZpNFXiTZf8bVn4kH1cZUenIQbyqHN/view?usp=drivesdk" TargetMode="External"/><Relationship Id="rId130" Type="http://schemas.openxmlformats.org/officeDocument/2006/relationships/hyperlink" Target="https://drive.google.com/file/d/1cGGrN_GD5nLRMyMuyQ0P2HCljlPvlJj7/view?usp=drivesdk" TargetMode="External"/><Relationship Id="rId136" Type="http://schemas.openxmlformats.org/officeDocument/2006/relationships/hyperlink" Target="https://drive.google.com/file/d/1XoPtNIvbQBsNbt_lc8Veuiy9n6enuinW/view?usp=drivesdk" TargetMode="External"/><Relationship Id="rId135" Type="http://schemas.openxmlformats.org/officeDocument/2006/relationships/hyperlink" Target="https://drive.google.com/file/d/1MDI7xR7pyG4ZiRZCK3XOqHspQCdXX9NL/view?usp=drivesdk" TargetMode="External"/><Relationship Id="rId134" Type="http://schemas.openxmlformats.org/officeDocument/2006/relationships/hyperlink" Target="https://drive.google.com/file/d/1C1CrXUoNjUAd29j0UKiTGrcPwSgTFNa3/view?usp=drivesdk" TargetMode="External"/><Relationship Id="rId133" Type="http://schemas.openxmlformats.org/officeDocument/2006/relationships/hyperlink" Target="https://drive.google.com/file/d/1hrq0vyT9yJk3zImz-Dki12rEx_69W7La/view?usp=drivesdk" TargetMode="External"/><Relationship Id="rId62" Type="http://schemas.openxmlformats.org/officeDocument/2006/relationships/hyperlink" Target="https://drive.google.com/file/d/1TxcjUdEUOdw5JEwk0SeLMYVlNWnhj7IQ/view?usp=drivesdk" TargetMode="External"/><Relationship Id="rId61" Type="http://schemas.openxmlformats.org/officeDocument/2006/relationships/hyperlink" Target="https://drive.google.com/file/d/1jkiE3_h_rrFJ2gTXdDINPnUBL4XYSSWF/view?usp=drivesdk" TargetMode="External"/><Relationship Id="rId64" Type="http://schemas.openxmlformats.org/officeDocument/2006/relationships/hyperlink" Target="https://drive.google.com/file/d/1BkVzKl8_oNTmNtebxO3WygCoi1jnrEnO/view?usp=drivesdk" TargetMode="External"/><Relationship Id="rId63" Type="http://schemas.openxmlformats.org/officeDocument/2006/relationships/hyperlink" Target="https://drive.google.com/file/d/16lMNcK9xnDgPoCFX1gUHmx9P2aAlY4lK/view?usp=drivesdk" TargetMode="External"/><Relationship Id="rId66" Type="http://schemas.openxmlformats.org/officeDocument/2006/relationships/hyperlink" Target="https://drive.google.com/file/d/1TEinXBn0NNl9FYpIl0s6kSXGt72-hbui/view?usp=drivesdk" TargetMode="External"/><Relationship Id="rId65" Type="http://schemas.openxmlformats.org/officeDocument/2006/relationships/hyperlink" Target="https://drive.google.com/file/d/1phcw1uEclZdJZn-lp2ZEKDne1pBOq27Y/view?usp=drivesdk" TargetMode="External"/><Relationship Id="rId68" Type="http://schemas.openxmlformats.org/officeDocument/2006/relationships/hyperlink" Target="https://drive.google.com/file/d/1lHjQq1o74EpJvyxMTRak4hpjbpxEWw-f/view?usp=drivesdk" TargetMode="External"/><Relationship Id="rId67" Type="http://schemas.openxmlformats.org/officeDocument/2006/relationships/hyperlink" Target="https://drive.google.com/file/d/1byoUKMpypeHvv5ts6tgYsY7wZXlWZMzq/view?usp=drivesdk" TargetMode="External"/><Relationship Id="rId60" Type="http://schemas.openxmlformats.org/officeDocument/2006/relationships/hyperlink" Target="https://drive.google.com/file/d/1mKzxZ3wFiwS_GcetCxAQCGCyVKKlOMtE/view?usp=drivesdk" TargetMode="External"/><Relationship Id="rId69" Type="http://schemas.openxmlformats.org/officeDocument/2006/relationships/hyperlink" Target="https://drive.google.com/file/d/1UvT091hla4yM98xq3karTDZ2GAiucgeY/view?usp=drivesdk" TargetMode="External"/><Relationship Id="rId51" Type="http://schemas.openxmlformats.org/officeDocument/2006/relationships/hyperlink" Target="https://drive.google.com/file/d/1aAELrzdHw6B1TDQ25KWXLu2FPSBM3fK8/view?usp=drivesdk" TargetMode="External"/><Relationship Id="rId50" Type="http://schemas.openxmlformats.org/officeDocument/2006/relationships/hyperlink" Target="https://drive.google.com/file/d/115eUgmNycnBSeQF8aOTJH6wlNmlAM2xj/view?usp=drivesdk" TargetMode="External"/><Relationship Id="rId53" Type="http://schemas.openxmlformats.org/officeDocument/2006/relationships/hyperlink" Target="https://drive.google.com/file/d/11yyKq9VW_JO_lP2pMSGUgH-2WoxyaWDK/view?usp=drivesdk" TargetMode="External"/><Relationship Id="rId52" Type="http://schemas.openxmlformats.org/officeDocument/2006/relationships/hyperlink" Target="https://drive.google.com/file/d/1O5cMqQn6xW1F0lmVAKI9ljd2gu-X1Mix/view?usp=drivesdk" TargetMode="External"/><Relationship Id="rId55" Type="http://schemas.openxmlformats.org/officeDocument/2006/relationships/hyperlink" Target="https://drive.google.com/file/d/13_OSIyd-CUbJZWt3o6jMwDk3xO2-j0_r/view?usp=drivesdk" TargetMode="External"/><Relationship Id="rId54" Type="http://schemas.openxmlformats.org/officeDocument/2006/relationships/hyperlink" Target="https://drive.google.com/file/d/13lVI4lUOvomajnLT74vobiCmxPxx-ceS/view?usp=drivesdk" TargetMode="External"/><Relationship Id="rId57" Type="http://schemas.openxmlformats.org/officeDocument/2006/relationships/hyperlink" Target="https://drive.google.com/file/d/1x0yPqZLyDUt0UM55iU6zYaxsIOEGBjUB/view?usp=drivesdk" TargetMode="External"/><Relationship Id="rId56" Type="http://schemas.openxmlformats.org/officeDocument/2006/relationships/hyperlink" Target="https://drive.google.com/file/d/1OUNkzRuoqCsOEteENd24CPNn4_DiNuYb/view?usp=drivesdk" TargetMode="External"/><Relationship Id="rId59" Type="http://schemas.openxmlformats.org/officeDocument/2006/relationships/hyperlink" Target="https://drive.google.com/file/d/1cHuofNxboSQAzG0kqx3l3hAhueZCXcBj/view?usp=drivesdk" TargetMode="External"/><Relationship Id="rId154" Type="http://schemas.openxmlformats.org/officeDocument/2006/relationships/drawing" Target="../drawings/drawing22.xml"/><Relationship Id="rId58" Type="http://schemas.openxmlformats.org/officeDocument/2006/relationships/hyperlink" Target="https://drive.google.com/file/d/1_yhhZN565IUtfHLbZ9LWL-vrmnT3vRvD/view?usp=drivesdk" TargetMode="External"/><Relationship Id="rId153" Type="http://schemas.openxmlformats.org/officeDocument/2006/relationships/hyperlink" Target="https://drive.google.com/file/d/1ZVhFMbr5nz-6HJQ7KXVo7i-MhbPE9yrn/view?usp=drivesdk" TargetMode="External"/><Relationship Id="rId152" Type="http://schemas.openxmlformats.org/officeDocument/2006/relationships/hyperlink" Target="https://drive.google.com/file/d/1qqCw1CG7O7tiNYmcD9vBps6eXQEylYqy/view?usp=drivesdk" TargetMode="External"/><Relationship Id="rId151" Type="http://schemas.openxmlformats.org/officeDocument/2006/relationships/hyperlink" Target="https://drive.google.com/file/d/132G6q2YxgszE9lEYHA-mhLCWqFKeS-PV/view?usp=drivesdk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GtlKfitD6dX1CBaYzzCOdVMz1zAoCic/view?usp=drivesdk" TargetMode="External"/><Relationship Id="rId42" Type="http://schemas.openxmlformats.org/officeDocument/2006/relationships/hyperlink" Target="https://drive.google.com/file/d/1Ry1jylHzTkqDNAiCiEL_zOsnK3aHNPJZ/view?usp=drivesdk" TargetMode="External"/><Relationship Id="rId41" Type="http://schemas.openxmlformats.org/officeDocument/2006/relationships/hyperlink" Target="https://drive.google.com/file/d/1F4HtNAsV5IzEFle58OpUIeL1B8oUtOXC/view?usp=drivesdk" TargetMode="External"/><Relationship Id="rId44" Type="http://schemas.openxmlformats.org/officeDocument/2006/relationships/hyperlink" Target="https://drive.google.com/file/d/1Q1ZvIZUP8I-ahDQrJ2mNaYs0U1BqGkTP/view?usp=drivesdk" TargetMode="External"/><Relationship Id="rId43" Type="http://schemas.openxmlformats.org/officeDocument/2006/relationships/hyperlink" Target="https://drive.google.com/file/d/1tM7-mn9_5qX-SPUmyJBjJg7ELLxJE4e3/view?usp=drivesdk" TargetMode="External"/><Relationship Id="rId46" Type="http://schemas.openxmlformats.org/officeDocument/2006/relationships/hyperlink" Target="https://drive.google.com/file/d/1cJNsz19nI7VBaWDl_sdGM9TvpVLq5fPY/view?usp=drivesdk" TargetMode="External"/><Relationship Id="rId45" Type="http://schemas.openxmlformats.org/officeDocument/2006/relationships/hyperlink" Target="https://drive.google.com/file/d/1bKN9TUFFlUhNx2vrtpSKJj_LIO3NtHOD/view?usp=drivesdk" TargetMode="External"/><Relationship Id="rId107" Type="http://schemas.openxmlformats.org/officeDocument/2006/relationships/hyperlink" Target="https://drive.google.com/file/d/1DEsbPI52E47rAH6gvnqR6Tr38pLgkkpH/view?usp=drivesdk" TargetMode="External"/><Relationship Id="rId106" Type="http://schemas.openxmlformats.org/officeDocument/2006/relationships/hyperlink" Target="https://drive.google.com/file/d/1_Mcu_dxGUsgYkGSI1nCz1ZHP0qpxq2az/view?usp=drivesdk" TargetMode="External"/><Relationship Id="rId105" Type="http://schemas.openxmlformats.org/officeDocument/2006/relationships/hyperlink" Target="https://drive.google.com/file/d/195YsnUZ3j7QvPok1aMjodOUcL9sho_Ru/view?usp=drivesdk" TargetMode="External"/><Relationship Id="rId104" Type="http://schemas.openxmlformats.org/officeDocument/2006/relationships/hyperlink" Target="https://drive.google.com/file/d/176-B1BEzNlgo1ZVLvFNl0zZBI93D01wK/view?usp=drivesdk" TargetMode="External"/><Relationship Id="rId109" Type="http://schemas.openxmlformats.org/officeDocument/2006/relationships/hyperlink" Target="https://drive.google.com/file/d/1WlJ_E7v6-iqVbhjLtBH4SEUb8aFCEq1P/view?usp=drivesdk" TargetMode="External"/><Relationship Id="rId108" Type="http://schemas.openxmlformats.org/officeDocument/2006/relationships/hyperlink" Target="https://drive.google.com/file/d/1-kZWLwlXA1rjYPKNdUV8Dg5KzYGIYLPE/view?usp=drivesdk" TargetMode="External"/><Relationship Id="rId48" Type="http://schemas.openxmlformats.org/officeDocument/2006/relationships/hyperlink" Target="https://drive.google.com/file/d/17Wb5euAabi19es-Kr2m_G6c2eTc6bUWg/view?usp=drivesdk" TargetMode="External"/><Relationship Id="rId47" Type="http://schemas.openxmlformats.org/officeDocument/2006/relationships/hyperlink" Target="https://drive.google.com/file/d/1dOIeTAUcTaap6Ek8dr0WTGvCzViKOv62/view?usp=drivesdk" TargetMode="External"/><Relationship Id="rId49" Type="http://schemas.openxmlformats.org/officeDocument/2006/relationships/hyperlink" Target="https://drive.google.com/file/d/1WPH-vI0YwdUeC1cdnr0-rvPhh6dV8FF5/view?usp=drivesdk" TargetMode="External"/><Relationship Id="rId103" Type="http://schemas.openxmlformats.org/officeDocument/2006/relationships/hyperlink" Target="https://drive.google.com/file/d/1yjVoqn6zeXf24g9q3ZyxA2M7FhS_JgNb/view?usp=drivesdk" TargetMode="External"/><Relationship Id="rId102" Type="http://schemas.openxmlformats.org/officeDocument/2006/relationships/hyperlink" Target="https://drive.google.com/file/d/1YIF9hE2bSLuHZ0sK2gv0VWKB8QlWeBpy/view?usp=drivesdk" TargetMode="External"/><Relationship Id="rId101" Type="http://schemas.openxmlformats.org/officeDocument/2006/relationships/hyperlink" Target="https://drive.google.com/file/d/1I_Jsa0zztahq872Qd5wM3VLihuKJ0waT/view?usp=drivesdk" TargetMode="External"/><Relationship Id="rId100" Type="http://schemas.openxmlformats.org/officeDocument/2006/relationships/hyperlink" Target="https://drive.google.com/file/d/160RS55atZ2zKhfhDL45nQhL5Sx8j2MUF/view?usp=drivesdk" TargetMode="External"/><Relationship Id="rId31" Type="http://schemas.openxmlformats.org/officeDocument/2006/relationships/hyperlink" Target="https://drive.google.com/file/d/1DJG3iXSGpci17XVwEbzb8hEqtISyUbvK/view?usp=drivesdk" TargetMode="External"/><Relationship Id="rId30" Type="http://schemas.openxmlformats.org/officeDocument/2006/relationships/hyperlink" Target="https://drive.google.com/file/d/1H4rcAc-ua3GVorcE-fYEBQBHYqNx7knO/view?usp=drivesdk" TargetMode="External"/><Relationship Id="rId33" Type="http://schemas.openxmlformats.org/officeDocument/2006/relationships/hyperlink" Target="https://drive.google.com/file/d/1JOJMsfUNgy2HxtocqtlkHAUoUwCI3LOz/view?usp=drivesdk" TargetMode="External"/><Relationship Id="rId32" Type="http://schemas.openxmlformats.org/officeDocument/2006/relationships/hyperlink" Target="https://drive.google.com/file/d/169CLxdhM990et2ghaYeQj8pmvaZyQBKr/view?usp=drivesdk" TargetMode="External"/><Relationship Id="rId35" Type="http://schemas.openxmlformats.org/officeDocument/2006/relationships/hyperlink" Target="https://drive.google.com/file/d/1Ua4yoLnQIHJyJr16bwzc91n3EArmE-zT/view?usp=drivesdk" TargetMode="External"/><Relationship Id="rId34" Type="http://schemas.openxmlformats.org/officeDocument/2006/relationships/hyperlink" Target="https://drive.google.com/file/d/1I3wQ968tn7ZI2U3lgmrz83NwuupmUs39/view?usp=drivesdk" TargetMode="External"/><Relationship Id="rId37" Type="http://schemas.openxmlformats.org/officeDocument/2006/relationships/hyperlink" Target="https://drive.google.com/file/d/1G4jhjXrJMhbcUc37T9GENsWBDpAvDiOZ/view?usp=drivesdk" TargetMode="External"/><Relationship Id="rId36" Type="http://schemas.openxmlformats.org/officeDocument/2006/relationships/hyperlink" Target="https://drive.google.com/file/d/1jI63XRfxckRwEC1EArPl_OT9IrkhVpjv/view?usp=drivesdk" TargetMode="External"/><Relationship Id="rId39" Type="http://schemas.openxmlformats.org/officeDocument/2006/relationships/hyperlink" Target="https://drive.google.com/file/d/1bXsZAvlBMNQ5IgCyctLJF4DwlWeBuFaS/view?usp=drivesdk" TargetMode="External"/><Relationship Id="rId38" Type="http://schemas.openxmlformats.org/officeDocument/2006/relationships/hyperlink" Target="https://drive.google.com/file/d/1_hsCD8VBZsaEzVWQstNVAl635n7iUWP2/view?usp=drivesdk" TargetMode="External"/><Relationship Id="rId20" Type="http://schemas.openxmlformats.org/officeDocument/2006/relationships/hyperlink" Target="https://drive.google.com/file/d/1PEZ0M9S30lnnCcIwYktCLsT6QkR624Md/view?usp=drivesdk" TargetMode="External"/><Relationship Id="rId22" Type="http://schemas.openxmlformats.org/officeDocument/2006/relationships/hyperlink" Target="https://drive.google.com/file/d/1mE9CzhYe-yiUondDtNBqChUE8cQaLu7Q/view?usp=drivesdk" TargetMode="External"/><Relationship Id="rId21" Type="http://schemas.openxmlformats.org/officeDocument/2006/relationships/hyperlink" Target="https://drive.google.com/file/d/1esGSdyzZOrS_ppWket7Ppk3enxgESrIW/view?usp=drivesdk" TargetMode="External"/><Relationship Id="rId24" Type="http://schemas.openxmlformats.org/officeDocument/2006/relationships/hyperlink" Target="https://drive.google.com/file/d/19V3pJnb-zJyCvWrzYCVSpxLlmz3cTtYr/view?usp=drivesdk" TargetMode="External"/><Relationship Id="rId23" Type="http://schemas.openxmlformats.org/officeDocument/2006/relationships/hyperlink" Target="https://drive.google.com/file/d/149TnejRIT0fc28-X2ihGJvoaZdsO7i49/view?usp=drivesdk" TargetMode="External"/><Relationship Id="rId129" Type="http://schemas.openxmlformats.org/officeDocument/2006/relationships/hyperlink" Target="https://drive.google.com/file/d/1nOiX8LcCP7VifkQM_zC0Tf3hnZIrqvFA/view?usp=drivesdk" TargetMode="External"/><Relationship Id="rId128" Type="http://schemas.openxmlformats.org/officeDocument/2006/relationships/hyperlink" Target="https://drive.google.com/file/d/1eX579BZvCv_4j00Of6GMDHIZezRK9LvD/view?usp=drivesdk" TargetMode="External"/><Relationship Id="rId127" Type="http://schemas.openxmlformats.org/officeDocument/2006/relationships/hyperlink" Target="https://drive.google.com/file/d/1wuMF1jZH4q1KBHEazy_1moiCtuWkK4wc/view?usp=drivesdk" TargetMode="External"/><Relationship Id="rId126" Type="http://schemas.openxmlformats.org/officeDocument/2006/relationships/hyperlink" Target="https://drive.google.com/file/d/1w-SyW5vHxrLslwbZxZwPDiAOohg9VHtO/view?usp=drivesdk" TargetMode="External"/><Relationship Id="rId26" Type="http://schemas.openxmlformats.org/officeDocument/2006/relationships/hyperlink" Target="https://drive.google.com/file/d/1Sl21pzJJ1-SY9yZvZDyLc61IBSu2xPYm/view?usp=drivesdk" TargetMode="External"/><Relationship Id="rId121" Type="http://schemas.openxmlformats.org/officeDocument/2006/relationships/hyperlink" Target="https://drive.google.com/file/d/1XUSLWen-QGKnUiGORBhTLP5cF8NqnoaB/view?usp=drivesdk" TargetMode="External"/><Relationship Id="rId25" Type="http://schemas.openxmlformats.org/officeDocument/2006/relationships/hyperlink" Target="https://drive.google.com/file/d/1ztvaSP7fYP36DjkfA4hHewsO0JbcAxhk/view?usp=drivesdk" TargetMode="External"/><Relationship Id="rId120" Type="http://schemas.openxmlformats.org/officeDocument/2006/relationships/hyperlink" Target="https://drive.google.com/file/d/1sFreGq-uJLbfQGB2jrqwARRDA04gA9BO/view?usp=drivesdk" TargetMode="External"/><Relationship Id="rId28" Type="http://schemas.openxmlformats.org/officeDocument/2006/relationships/hyperlink" Target="https://drive.google.com/file/d/12ol2-cVewLUj8y1ae1WDd8Gk_rheiVly/view?usp=drivesdk" TargetMode="External"/><Relationship Id="rId27" Type="http://schemas.openxmlformats.org/officeDocument/2006/relationships/hyperlink" Target="https://drive.google.com/file/d/1uXW8HQaivw_VzF7S1xak4WPxYiru8dEK/view?usp=drivesdk" TargetMode="External"/><Relationship Id="rId125" Type="http://schemas.openxmlformats.org/officeDocument/2006/relationships/hyperlink" Target="https://drive.google.com/file/d/1Py8F9g1hojQ_ZWybT29hAn3Dlqslp6LD/view?usp=drivesdk" TargetMode="External"/><Relationship Id="rId29" Type="http://schemas.openxmlformats.org/officeDocument/2006/relationships/hyperlink" Target="https://drive.google.com/file/d/19uRxruI3bmFOSa1xovTY85O4v6s7QzgZ/view?usp=drivesdk" TargetMode="External"/><Relationship Id="rId124" Type="http://schemas.openxmlformats.org/officeDocument/2006/relationships/hyperlink" Target="https://drive.google.com/file/d/1nlEzlfUyd9kEmjme3kc_Fe1IXnR8y-AH/view?usp=drivesdk" TargetMode="External"/><Relationship Id="rId123" Type="http://schemas.openxmlformats.org/officeDocument/2006/relationships/hyperlink" Target="https://drive.google.com/file/d/17sfVlu2fzLqw_b4_9TH5BKkeyYzcsOkZ/view?usp=drivesdk" TargetMode="External"/><Relationship Id="rId122" Type="http://schemas.openxmlformats.org/officeDocument/2006/relationships/hyperlink" Target="https://drive.google.com/file/d/1quu-e_LU-rnU2TF1GPnX9Ahrn_Deopw3/view?usp=drivesdk" TargetMode="External"/><Relationship Id="rId95" Type="http://schemas.openxmlformats.org/officeDocument/2006/relationships/hyperlink" Target="https://drive.google.com/file/d/16luAFzUZUpEu6YK40KNHJQIIPgYn4-Z6/view?usp=drivesdk" TargetMode="External"/><Relationship Id="rId94" Type="http://schemas.openxmlformats.org/officeDocument/2006/relationships/hyperlink" Target="https://drive.google.com/file/d/1gvPcH6j3vSiCVKenhKtfb4l4LcTu7iN9/view?usp=drivesdk" TargetMode="External"/><Relationship Id="rId97" Type="http://schemas.openxmlformats.org/officeDocument/2006/relationships/hyperlink" Target="https://drive.google.com/file/d/1OZnyPPOO9tGZPISnB0A2s8NjzWthdBj4/view?usp=drivesdk" TargetMode="External"/><Relationship Id="rId96" Type="http://schemas.openxmlformats.org/officeDocument/2006/relationships/hyperlink" Target="https://drive.google.com/file/d/1ZWYOhTxkL7NdJnNrWsPbjI3JWob5SfIn/view?usp=drivesdk" TargetMode="External"/><Relationship Id="rId11" Type="http://schemas.openxmlformats.org/officeDocument/2006/relationships/hyperlink" Target="https://drive.google.com/file/d/1FMc4D9mit-gFz6G8ul0t2HMPXaEzanaq/view?usp=drivesdk" TargetMode="External"/><Relationship Id="rId99" Type="http://schemas.openxmlformats.org/officeDocument/2006/relationships/hyperlink" Target="https://drive.google.com/file/d/11SBKZtA2bpunR1CCBnlald7ZGfihSkCW/view?usp=drivesdk" TargetMode="External"/><Relationship Id="rId10" Type="http://schemas.openxmlformats.org/officeDocument/2006/relationships/hyperlink" Target="https://drive.google.com/file/d/1EcJ8oz6KLpfBa-ojtb_7ZZt_H8d67aMR/view?usp=drivesdk" TargetMode="External"/><Relationship Id="rId98" Type="http://schemas.openxmlformats.org/officeDocument/2006/relationships/hyperlink" Target="https://drive.google.com/file/d/1wyF2ywKjr6xXBfFurBQPTmQMwP-Nl_Yb/view?usp=drivesdk" TargetMode="External"/><Relationship Id="rId13" Type="http://schemas.openxmlformats.org/officeDocument/2006/relationships/hyperlink" Target="https://drive.google.com/file/d/1EN5rFM4nSaYFKHjY1GxK368ZtaCIcQZr/view?usp=drivesdk" TargetMode="External"/><Relationship Id="rId12" Type="http://schemas.openxmlformats.org/officeDocument/2006/relationships/hyperlink" Target="https://drive.google.com/file/d/1432rAPv7QCt8J1X3_pP2DOtH3SurAuYH/view?usp=drivesdk" TargetMode="External"/><Relationship Id="rId91" Type="http://schemas.openxmlformats.org/officeDocument/2006/relationships/hyperlink" Target="https://drive.google.com/file/d/19lgMDcp-ecGKmGMm93E_tAdqXvgMJonX/view?usp=drivesdk" TargetMode="External"/><Relationship Id="rId90" Type="http://schemas.openxmlformats.org/officeDocument/2006/relationships/hyperlink" Target="https://drive.google.com/file/d/1PKyYrIeb1bZFhkGJ1MWbrcy8AHLpdeZW/view?usp=drivesdk" TargetMode="External"/><Relationship Id="rId93" Type="http://schemas.openxmlformats.org/officeDocument/2006/relationships/hyperlink" Target="https://drive.google.com/file/d/1tAqkDrSxPMJL4gs_re_M_Lt9L6k7Ex0L/view?usp=drivesdk" TargetMode="External"/><Relationship Id="rId92" Type="http://schemas.openxmlformats.org/officeDocument/2006/relationships/hyperlink" Target="https://drive.google.com/file/d/1kGNHVXEgtTReLloiDRs_bUlprJ5XXTjm/view?usp=drivesdk" TargetMode="External"/><Relationship Id="rId118" Type="http://schemas.openxmlformats.org/officeDocument/2006/relationships/hyperlink" Target="https://drive.google.com/file/d/1JXsMq2Xc6fRZtnK_PgHqj5KszW0m7GJ-/view?usp=drivesdk" TargetMode="External"/><Relationship Id="rId117" Type="http://schemas.openxmlformats.org/officeDocument/2006/relationships/hyperlink" Target="https://drive.google.com/file/d/1jKT3hs9U9VR4swZQaIMJ7r2B660Lgulc/view?usp=drivesdk" TargetMode="External"/><Relationship Id="rId116" Type="http://schemas.openxmlformats.org/officeDocument/2006/relationships/hyperlink" Target="https://drive.google.com/file/d/1TmkP1DJV-SwND1ctpuDFqHWmnAaX4seW/view?usp=drivesdk" TargetMode="External"/><Relationship Id="rId115" Type="http://schemas.openxmlformats.org/officeDocument/2006/relationships/hyperlink" Target="https://drive.google.com/file/d/1lU65PzsGpYzda9onCiZYoymFmVCXpzu7/view?usp=drivesdk" TargetMode="External"/><Relationship Id="rId119" Type="http://schemas.openxmlformats.org/officeDocument/2006/relationships/hyperlink" Target="https://drive.google.com/file/d/1rFh2CU40gNveScI-fZ_2CjAnMPz0LXFl/view?usp=drivesdk" TargetMode="External"/><Relationship Id="rId15" Type="http://schemas.openxmlformats.org/officeDocument/2006/relationships/hyperlink" Target="https://drive.google.com/file/d/12tJdyguJ2ygorD8Q7ur6sSki9myw4GHd/view?usp=drivesdk" TargetMode="External"/><Relationship Id="rId110" Type="http://schemas.openxmlformats.org/officeDocument/2006/relationships/hyperlink" Target="https://drive.google.com/file/d/1CJ7_ruAyRCy2c2MVtbTGkl0q1LS5w39p/view?usp=drivesdk" TargetMode="External"/><Relationship Id="rId14" Type="http://schemas.openxmlformats.org/officeDocument/2006/relationships/hyperlink" Target="https://drive.google.com/file/d/1Z7lXPTx48cyPsLzB9QHeXpHw5-mE8-dA/view?usp=drivesdk" TargetMode="External"/><Relationship Id="rId17" Type="http://schemas.openxmlformats.org/officeDocument/2006/relationships/hyperlink" Target="https://drive.google.com/file/d/1eMISpdGGx23PKBARKgQrTw1E_zs1Aezv/view?usp=drivesdk" TargetMode="External"/><Relationship Id="rId16" Type="http://schemas.openxmlformats.org/officeDocument/2006/relationships/hyperlink" Target="https://drive.google.com/file/d/1FoLZ1cg6l3jBdPk16qoV7JrtF_WixJ4X/view?usp=drivesdk" TargetMode="External"/><Relationship Id="rId19" Type="http://schemas.openxmlformats.org/officeDocument/2006/relationships/hyperlink" Target="https://drive.google.com/file/d/1fzZ1d_Wm_rmA-LVzseBK2IAz-rptiENY/view?usp=drivesdk" TargetMode="External"/><Relationship Id="rId114" Type="http://schemas.openxmlformats.org/officeDocument/2006/relationships/hyperlink" Target="https://drive.google.com/file/d/14QIQU4I8It5ZkBcycOZ6fsIDPpEjY2ch/view?usp=drivesdk" TargetMode="External"/><Relationship Id="rId18" Type="http://schemas.openxmlformats.org/officeDocument/2006/relationships/hyperlink" Target="https://drive.google.com/file/d/1ppxL6yEq0PJL2qgJ4leUch0er2hyaDGu/view?usp=drivesdk" TargetMode="External"/><Relationship Id="rId113" Type="http://schemas.openxmlformats.org/officeDocument/2006/relationships/hyperlink" Target="https://drive.google.com/file/d/1kXSOMGYC98WH5qTC3P-rkaOCpWK-9KfX/view?usp=drivesdk" TargetMode="External"/><Relationship Id="rId112" Type="http://schemas.openxmlformats.org/officeDocument/2006/relationships/hyperlink" Target="https://drive.google.com/file/d/1_0IIX25-G0JF-yDHx6asFADFFUg8zeKv/view?usp=drivesdk" TargetMode="External"/><Relationship Id="rId111" Type="http://schemas.openxmlformats.org/officeDocument/2006/relationships/hyperlink" Target="https://drive.google.com/file/d/1iFWiIDXSLK9LI3G0LM0UjWMI06cGUSEg/view?usp=drivesdk" TargetMode="External"/><Relationship Id="rId84" Type="http://schemas.openxmlformats.org/officeDocument/2006/relationships/hyperlink" Target="https://drive.google.com/file/d/1hBYqMSr0TXoSDj3lvIkoeVPTfbkUP3ik/view?usp=drivesdk" TargetMode="External"/><Relationship Id="rId83" Type="http://schemas.openxmlformats.org/officeDocument/2006/relationships/hyperlink" Target="https://drive.google.com/file/d/1IJZT01rsNdJXT6vsJxvGuERwCF5vMB9G/view?usp=drivesdk" TargetMode="External"/><Relationship Id="rId86" Type="http://schemas.openxmlformats.org/officeDocument/2006/relationships/hyperlink" Target="https://drive.google.com/file/d/10cIv_40sa8GSsxe63mMbzKQDjMEZ38qf/view?usp=drivesdk" TargetMode="External"/><Relationship Id="rId85" Type="http://schemas.openxmlformats.org/officeDocument/2006/relationships/hyperlink" Target="https://drive.google.com/file/d/1jT_KDRuNhn5SlNHrzfnScMilH8Mz1mF9/view?usp=drivesdk" TargetMode="External"/><Relationship Id="rId88" Type="http://schemas.openxmlformats.org/officeDocument/2006/relationships/hyperlink" Target="https://drive.google.com/file/d/1JUY88_SZeE3I8hWHFTsSNuJES3sh0GYu/view?usp=drivesdk" TargetMode="External"/><Relationship Id="rId87" Type="http://schemas.openxmlformats.org/officeDocument/2006/relationships/hyperlink" Target="https://drive.google.com/file/d/1sS8afs--YV8xH5d6lrNFWcQQQMOEdJX-/view?usp=drivesdk" TargetMode="External"/><Relationship Id="rId89" Type="http://schemas.openxmlformats.org/officeDocument/2006/relationships/hyperlink" Target="https://drive.google.com/file/d/1kF40fyFJ76sk7v3aSoC06kYMJ639BqbR/view?usp=drivesdk" TargetMode="External"/><Relationship Id="rId80" Type="http://schemas.openxmlformats.org/officeDocument/2006/relationships/hyperlink" Target="https://drive.google.com/file/d/1dSrkJo0UBio6MWaQXa-LJlVMtNCISz4A/view?usp=drivesdk" TargetMode="External"/><Relationship Id="rId82" Type="http://schemas.openxmlformats.org/officeDocument/2006/relationships/hyperlink" Target="https://drive.google.com/file/d/19rJJvq0nbO0yZNHCAvtaMjaYaFEIOoIb/view?usp=drivesdk" TargetMode="External"/><Relationship Id="rId81" Type="http://schemas.openxmlformats.org/officeDocument/2006/relationships/hyperlink" Target="https://drive.google.com/file/d/16ctVIPDV3Er4GtahkAIUxG4x9Dw4HIjM/view?usp=drivesdk" TargetMode="External"/><Relationship Id="rId1" Type="http://schemas.openxmlformats.org/officeDocument/2006/relationships/hyperlink" Target="https://drive.google.com/file/d/17IXPfZs0pyhzPUPYxxqgtQyya8gIIXUv/view?usp=drivesdk" TargetMode="External"/><Relationship Id="rId2" Type="http://schemas.openxmlformats.org/officeDocument/2006/relationships/hyperlink" Target="https://drive.google.com/file/d/1tWu4oLaSL7o24l2AKQWEQHaiLbrsBZlG/view?usp=drivesdk" TargetMode="External"/><Relationship Id="rId3" Type="http://schemas.openxmlformats.org/officeDocument/2006/relationships/hyperlink" Target="https://drive.google.com/file/d/1cr7Uemgz9qnWil_Yax2WVTZ1KmEMWDIV/view?usp=drivesdk" TargetMode="External"/><Relationship Id="rId4" Type="http://schemas.openxmlformats.org/officeDocument/2006/relationships/hyperlink" Target="https://drive.google.com/file/d/1iei8mGpvdCRg90oPHQqoHRHIjjb_gtcI/view?usp=drivesdk" TargetMode="External"/><Relationship Id="rId9" Type="http://schemas.openxmlformats.org/officeDocument/2006/relationships/hyperlink" Target="https://drive.google.com/file/d/1J6hMGW0rmxdekoUqeNDXrLyR1y47vgcZ/view?usp=drivesdk" TargetMode="External"/><Relationship Id="rId5" Type="http://schemas.openxmlformats.org/officeDocument/2006/relationships/hyperlink" Target="https://drive.google.com/file/d/1UuP5D6j5jH2ip1WeODNfDimH_VrMbOty/view?usp=drivesdk" TargetMode="External"/><Relationship Id="rId6" Type="http://schemas.openxmlformats.org/officeDocument/2006/relationships/hyperlink" Target="https://drive.google.com/file/d/1uiMX89j4s7h0r7f2DfKUDPva1Afba9TI/view?usp=drivesdk" TargetMode="External"/><Relationship Id="rId7" Type="http://schemas.openxmlformats.org/officeDocument/2006/relationships/hyperlink" Target="https://drive.google.com/file/d/1Mo9OHZzvF4YpwZ9IVXUOHxZEXpkyFsw4/view?usp=drivesdk" TargetMode="External"/><Relationship Id="rId8" Type="http://schemas.openxmlformats.org/officeDocument/2006/relationships/hyperlink" Target="https://drive.google.com/file/d/18ROm-zWcrjn3s0k6RvS_f8_LisTI2SQ_/view?usp=drivesdk" TargetMode="External"/><Relationship Id="rId73" Type="http://schemas.openxmlformats.org/officeDocument/2006/relationships/hyperlink" Target="https://drive.google.com/file/d/1UGVkp4jguCNbuewvdSg8kZM16XNjYffI/view?usp=drivesdk" TargetMode="External"/><Relationship Id="rId72" Type="http://schemas.openxmlformats.org/officeDocument/2006/relationships/hyperlink" Target="https://drive.google.com/file/d/1JDswN18wpRIxwCZHnM1BDSmyFxkPouz0/view?usp=drivesdk" TargetMode="External"/><Relationship Id="rId75" Type="http://schemas.openxmlformats.org/officeDocument/2006/relationships/hyperlink" Target="https://drive.google.com/file/d/1siStkwGnGgtMHVPlPhYhOAr36Fx7750N/view?usp=drivesdk" TargetMode="External"/><Relationship Id="rId74" Type="http://schemas.openxmlformats.org/officeDocument/2006/relationships/hyperlink" Target="https://drive.google.com/file/d/1QjATDE-zN6VZM_8y29uuKq_eH7zK7sGw/view?usp=drivesdk" TargetMode="External"/><Relationship Id="rId77" Type="http://schemas.openxmlformats.org/officeDocument/2006/relationships/hyperlink" Target="https://drive.google.com/file/d/1mhdEg9nM53hBV4quuTWAlNpwIcGttuZG/view?usp=drivesdk" TargetMode="External"/><Relationship Id="rId76" Type="http://schemas.openxmlformats.org/officeDocument/2006/relationships/hyperlink" Target="https://drive.google.com/file/d/1oRy3Vhh34EZtZpubWTV6g_Y5s5yZmNhf/view?usp=drivesdk" TargetMode="External"/><Relationship Id="rId79" Type="http://schemas.openxmlformats.org/officeDocument/2006/relationships/hyperlink" Target="https://drive.google.com/file/d/1ZE-4irKxIPkwwnZn760s0UvQvfelIL7X/view?usp=drivesdk" TargetMode="External"/><Relationship Id="rId78" Type="http://schemas.openxmlformats.org/officeDocument/2006/relationships/hyperlink" Target="https://drive.google.com/file/d/1hIlxWvHod9peYu9NE3wKQTS89AIBcXUR/view?usp=drivesdk" TargetMode="External"/><Relationship Id="rId71" Type="http://schemas.openxmlformats.org/officeDocument/2006/relationships/hyperlink" Target="https://drive.google.com/file/d/15A6dLVvW1czwXk-aiY1FH1yKOM5G7K34/view?usp=drivesdk" TargetMode="External"/><Relationship Id="rId70" Type="http://schemas.openxmlformats.org/officeDocument/2006/relationships/hyperlink" Target="https://drive.google.com/file/d/169yRbEE1w5VOQhIrBtMhsexxpuZ5lQ1a/view?usp=drivesdk" TargetMode="External"/><Relationship Id="rId132" Type="http://schemas.openxmlformats.org/officeDocument/2006/relationships/hyperlink" Target="https://drive.google.com/file/d/14mVch4lixM9_UlZlQGFqR8MmQm1NRCHf/view?usp=drivesdk" TargetMode="External"/><Relationship Id="rId131" Type="http://schemas.openxmlformats.org/officeDocument/2006/relationships/hyperlink" Target="https://drive.google.com/file/d/1O4MHbYY1QlJnkllCP6MaeO_AQSEIqNiZ/view?usp=drivesdk" TargetMode="External"/><Relationship Id="rId130" Type="http://schemas.openxmlformats.org/officeDocument/2006/relationships/hyperlink" Target="https://drive.google.com/file/d/1iPzIswmdNm7yDCaj8RKP8YgrxN5EOBjB/view?usp=drivesdk" TargetMode="External"/><Relationship Id="rId134" Type="http://schemas.openxmlformats.org/officeDocument/2006/relationships/drawing" Target="../drawings/drawing23.xml"/><Relationship Id="rId133" Type="http://schemas.openxmlformats.org/officeDocument/2006/relationships/hyperlink" Target="https://drive.google.com/file/d/1RwWvb1u4I6nxCZ6nlJMALIoDDfTUHDoB/view?usp=drivesdk" TargetMode="External"/><Relationship Id="rId62" Type="http://schemas.openxmlformats.org/officeDocument/2006/relationships/hyperlink" Target="https://drive.google.com/file/d/1IAxtY0h8pEWXSuVhr5wQc0jMe2A8VP-T/view?usp=drivesdk" TargetMode="External"/><Relationship Id="rId61" Type="http://schemas.openxmlformats.org/officeDocument/2006/relationships/hyperlink" Target="https://drive.google.com/file/d/187onTyXFD0_tE-aMPmSSyMAnaJwFs98R/view?usp=drivesdk" TargetMode="External"/><Relationship Id="rId64" Type="http://schemas.openxmlformats.org/officeDocument/2006/relationships/hyperlink" Target="https://drive.google.com/file/d/1N98c1bqPhtE6Mh9Ja0Knw7GGR7rKzAKH/view?usp=drivesdk" TargetMode="External"/><Relationship Id="rId63" Type="http://schemas.openxmlformats.org/officeDocument/2006/relationships/hyperlink" Target="https://drive.google.com/file/d/1jrr7uyzGpNC2ibfYVLscHPwKHthavf5y/view?usp=drivesdk" TargetMode="External"/><Relationship Id="rId66" Type="http://schemas.openxmlformats.org/officeDocument/2006/relationships/hyperlink" Target="https://drive.google.com/file/d/1xeod-L9itW6xvtHgcTKWlJ8atDQC-mRv/view?usp=drivesdk" TargetMode="External"/><Relationship Id="rId65" Type="http://schemas.openxmlformats.org/officeDocument/2006/relationships/hyperlink" Target="https://drive.google.com/file/d/1zlCbsj8gGr3Lk37rAsv2tuMrKz_IrJ_m/view?usp=drivesdk" TargetMode="External"/><Relationship Id="rId68" Type="http://schemas.openxmlformats.org/officeDocument/2006/relationships/hyperlink" Target="https://drive.google.com/file/d/1mPmPSUzLtjDKrljapttpq0CMgUKBjDVr/view?usp=drivesdk" TargetMode="External"/><Relationship Id="rId67" Type="http://schemas.openxmlformats.org/officeDocument/2006/relationships/hyperlink" Target="https://drive.google.com/file/d/1UsXNINQZT31U9wirTJvo1k95AypVc9Ua/view?usp=drivesdk" TargetMode="External"/><Relationship Id="rId60" Type="http://schemas.openxmlformats.org/officeDocument/2006/relationships/hyperlink" Target="https://drive.google.com/file/d/18K4bx2CiuHwmX5TvFsZCpUHysvjb6a9v/view?usp=drivesdk" TargetMode="External"/><Relationship Id="rId69" Type="http://schemas.openxmlformats.org/officeDocument/2006/relationships/hyperlink" Target="https://drive.google.com/file/d/10cYGNQ-toiIxJGorfJiN9TExpgEPhYvT/view?usp=drivesdk" TargetMode="External"/><Relationship Id="rId51" Type="http://schemas.openxmlformats.org/officeDocument/2006/relationships/hyperlink" Target="https://drive.google.com/file/d/1D6rX6GheK_VPx3Z69YjlOiJCDgTjs6NY/view?usp=drivesdk" TargetMode="External"/><Relationship Id="rId50" Type="http://schemas.openxmlformats.org/officeDocument/2006/relationships/hyperlink" Target="https://drive.google.com/file/d/1lOpdwz-ZYSmub0LopOCWmGzC5qYQi39Q/view?usp=drivesdk" TargetMode="External"/><Relationship Id="rId53" Type="http://schemas.openxmlformats.org/officeDocument/2006/relationships/hyperlink" Target="https://drive.google.com/file/d/1wOkExxNv8f7l7S9U5BbrqmeLMRYL1hYV/view?usp=drivesdk" TargetMode="External"/><Relationship Id="rId52" Type="http://schemas.openxmlformats.org/officeDocument/2006/relationships/hyperlink" Target="https://drive.google.com/file/d/1nq_1-BdkojYNT-gFNgKYaTMA-8ouD6bI/view?usp=drivesdk" TargetMode="External"/><Relationship Id="rId55" Type="http://schemas.openxmlformats.org/officeDocument/2006/relationships/hyperlink" Target="https://drive.google.com/file/d/1P4UTDNbmAcuqP2nwTubxNDHjJighXQVi/view?usp=drivesdk" TargetMode="External"/><Relationship Id="rId54" Type="http://schemas.openxmlformats.org/officeDocument/2006/relationships/hyperlink" Target="https://drive.google.com/file/d/19UgdjwZATqVQJ9sNd7zEXRLtFmGsUeEg/view?usp=drivesdk" TargetMode="External"/><Relationship Id="rId57" Type="http://schemas.openxmlformats.org/officeDocument/2006/relationships/hyperlink" Target="https://drive.google.com/file/d/1i6X8tMDumJHYhFzQGipKkjMXPA9V7Nzz/view?usp=drivesdk" TargetMode="External"/><Relationship Id="rId56" Type="http://schemas.openxmlformats.org/officeDocument/2006/relationships/hyperlink" Target="https://drive.google.com/file/d/1rcRNwQ-FsDrNkdZ2JdPjHvb98jX6TXfB/view?usp=drivesdk" TargetMode="External"/><Relationship Id="rId59" Type="http://schemas.openxmlformats.org/officeDocument/2006/relationships/hyperlink" Target="https://drive.google.com/file/d/1AZqMOLA4iuFDI2hMQKBZrAIg1oD5lyRE/view?usp=drivesdk" TargetMode="External"/><Relationship Id="rId58" Type="http://schemas.openxmlformats.org/officeDocument/2006/relationships/hyperlink" Target="https://drive.google.com/file/d/107HYuAjyKOVjlJtBTpbAUx93KXTONGR7/view?usp=drivesdk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FRi3MDbKRVakPcw_tE9vYr2FuqdjKmb/view?usp=drivesdk" TargetMode="External"/><Relationship Id="rId2" Type="http://schemas.openxmlformats.org/officeDocument/2006/relationships/hyperlink" Target="https://drive.google.com/file/d/1aNhbqqmnF8GSOVyh1-2qEt0mxvjNPX8E/view?usp=drivesdk" TargetMode="Externa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nXfsH-CenA_ImjwvvnqJg-P0aOaGbHa/view?usp=drivesdk" TargetMode="External"/><Relationship Id="rId42" Type="http://schemas.openxmlformats.org/officeDocument/2006/relationships/hyperlink" Target="https://drive.google.com/file/d/1s9rvwJ3GG8ubkfuKzYTrWoY3ADTfMeFW/view?usp=drivesdk" TargetMode="External"/><Relationship Id="rId41" Type="http://schemas.openxmlformats.org/officeDocument/2006/relationships/hyperlink" Target="https://drive.google.com/file/d/1AKpG5Bjd_3JmAuyeFECSRssp4v8JdL3c/view?usp=drivesdk" TargetMode="External"/><Relationship Id="rId44" Type="http://schemas.openxmlformats.org/officeDocument/2006/relationships/hyperlink" Target="https://drive.google.com/file/d/1g8JUX3cYykNsMeqGpzu6eEx4jRW2dunM/view?usp=drivesdk" TargetMode="External"/><Relationship Id="rId43" Type="http://schemas.openxmlformats.org/officeDocument/2006/relationships/hyperlink" Target="https://drive.google.com/file/d/1ceoXSzKSua6QIpJ9EJsEdYMcB37mkXFA/view?usp=drivesdk" TargetMode="External"/><Relationship Id="rId46" Type="http://schemas.openxmlformats.org/officeDocument/2006/relationships/hyperlink" Target="https://drive.google.com/file/d/1OoRlEEf18dSkuKBEONJpaMM3PwQBMwr8/view?usp=drivesdk" TargetMode="External"/><Relationship Id="rId45" Type="http://schemas.openxmlformats.org/officeDocument/2006/relationships/hyperlink" Target="https://drive.google.com/file/d/1PsJjQRIy8KEBm2v8mLUwidQE6aeBiqhm/view?usp=drivesdk" TargetMode="External"/><Relationship Id="rId107" Type="http://schemas.openxmlformats.org/officeDocument/2006/relationships/hyperlink" Target="https://drive.google.com/file/d/1C5ENCX-3XqOEo8bn_zquV7f3-ubxsC5B/view?usp=drivesdk" TargetMode="External"/><Relationship Id="rId106" Type="http://schemas.openxmlformats.org/officeDocument/2006/relationships/hyperlink" Target="https://drive.google.com/file/d/1Kb9D320EnKkzSxHCzjH_3kOLVD2EaIbo/view?usp=drivesdk" TargetMode="External"/><Relationship Id="rId105" Type="http://schemas.openxmlformats.org/officeDocument/2006/relationships/hyperlink" Target="https://drive.google.com/file/d/1tsGFvhnJRcr6oZqq9OZagc1wk59omVG8/view?usp=drivesdk" TargetMode="External"/><Relationship Id="rId104" Type="http://schemas.openxmlformats.org/officeDocument/2006/relationships/hyperlink" Target="https://drive.google.com/file/d/1SuChLt8BCaSPi3ubBpNAjxanLO_f1vAL/view?usp=drivesdk" TargetMode="External"/><Relationship Id="rId109" Type="http://schemas.openxmlformats.org/officeDocument/2006/relationships/hyperlink" Target="https://drive.google.com/file/d/1gh1SCqs569kLnd4Jrg3lD4AizrbwLc__/view?usp=drivesdk" TargetMode="External"/><Relationship Id="rId108" Type="http://schemas.openxmlformats.org/officeDocument/2006/relationships/hyperlink" Target="https://drive.google.com/file/d/1MrLvRZDrXGIg_9D06MESowVT7XWOORQy/view?usp=drivesdk" TargetMode="External"/><Relationship Id="rId48" Type="http://schemas.openxmlformats.org/officeDocument/2006/relationships/hyperlink" Target="https://drive.google.com/file/d/13vXdoMNP1LJ3rWoCxiX0bSd_pfAqWAfQ/view?usp=drivesdk" TargetMode="External"/><Relationship Id="rId47" Type="http://schemas.openxmlformats.org/officeDocument/2006/relationships/hyperlink" Target="https://drive.google.com/file/d/1Lfju50SpQ0YXwY5KCJ18cY24XzWD8t1A/view?usp=drivesdk" TargetMode="External"/><Relationship Id="rId49" Type="http://schemas.openxmlformats.org/officeDocument/2006/relationships/hyperlink" Target="https://drive.google.com/file/d/1LRe6UhFkd4r7iuY6R5Ij3vgw6CZgaFBO/view?usp=drivesdk" TargetMode="External"/><Relationship Id="rId103" Type="http://schemas.openxmlformats.org/officeDocument/2006/relationships/hyperlink" Target="https://drive.google.com/file/d/1I2HOMjys_NWTwT2T6JM1oWWdRstTVuKD/view?usp=drivesdk" TargetMode="External"/><Relationship Id="rId102" Type="http://schemas.openxmlformats.org/officeDocument/2006/relationships/hyperlink" Target="https://drive.google.com/file/d/1QrsnBwrA_PLJkVmnkKdBiBm5RvrcBfkv/view?usp=drivesdk" TargetMode="External"/><Relationship Id="rId101" Type="http://schemas.openxmlformats.org/officeDocument/2006/relationships/hyperlink" Target="https://drive.google.com/file/d/1lNoyrVg_NorVczmSDtI8VsFQ429GELMq/view?usp=drivesdk" TargetMode="External"/><Relationship Id="rId100" Type="http://schemas.openxmlformats.org/officeDocument/2006/relationships/hyperlink" Target="https://drive.google.com/file/d/1XZzsbtoSILARqIu_VioNpMyuixp1tTcD/view?usp=drivesdk" TargetMode="External"/><Relationship Id="rId31" Type="http://schemas.openxmlformats.org/officeDocument/2006/relationships/hyperlink" Target="https://drive.google.com/file/d/13xIkfoYqpcci2zYyJfsJuTPUzc8hQ32f/view?usp=drivesdk" TargetMode="External"/><Relationship Id="rId30" Type="http://schemas.openxmlformats.org/officeDocument/2006/relationships/hyperlink" Target="https://drive.google.com/file/d/1xnlDfn3ipegNWafOIFJqLDnAAyBkOXTT/view?usp=drivesdk" TargetMode="External"/><Relationship Id="rId33" Type="http://schemas.openxmlformats.org/officeDocument/2006/relationships/hyperlink" Target="https://drive.google.com/file/d/1DWRJG-bDLJ-r1XrYiY-aDw0mxW7YceQF/view?usp=drivesdk" TargetMode="External"/><Relationship Id="rId32" Type="http://schemas.openxmlformats.org/officeDocument/2006/relationships/hyperlink" Target="https://drive.google.com/file/d/16oc8l9hykRyxnkvImmfeIankqyKYWNc4/view?usp=drivesdk" TargetMode="External"/><Relationship Id="rId35" Type="http://schemas.openxmlformats.org/officeDocument/2006/relationships/hyperlink" Target="https://drive.google.com/file/d/1lDEk29yh-fqSqoh0M-eKLYVfD3tINzHT/view?usp=drivesdk" TargetMode="External"/><Relationship Id="rId34" Type="http://schemas.openxmlformats.org/officeDocument/2006/relationships/hyperlink" Target="https://drive.google.com/file/d/1bDi79oBAIVMUeKr3VlYWfiPI2UKGEM8t/view?usp=drivesdk" TargetMode="External"/><Relationship Id="rId37" Type="http://schemas.openxmlformats.org/officeDocument/2006/relationships/hyperlink" Target="https://drive.google.com/file/d/1h2jIEKBtjONrfyte43YJSuL2pSLUkl_v/view?usp=drivesdk" TargetMode="External"/><Relationship Id="rId36" Type="http://schemas.openxmlformats.org/officeDocument/2006/relationships/hyperlink" Target="https://drive.google.com/file/d/1TNCDqGCd4K3OyFaBZVDVgP5mWkjN_6Si/view?usp=drivesdk" TargetMode="External"/><Relationship Id="rId39" Type="http://schemas.openxmlformats.org/officeDocument/2006/relationships/hyperlink" Target="https://drive.google.com/file/d/1qhXgfYI5TorvAhTr5ugIQuQHX_SDXUYu/view?usp=drivesdk" TargetMode="External"/><Relationship Id="rId38" Type="http://schemas.openxmlformats.org/officeDocument/2006/relationships/hyperlink" Target="https://drive.google.com/file/d/1lV6_wM59am5ELsOR-j--wGmWuedn9mFI/view?usp=drivesdk" TargetMode="External"/><Relationship Id="rId20" Type="http://schemas.openxmlformats.org/officeDocument/2006/relationships/hyperlink" Target="https://drive.google.com/file/d/1G1AYuw5IF6p1gy5FcwlxL4eBf33ry57n/view?usp=drivesdk" TargetMode="External"/><Relationship Id="rId22" Type="http://schemas.openxmlformats.org/officeDocument/2006/relationships/hyperlink" Target="https://drive.google.com/file/d/1ynp98ygIk88dbCl6fKBGROkO4mP8W_4h/view?usp=drivesdk" TargetMode="External"/><Relationship Id="rId21" Type="http://schemas.openxmlformats.org/officeDocument/2006/relationships/hyperlink" Target="https://drive.google.com/file/d/1BzNuRCD-sBmVOTH8LcQJOStxz5suXbus/view?usp=drivesdk" TargetMode="External"/><Relationship Id="rId24" Type="http://schemas.openxmlformats.org/officeDocument/2006/relationships/hyperlink" Target="https://drive.google.com/file/d/1nLoaP04Tq4APHsMpVbFuw5hwgnxox7JV/view?usp=drivesdk" TargetMode="External"/><Relationship Id="rId23" Type="http://schemas.openxmlformats.org/officeDocument/2006/relationships/hyperlink" Target="https://drive.google.com/file/d/1xG3tHmRSANtBsZenNzltwhIT8oVfUbz6/view?usp=drivesdk" TargetMode="External"/><Relationship Id="rId26" Type="http://schemas.openxmlformats.org/officeDocument/2006/relationships/hyperlink" Target="https://drive.google.com/file/d/1OaSAWEiyELfDVZh29hBb4XIJxoqEPrh1/view?usp=drivesdk" TargetMode="External"/><Relationship Id="rId25" Type="http://schemas.openxmlformats.org/officeDocument/2006/relationships/hyperlink" Target="https://drive.google.com/file/d/1avLZRqEln5h8MT_-8CKVbPUK30fUfuZr/view?usp=drivesdk" TargetMode="External"/><Relationship Id="rId28" Type="http://schemas.openxmlformats.org/officeDocument/2006/relationships/hyperlink" Target="https://drive.google.com/file/d/1SL8ckhNZH4h9CZ1PT-Sdj-rnHexs0BAs/view?usp=drivesdk" TargetMode="External"/><Relationship Id="rId27" Type="http://schemas.openxmlformats.org/officeDocument/2006/relationships/hyperlink" Target="https://drive.google.com/file/d/11sQbzYgOvWu94S_qBLJSfiYFCR-85X4o/view?usp=drivesdk" TargetMode="External"/><Relationship Id="rId29" Type="http://schemas.openxmlformats.org/officeDocument/2006/relationships/hyperlink" Target="https://drive.google.com/file/d/1aLKcbcSclogrxdCVLna5U6Brdg7kXYyF/view?usp=drivesdk" TargetMode="External"/><Relationship Id="rId95" Type="http://schemas.openxmlformats.org/officeDocument/2006/relationships/hyperlink" Target="https://drive.google.com/file/d/1GC1qIZ2Qbyc_PxDXsJZhEwtX1rztrhjn/view?usp=drivesdk" TargetMode="External"/><Relationship Id="rId94" Type="http://schemas.openxmlformats.org/officeDocument/2006/relationships/hyperlink" Target="https://drive.google.com/file/d/1ztuhK3AMR15rsE6HIE8ZlWCCI0g90fH_/view?usp=drivesdk" TargetMode="External"/><Relationship Id="rId97" Type="http://schemas.openxmlformats.org/officeDocument/2006/relationships/hyperlink" Target="https://drive.google.com/file/d/1WU4SVoTk2BS5dEo3BUNEWVpwYiZWcLIU/view?usp=drivesdk" TargetMode="External"/><Relationship Id="rId96" Type="http://schemas.openxmlformats.org/officeDocument/2006/relationships/hyperlink" Target="https://drive.google.com/file/d/1KxLigd4huSZHbErM19Gu54DZzY41Az7d/view?usp=drivesdk" TargetMode="External"/><Relationship Id="rId11" Type="http://schemas.openxmlformats.org/officeDocument/2006/relationships/hyperlink" Target="https://drive.google.com/file/d/1tXAiKaikOeqPSBmEhfh4smSUHJJy7G2F/view?usp=drivesdk" TargetMode="External"/><Relationship Id="rId99" Type="http://schemas.openxmlformats.org/officeDocument/2006/relationships/hyperlink" Target="https://drive.google.com/file/d/1UvQM7XD-c8DHYK1FTO22LwpEhZYwiUwI/view?usp=drivesdk" TargetMode="External"/><Relationship Id="rId10" Type="http://schemas.openxmlformats.org/officeDocument/2006/relationships/hyperlink" Target="https://drive.google.com/file/d/1vHtqCD_YJih-vuJMkpf1ChP25fv_TRbs/view?usp=drivesdk" TargetMode="External"/><Relationship Id="rId98" Type="http://schemas.openxmlformats.org/officeDocument/2006/relationships/hyperlink" Target="https://drive.google.com/file/d/1au0X5L5n-iS4d1eZ4UWsmZUBvQD8e2Xn/view?usp=drivesdk" TargetMode="External"/><Relationship Id="rId13" Type="http://schemas.openxmlformats.org/officeDocument/2006/relationships/hyperlink" Target="https://drive.google.com/file/d/198JykvlX_JegUtAxoX5bxluxrvHEpCIm/view?usp=drivesdk" TargetMode="External"/><Relationship Id="rId12" Type="http://schemas.openxmlformats.org/officeDocument/2006/relationships/hyperlink" Target="https://drive.google.com/file/d/1SWtpfHdxyk1BMn3LtQb0hxSosFGvlE5-/view?usp=drivesdk" TargetMode="External"/><Relationship Id="rId91" Type="http://schemas.openxmlformats.org/officeDocument/2006/relationships/hyperlink" Target="https://drive.google.com/file/d/1rp2pS6dIYG6R3DkSp9Hw1apngOk1-ngp/view?usp=drivesdk" TargetMode="External"/><Relationship Id="rId90" Type="http://schemas.openxmlformats.org/officeDocument/2006/relationships/hyperlink" Target="https://drive.google.com/file/d/1hrbDQ1aCLkzW7cwGm4HHxW9SfsHHdFbV/view?usp=drivesdk" TargetMode="External"/><Relationship Id="rId93" Type="http://schemas.openxmlformats.org/officeDocument/2006/relationships/hyperlink" Target="https://drive.google.com/file/d/17uDmloTNeXGzwh2S9Fk4GbSW4tkJJ_4T/view?usp=drivesdk" TargetMode="External"/><Relationship Id="rId92" Type="http://schemas.openxmlformats.org/officeDocument/2006/relationships/hyperlink" Target="https://drive.google.com/file/d/1lIr3lgrZaHklCEKFE3oVorOJfZG5YTrL/view?usp=drivesdk" TargetMode="External"/><Relationship Id="rId116" Type="http://schemas.openxmlformats.org/officeDocument/2006/relationships/drawing" Target="../drawings/drawing25.xml"/><Relationship Id="rId115" Type="http://schemas.openxmlformats.org/officeDocument/2006/relationships/hyperlink" Target="https://drive.google.com/file/d/14rbHwLl-1qgV9iO1nUUGdlf1sXBTL5KF/view?usp=drivesdk" TargetMode="External"/><Relationship Id="rId15" Type="http://schemas.openxmlformats.org/officeDocument/2006/relationships/hyperlink" Target="https://drive.google.com/file/d/1vQuhrrqlBWpyhjopkYmy3_-WlXIjIPqC/view?usp=drivesdk" TargetMode="External"/><Relationship Id="rId110" Type="http://schemas.openxmlformats.org/officeDocument/2006/relationships/hyperlink" Target="https://drive.google.com/file/d/1OzCSW_s7y5dr0Vdr2ZwjTEmI6klKR1OL/view?usp=drivesdk" TargetMode="External"/><Relationship Id="rId14" Type="http://schemas.openxmlformats.org/officeDocument/2006/relationships/hyperlink" Target="https://drive.google.com/file/d/1mVRtXdC0Kb9Vf2j4hi8TIw_6xMLZUClV/view?usp=drivesdk" TargetMode="External"/><Relationship Id="rId17" Type="http://schemas.openxmlformats.org/officeDocument/2006/relationships/hyperlink" Target="https://drive.google.com/file/d/1-J4hf6V82ybCAxJV07LQDI58smI1eJ23/view?usp=drivesdk" TargetMode="External"/><Relationship Id="rId16" Type="http://schemas.openxmlformats.org/officeDocument/2006/relationships/hyperlink" Target="https://drive.google.com/file/d/10ImP8jb_CCLVpuj7LB3Zr6gUTJANUtXC/view?usp=drivesdk" TargetMode="External"/><Relationship Id="rId19" Type="http://schemas.openxmlformats.org/officeDocument/2006/relationships/hyperlink" Target="https://drive.google.com/file/d/10vfFQ82squX4WmV5_kT0GXew6X6DIydL/view?usp=drivesdk" TargetMode="External"/><Relationship Id="rId114" Type="http://schemas.openxmlformats.org/officeDocument/2006/relationships/hyperlink" Target="https://drive.google.com/file/d/1djONbHyRWjJuQBUJPgoRQ3ULhnS05FRh/view?usp=drivesdk" TargetMode="External"/><Relationship Id="rId18" Type="http://schemas.openxmlformats.org/officeDocument/2006/relationships/hyperlink" Target="https://drive.google.com/file/d/1QmpOB-6_FnwPMG_kfcLKScl3sQZaY0V5/view?usp=drivesdk" TargetMode="External"/><Relationship Id="rId113" Type="http://schemas.openxmlformats.org/officeDocument/2006/relationships/hyperlink" Target="https://drive.google.com/file/d/1d1G0NhI3KdoBfbUI5AZBW4TNDB_GZ_ZK/view?usp=drivesdk" TargetMode="External"/><Relationship Id="rId112" Type="http://schemas.openxmlformats.org/officeDocument/2006/relationships/hyperlink" Target="https://drive.google.com/file/d/17Aw-HX12KIfZjxUwnQ7IoYU_sEs2K53s/view?usp=drivesdk" TargetMode="External"/><Relationship Id="rId111" Type="http://schemas.openxmlformats.org/officeDocument/2006/relationships/hyperlink" Target="https://drive.google.com/file/d/13M4F48QjsiZL3f3bg7alQtTh305d22Fn/view?usp=drivesdk" TargetMode="External"/><Relationship Id="rId84" Type="http://schemas.openxmlformats.org/officeDocument/2006/relationships/hyperlink" Target="https://drive.google.com/file/d/1iykgQtL7yDu077lSQ9WJhDLfzpyZJwWZ/view?usp=drivesdk" TargetMode="External"/><Relationship Id="rId83" Type="http://schemas.openxmlformats.org/officeDocument/2006/relationships/hyperlink" Target="https://drive.google.com/file/d/1bWra1f2QE0Zgh4gom7zyJUJifFfFLYlq/view?usp=drivesdk" TargetMode="External"/><Relationship Id="rId86" Type="http://schemas.openxmlformats.org/officeDocument/2006/relationships/hyperlink" Target="https://drive.google.com/file/d/1AKSm8d75PJWp2xnT5kC5pxSie_e_BJJN/view?usp=drivesdk" TargetMode="External"/><Relationship Id="rId85" Type="http://schemas.openxmlformats.org/officeDocument/2006/relationships/hyperlink" Target="https://drive.google.com/file/d/1N8sC_wmDHLgihKO9UKcVAsXHKtfnf2zO/view?usp=drivesdk" TargetMode="External"/><Relationship Id="rId88" Type="http://schemas.openxmlformats.org/officeDocument/2006/relationships/hyperlink" Target="https://drive.google.com/file/d/1efg7ldr_pSVWBms3ArKebN1-dk69zLzt/view?usp=drivesdk" TargetMode="External"/><Relationship Id="rId87" Type="http://schemas.openxmlformats.org/officeDocument/2006/relationships/hyperlink" Target="https://drive.google.com/file/d/1Zt5dDkuVa29NT9CkFarJbxMb9mV9Ormh/view?usp=drivesdk" TargetMode="External"/><Relationship Id="rId89" Type="http://schemas.openxmlformats.org/officeDocument/2006/relationships/hyperlink" Target="https://drive.google.com/file/d/1LRbLBwekis1gR7zkypUh3cR1ipidPmKm/view?usp=drivesdk" TargetMode="External"/><Relationship Id="rId80" Type="http://schemas.openxmlformats.org/officeDocument/2006/relationships/hyperlink" Target="https://drive.google.com/file/d/1SvfH7gxxsN_p2zENSmHD7YsQFnt51DKm/view?usp=drivesdk" TargetMode="External"/><Relationship Id="rId82" Type="http://schemas.openxmlformats.org/officeDocument/2006/relationships/hyperlink" Target="https://drive.google.com/file/d/1-D9y9W0R5XAdX4usNhT8_7epQx8yhCAG/view?usp=drivesdk" TargetMode="External"/><Relationship Id="rId81" Type="http://schemas.openxmlformats.org/officeDocument/2006/relationships/hyperlink" Target="https://drive.google.com/file/d/1IYlb7aQ9mxFNH36cZNzQwE6cCJx_Dv7Z/view?usp=drivesdk" TargetMode="External"/><Relationship Id="rId1" Type="http://schemas.openxmlformats.org/officeDocument/2006/relationships/hyperlink" Target="https://drive.google.com/file/d/1ORESQumOwNk2bhUn5oP0fPSW4L-o6SVS/view?usp=drivesdk" TargetMode="External"/><Relationship Id="rId2" Type="http://schemas.openxmlformats.org/officeDocument/2006/relationships/hyperlink" Target="https://drive.google.com/file/d/1Y9_40cHukfNA69qSE4mv9yqvbeddJBDf/view?usp=drivesdk" TargetMode="External"/><Relationship Id="rId3" Type="http://schemas.openxmlformats.org/officeDocument/2006/relationships/hyperlink" Target="https://drive.google.com/file/d/1SE6HQbDt5OhfjZzrQkGfv8Tm831sNP8w/view?usp=drivesdk" TargetMode="External"/><Relationship Id="rId4" Type="http://schemas.openxmlformats.org/officeDocument/2006/relationships/hyperlink" Target="https://drive.google.com/file/d/151aiRYsMfHgK2GAgH7f_nGJwAoChahPN/view?usp=drivesdk" TargetMode="External"/><Relationship Id="rId9" Type="http://schemas.openxmlformats.org/officeDocument/2006/relationships/hyperlink" Target="https://drive.google.com/file/d/1KG55qN4IYofr6YDPOmLUJGrezWvIy9up/view?usp=drivesdk" TargetMode="External"/><Relationship Id="rId5" Type="http://schemas.openxmlformats.org/officeDocument/2006/relationships/hyperlink" Target="https://drive.google.com/file/d/1TfOU0x-7moyar_eEqB-42tSg7lXpHzJr/view?usp=drivesdk" TargetMode="External"/><Relationship Id="rId6" Type="http://schemas.openxmlformats.org/officeDocument/2006/relationships/hyperlink" Target="https://drive.google.com/file/d/14b1FCa1GsccmOOC-KieSL9Yaj436ooi4/view?usp=drivesdk" TargetMode="External"/><Relationship Id="rId7" Type="http://schemas.openxmlformats.org/officeDocument/2006/relationships/hyperlink" Target="https://drive.google.com/file/d/19zyOsV7mB579NvxJ74oHNRMr5vxfLQ-a/view?usp=drivesdk" TargetMode="External"/><Relationship Id="rId8" Type="http://schemas.openxmlformats.org/officeDocument/2006/relationships/hyperlink" Target="https://drive.google.com/file/d/12spZ-aE162WNHUc-XrgdAWTdY4e36TwA/view?usp=drivesdk" TargetMode="External"/><Relationship Id="rId73" Type="http://schemas.openxmlformats.org/officeDocument/2006/relationships/hyperlink" Target="https://drive.google.com/file/d/1PsHW3fa7TPEGC9fes2pbiDmaF0Zl_G5A/view?usp=drivesdk" TargetMode="External"/><Relationship Id="rId72" Type="http://schemas.openxmlformats.org/officeDocument/2006/relationships/hyperlink" Target="https://drive.google.com/file/d/1Kb-gIXVMi5SuT_fvHTygvsyMe394sTYW/view?usp=drivesdk" TargetMode="External"/><Relationship Id="rId75" Type="http://schemas.openxmlformats.org/officeDocument/2006/relationships/hyperlink" Target="https://drive.google.com/file/d/1nrfrD3pVYBabHCyvaNbwHJ7V_nryRLuO/view?usp=drivesdk" TargetMode="External"/><Relationship Id="rId74" Type="http://schemas.openxmlformats.org/officeDocument/2006/relationships/hyperlink" Target="https://drive.google.com/file/d/1CsiREmrLWhTQzURoh93oIvQs8hPpS2eU/view?usp=drivesdk" TargetMode="External"/><Relationship Id="rId77" Type="http://schemas.openxmlformats.org/officeDocument/2006/relationships/hyperlink" Target="https://drive.google.com/file/d/1Lrq7YQfBacHfT1W3bBrlPI-JkcGM_GSb/view?usp=drivesdk" TargetMode="External"/><Relationship Id="rId76" Type="http://schemas.openxmlformats.org/officeDocument/2006/relationships/hyperlink" Target="https://drive.google.com/file/d/1BDOT3qYYkn4y98BNBOpowY4iIqn635_y/view?usp=drivesdk" TargetMode="External"/><Relationship Id="rId79" Type="http://schemas.openxmlformats.org/officeDocument/2006/relationships/hyperlink" Target="https://drive.google.com/file/d/1F5QbDRNDe4y7mIps9pRx7ds2OtH8YnkK/view?usp=drivesdk" TargetMode="External"/><Relationship Id="rId78" Type="http://schemas.openxmlformats.org/officeDocument/2006/relationships/hyperlink" Target="https://drive.google.com/file/d/1GpCTjADH11VTBxRX4jOifaPVEm82NDkj/view?usp=drivesdk" TargetMode="External"/><Relationship Id="rId71" Type="http://schemas.openxmlformats.org/officeDocument/2006/relationships/hyperlink" Target="https://drive.google.com/file/d/1QqPgIazFoer5Ck8psWr5kck-jnxwgR6B/view?usp=drivesdk" TargetMode="External"/><Relationship Id="rId70" Type="http://schemas.openxmlformats.org/officeDocument/2006/relationships/hyperlink" Target="https://drive.google.com/file/d/13GS9q8oPnHO8oPw7ng2-yeozZzSyBjQR/view?usp=drivesdk" TargetMode="External"/><Relationship Id="rId62" Type="http://schemas.openxmlformats.org/officeDocument/2006/relationships/hyperlink" Target="https://drive.google.com/file/d/1uMz3iZM4ys9gItKa2myRF8QU1KnYzPpb/view?usp=drivesdk" TargetMode="External"/><Relationship Id="rId61" Type="http://schemas.openxmlformats.org/officeDocument/2006/relationships/hyperlink" Target="https://drive.google.com/file/d/1byx6hwOfDmDqzaB3wgh8EuoL3xMtA3cx/view?usp=drivesdk" TargetMode="External"/><Relationship Id="rId64" Type="http://schemas.openxmlformats.org/officeDocument/2006/relationships/hyperlink" Target="https://drive.google.com/file/d/1vawHhD0lTigCr2in93Ic9-WE-Wlw_QMw/view?usp=drivesdk" TargetMode="External"/><Relationship Id="rId63" Type="http://schemas.openxmlformats.org/officeDocument/2006/relationships/hyperlink" Target="https://drive.google.com/file/d/1DC7wCsWJZYqSEpcu8ebdlYiANzcaPepd/view?usp=drivesdk" TargetMode="External"/><Relationship Id="rId66" Type="http://schemas.openxmlformats.org/officeDocument/2006/relationships/hyperlink" Target="https://drive.google.com/file/d/1xX6QShKot5Ywjjibqt-YeKMhp5n2LEgC/view?usp=drivesdk" TargetMode="External"/><Relationship Id="rId65" Type="http://schemas.openxmlformats.org/officeDocument/2006/relationships/hyperlink" Target="https://drive.google.com/file/d/1pRp-ai-SXOtRpF6zzVzufziqf9Du8px4/view?usp=drivesdk" TargetMode="External"/><Relationship Id="rId68" Type="http://schemas.openxmlformats.org/officeDocument/2006/relationships/hyperlink" Target="https://drive.google.com/file/d/1pqCwEWw5C6hg2MaTNkBxk8wHfPkyIG-Q/view?usp=drivesdk" TargetMode="External"/><Relationship Id="rId67" Type="http://schemas.openxmlformats.org/officeDocument/2006/relationships/hyperlink" Target="https://drive.google.com/file/d/1jd7Sv19Y2xrmi9HUW46V6wXrrEzFkAY6/view?usp=drivesdk" TargetMode="External"/><Relationship Id="rId60" Type="http://schemas.openxmlformats.org/officeDocument/2006/relationships/hyperlink" Target="https://drive.google.com/file/d/1p-Lb3yBGA0wGubvkTgBvTHocIwKvXF09/view?usp=drivesdk" TargetMode="External"/><Relationship Id="rId69" Type="http://schemas.openxmlformats.org/officeDocument/2006/relationships/hyperlink" Target="https://drive.google.com/file/d/1pYd8uraItXDUS2iKRL68WuuHlRFeuivp/view?usp=drivesdk" TargetMode="External"/><Relationship Id="rId51" Type="http://schemas.openxmlformats.org/officeDocument/2006/relationships/hyperlink" Target="https://drive.google.com/file/d/17xUpY7mds0ltaekBjY9twQbK76ccmCr7/view?usp=drivesdk" TargetMode="External"/><Relationship Id="rId50" Type="http://schemas.openxmlformats.org/officeDocument/2006/relationships/hyperlink" Target="https://drive.google.com/file/d/1PJqNwa1fj2GnePp_xqlPmjCnc9ElqZeK/view?usp=drivesdk" TargetMode="External"/><Relationship Id="rId53" Type="http://schemas.openxmlformats.org/officeDocument/2006/relationships/hyperlink" Target="https://drive.google.com/file/d/1ULJ1wvURG_UyXLKHdvBsclFML794H4-s/view?usp=drivesdk" TargetMode="External"/><Relationship Id="rId52" Type="http://schemas.openxmlformats.org/officeDocument/2006/relationships/hyperlink" Target="https://drive.google.com/file/d/1dix5KnoacMyMGXygOIHaxID4ONGsjOpH/view?usp=drivesdk" TargetMode="External"/><Relationship Id="rId55" Type="http://schemas.openxmlformats.org/officeDocument/2006/relationships/hyperlink" Target="https://drive.google.com/file/d/1z8iU42yI0l3BX1dOxPb5nlQ9Cod4WUTl/view?usp=drivesdk" TargetMode="External"/><Relationship Id="rId54" Type="http://schemas.openxmlformats.org/officeDocument/2006/relationships/hyperlink" Target="https://drive.google.com/file/d/15LNGQyncqfXThHDeWLszasPYI4g_WXWs/view?usp=drivesdk" TargetMode="External"/><Relationship Id="rId57" Type="http://schemas.openxmlformats.org/officeDocument/2006/relationships/hyperlink" Target="https://drive.google.com/file/d/1k-2hr58lf7tMSFd9wINnBGVRuchby2JJ/view?usp=drivesdk" TargetMode="External"/><Relationship Id="rId56" Type="http://schemas.openxmlformats.org/officeDocument/2006/relationships/hyperlink" Target="https://drive.google.com/file/d/1qZ06Xgzlly77aFf4x6L3rkJOAnXfldrM/view?usp=drivesdk" TargetMode="External"/><Relationship Id="rId59" Type="http://schemas.openxmlformats.org/officeDocument/2006/relationships/hyperlink" Target="https://drive.google.com/file/d/1SAGhkhk4OAJ1MDZODGWjbFZUDplIX5H4/view?usp=drivesdk" TargetMode="External"/><Relationship Id="rId58" Type="http://schemas.openxmlformats.org/officeDocument/2006/relationships/hyperlink" Target="https://drive.google.com/file/d/1Wu4sBLEAEIJ38i65fFSjVydH2pe9df5y/view?usp=drivesdk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Zii3Mbi7UijcFhGd5Yl4gyjvwYiDnIY/view?usp=drivesdk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9cArVOFlj4ZCYEI1MfFGSFJPmRQNtfQo5z4ajIy4uXE/edit?usp=drivesdk" TargetMode="External"/><Relationship Id="rId2" Type="http://schemas.openxmlformats.org/officeDocument/2006/relationships/hyperlink" Target="https://docs.google.com/document/d/1tS6e7TpcGiVKWqMhPFGCnL_MtPN3J76taoppm-pPUDI/edit?usp=drivesdk" TargetMode="External"/><Relationship Id="rId3" Type="http://schemas.openxmlformats.org/officeDocument/2006/relationships/hyperlink" Target="https://docs.google.com/document/d/1hHvNirr-vDT_v1oMRCw6vetZ0XSzFIqP683felfbpxE/edit?usp=drivesdk" TargetMode="External"/><Relationship Id="rId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gsRS1siFO5LTOixuwONMd4_sC2wvKBK/view?usp=drivesdk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mUOnwIEirYQG8-V9n9jA126vIe1Whs9B/view?usp=drivesdk" TargetMode="External"/><Relationship Id="rId10" Type="http://schemas.openxmlformats.org/officeDocument/2006/relationships/hyperlink" Target="https://drive.google.com/file/d/1whPw8sv5rIq4XZgGCQzr1y1fW9Jejz5D/view?usp=drivesdk" TargetMode="External"/><Relationship Id="rId13" Type="http://schemas.openxmlformats.org/officeDocument/2006/relationships/hyperlink" Target="https://drive.google.com/file/d/1x0ZSdZfL_3v-rhIB8VmDx8AI7aAXSwvT/view?usp=drivesdk" TargetMode="External"/><Relationship Id="rId12" Type="http://schemas.openxmlformats.org/officeDocument/2006/relationships/hyperlink" Target="https://drive.google.com/file/d/1KLlqyNZyFGiR7cYN9RGgHpFKSd53Nqiv/view?usp=drivesdk" TargetMode="External"/><Relationship Id="rId15" Type="http://schemas.openxmlformats.org/officeDocument/2006/relationships/hyperlink" Target="https://drive.google.com/file/d/1ijLDdq2nuHKzS_Ed0XRHEO4B_7nW4i7O/view?usp=drivesdk" TargetMode="External"/><Relationship Id="rId14" Type="http://schemas.openxmlformats.org/officeDocument/2006/relationships/hyperlink" Target="https://drive.google.com/file/d/1zGv8XtMSY7kXaEUpJWskHr-kYdUpyNVT/view?usp=drivesdk" TargetMode="External"/><Relationship Id="rId17" Type="http://schemas.openxmlformats.org/officeDocument/2006/relationships/hyperlink" Target="https://drive.google.com/file/d/1We95Edm12ELeMMQac-MdjfwE9b8m_lVT/view?usp=drivesdk" TargetMode="External"/><Relationship Id="rId16" Type="http://schemas.openxmlformats.org/officeDocument/2006/relationships/hyperlink" Target="https://drive.google.com/file/d/14XHwyJwvJlAM6NE_Y4N7OCTMedcZoNDd/view?usp=drivesdk" TargetMode="External"/><Relationship Id="rId18" Type="http://schemas.openxmlformats.org/officeDocument/2006/relationships/drawing" Target="../drawings/drawing30.xml"/><Relationship Id="rId1" Type="http://schemas.openxmlformats.org/officeDocument/2006/relationships/hyperlink" Target="https://drive.google.com/file/d/1RJ5uMhk4r0qhbksCbVJRBhcJnqjbf_ba/view?usp=drivesdk" TargetMode="External"/><Relationship Id="rId2" Type="http://schemas.openxmlformats.org/officeDocument/2006/relationships/hyperlink" Target="https://drive.google.com/file/d/12BvKU3JgUeXF4rP8lgaLUR5y7xHilQZO/view?usp=drivesdk" TargetMode="External"/><Relationship Id="rId3" Type="http://schemas.openxmlformats.org/officeDocument/2006/relationships/hyperlink" Target="https://drive.google.com/file/d/1r528Kp15OZBNRfvX2EmWGeqrPnh-PF-V/view?usp=drivesdk" TargetMode="External"/><Relationship Id="rId4" Type="http://schemas.openxmlformats.org/officeDocument/2006/relationships/hyperlink" Target="https://drive.google.com/file/d/1oJScIC5ULc4vnvmHYFHhGeWKXVj5JLRP/view?usp=drivesdk" TargetMode="External"/><Relationship Id="rId9" Type="http://schemas.openxmlformats.org/officeDocument/2006/relationships/hyperlink" Target="https://drive.google.com/file/d/1A2F6SV7ArtxT5PsOM8qwJWKfsRX1pjIQ/view?usp=drivesdk" TargetMode="External"/><Relationship Id="rId5" Type="http://schemas.openxmlformats.org/officeDocument/2006/relationships/hyperlink" Target="https://drive.google.com/file/d/1VwNNTBeatUmhIJjKN6N5psjDAZA1s3pJ/view?usp=drivesdk" TargetMode="External"/><Relationship Id="rId6" Type="http://schemas.openxmlformats.org/officeDocument/2006/relationships/hyperlink" Target="https://drive.google.com/file/d/1O8P0tKuSKmWGdARLHZ1KPTKnxo97uMPC/view?usp=drivesdk" TargetMode="External"/><Relationship Id="rId7" Type="http://schemas.openxmlformats.org/officeDocument/2006/relationships/hyperlink" Target="https://drive.google.com/file/d/1gyZ72aL8IwBA2ZB-AIoeTxBYPUvjRfDI/view?usp=drivesdk" TargetMode="External"/><Relationship Id="rId8" Type="http://schemas.openxmlformats.org/officeDocument/2006/relationships/hyperlink" Target="https://drive.google.com/file/d/1nsJmGiuleTwvICOpNm4UjKIeTHWebVVw/view?usp=drivesdk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RoBGdGfO9d9z5Cf9kIPv8Ipw9LzCTMU/view?usp=drivesdk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7anyzakbnk781UYbcWD7CcmANEQ3rIA/view?usp=drivesdk" TargetMode="External"/><Relationship Id="rId2" Type="http://schemas.openxmlformats.org/officeDocument/2006/relationships/hyperlink" Target="https://drive.google.com/file/d/13AbuenHiuo08T1_z_BM0pASkl9jVmU0u/view?usp=drivesdk" TargetMode="External"/><Relationship Id="rId3" Type="http://schemas.openxmlformats.org/officeDocument/2006/relationships/hyperlink" Target="https://drive.google.com/file/d/1zngWmAVk-_PbLwLiiKBeNA02rxl9fUVy/view?usp=drivesdk" TargetMode="External"/><Relationship Id="rId4" Type="http://schemas.openxmlformats.org/officeDocument/2006/relationships/hyperlink" Target="https://drive.google.com/file/d/1DqVmvtKppJDXd_JppP-PwTCuihG5ZozQ/view?usp=drivesdk" TargetMode="External"/><Relationship Id="rId5" Type="http://schemas.openxmlformats.org/officeDocument/2006/relationships/hyperlink" Target="https://drive.google.com/file/d/14Re1E3_NnHmyHDtSHskKqXMQY3gJtV9t/view?usp=drivesdk" TargetMode="External"/><Relationship Id="rId6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1DY0wJjCkdUQbzUhQfx0MmWGz0K6B7N/view?usp=drivesdk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ScGlUgVIjqLpPuEbTsVqD2r7mI-DPdM/view?usp=drivesdk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m.si/" TargetMode="External"/><Relationship Id="rId2" Type="http://schemas.openxmlformats.org/officeDocument/2006/relationships/hyperlink" Target="https://drive.google.com/file/d/1FBI9irYOyeY2SCQWRxBFN9YvJB-nlSQt/view?usp=drivesdk" TargetMode="External"/><Relationship Id="rId3" Type="http://schemas.openxmlformats.org/officeDocument/2006/relationships/hyperlink" Target="http://m.si/" TargetMode="External"/><Relationship Id="rId4" Type="http://schemas.openxmlformats.org/officeDocument/2006/relationships/hyperlink" Target="https://drive.google.com/file/d/1DHrWLACs54WcVMX46W3_1MD9piFazUy5/view?usp=drivesdk" TargetMode="External"/><Relationship Id="rId5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36.xml"/><Relationship Id="rId30" Type="http://schemas.openxmlformats.org/officeDocument/2006/relationships/hyperlink" Target="https://drive.google.com/file/d/1TaL3JzEWSG4hVpEeHdt53o0KyBVnAfh5/view?usp=drivesdk" TargetMode="External"/><Relationship Id="rId20" Type="http://schemas.openxmlformats.org/officeDocument/2006/relationships/hyperlink" Target="https://drive.google.com/file/d/119Rt5u_kpRrdDfPPp0dRdUEEFGEXFHNp/view?usp=drivesdk" TargetMode="External"/><Relationship Id="rId22" Type="http://schemas.openxmlformats.org/officeDocument/2006/relationships/hyperlink" Target="https://drive.google.com/file/d/1yGhm-AuCjyDB1jFDAvI_55Z1BV73m9Dr/view?usp=drivesdk" TargetMode="External"/><Relationship Id="rId21" Type="http://schemas.openxmlformats.org/officeDocument/2006/relationships/hyperlink" Target="https://drive.google.com/file/d/1Rkyv-EXj0wjjMnhQdADfo9Eit9rw_8gO/view?usp=drivesdk" TargetMode="External"/><Relationship Id="rId24" Type="http://schemas.openxmlformats.org/officeDocument/2006/relationships/hyperlink" Target="https://drive.google.com/file/d/1zgTRrallgfqnD91hSFf8pl5h2_OY09Tm/view?usp=drivesdk" TargetMode="External"/><Relationship Id="rId23" Type="http://schemas.openxmlformats.org/officeDocument/2006/relationships/hyperlink" Target="https://drive.google.com/file/d/11aACBqJDh1uQGjM4MM5grEQwS_9qvYgt/view?usp=drivesdk" TargetMode="External"/><Relationship Id="rId26" Type="http://schemas.openxmlformats.org/officeDocument/2006/relationships/hyperlink" Target="https://drive.google.com/file/d/1A0aZ5_0zESfhZ7eLV-fmZaDKu1k655TD/view?usp=drivesdk" TargetMode="External"/><Relationship Id="rId25" Type="http://schemas.openxmlformats.org/officeDocument/2006/relationships/hyperlink" Target="https://drive.google.com/file/d/1Gy6HpeQO3NCwF6i1WkQl3HXnO-nvwShu/view?usp=drivesdk" TargetMode="External"/><Relationship Id="rId28" Type="http://schemas.openxmlformats.org/officeDocument/2006/relationships/hyperlink" Target="https://drive.google.com/file/d/1Ch23bWrDPk-osPd1XKBXikjU7_lkmANc/view?usp=drivesdk" TargetMode="External"/><Relationship Id="rId27" Type="http://schemas.openxmlformats.org/officeDocument/2006/relationships/hyperlink" Target="https://drive.google.com/file/d/1F2NsMzNXgdg7rtoq6fVWqwgKzR0X08mc/view?usp=drivesdk" TargetMode="External"/><Relationship Id="rId29" Type="http://schemas.openxmlformats.org/officeDocument/2006/relationships/hyperlink" Target="https://drive.google.com/file/d/16Dn6zRjNnVrmDK01djIXLfAInOW7O3dj/view?usp=drivesdk" TargetMode="External"/><Relationship Id="rId11" Type="http://schemas.openxmlformats.org/officeDocument/2006/relationships/hyperlink" Target="https://drive.google.com/file/d/1QlXXvPEYApiXycTTooCyoal1qfRMSjE7/view?usp=drivesdk" TargetMode="External"/><Relationship Id="rId10" Type="http://schemas.openxmlformats.org/officeDocument/2006/relationships/hyperlink" Target="https://drive.google.com/file/d/1_gH44EQSS00bolZn1FZJaYgn2tSc-B_o/view?usp=drivesdk" TargetMode="External"/><Relationship Id="rId13" Type="http://schemas.openxmlformats.org/officeDocument/2006/relationships/hyperlink" Target="https://drive.google.com/file/d/1t7IHovm8lgfOaSzM6rTGGAlnaeXr_vLE/view?usp=drivesdk" TargetMode="External"/><Relationship Id="rId12" Type="http://schemas.openxmlformats.org/officeDocument/2006/relationships/hyperlink" Target="https://drive.google.com/file/d/19PktuXiczSAl1TCd4tvn4rI2W82NycZb/view?usp=drivesdk" TargetMode="External"/><Relationship Id="rId15" Type="http://schemas.openxmlformats.org/officeDocument/2006/relationships/hyperlink" Target="https://drive.google.com/file/d/1ZeN5iAMYjv83T0KOVCpYrBwnSwd8Nc-c/view?usp=drivesdk" TargetMode="External"/><Relationship Id="rId14" Type="http://schemas.openxmlformats.org/officeDocument/2006/relationships/hyperlink" Target="https://drive.google.com/file/d/1y_i-owQc5gUC0a0fSVWbN-x2GwxQU-M2/view?usp=drivesdk" TargetMode="External"/><Relationship Id="rId17" Type="http://schemas.openxmlformats.org/officeDocument/2006/relationships/hyperlink" Target="https://drive.google.com/file/d/1ud9SIaGvant6tRbbNYrK0IoRj7l2K4Se/view?usp=drivesdk" TargetMode="External"/><Relationship Id="rId16" Type="http://schemas.openxmlformats.org/officeDocument/2006/relationships/hyperlink" Target="https://drive.google.com/file/d/1psbsy8ITcDQ2ajiFVLNyINcrotJrD85i/view?usp=drivesdk" TargetMode="External"/><Relationship Id="rId19" Type="http://schemas.openxmlformats.org/officeDocument/2006/relationships/hyperlink" Target="https://drive.google.com/file/d/1A9js4zXJNdH3afFsoBvWeF0am8q_9PNO/view?usp=drivesdk" TargetMode="External"/><Relationship Id="rId18" Type="http://schemas.openxmlformats.org/officeDocument/2006/relationships/hyperlink" Target="https://drive.google.com/file/d/1V6Y72PC7BVsVKGC33AhCkSyCTb1cjkQ8/view?usp=drivesdk" TargetMode="External"/><Relationship Id="rId1" Type="http://schemas.openxmlformats.org/officeDocument/2006/relationships/hyperlink" Target="https://drive.google.com/file/d/1c5tyZHahYc00AM1iPshbL1DeRaiFjJrm/view?usp=drivesdk" TargetMode="External"/><Relationship Id="rId2" Type="http://schemas.openxmlformats.org/officeDocument/2006/relationships/hyperlink" Target="https://drive.google.com/file/d/1ewXjOUYV5WmO31JnVaZV4q8ZwyKyedY3/view?usp=drivesdk" TargetMode="External"/><Relationship Id="rId3" Type="http://schemas.openxmlformats.org/officeDocument/2006/relationships/hyperlink" Target="https://drive.google.com/file/d/1r9DbuBZH13pHEfAWh5qheZu7ak07ELeX/view?usp=drivesdk" TargetMode="External"/><Relationship Id="rId4" Type="http://schemas.openxmlformats.org/officeDocument/2006/relationships/hyperlink" Target="https://drive.google.com/file/d/1KpbziA3wGaPbFdeAq1wXLrz2XIxxuj6m/view?usp=drivesdk" TargetMode="External"/><Relationship Id="rId9" Type="http://schemas.openxmlformats.org/officeDocument/2006/relationships/hyperlink" Target="https://drive.google.com/file/d/1ehdbz1MYiiUtl29EKK6df7lMe16Vx20s/view?usp=drivesdk" TargetMode="External"/><Relationship Id="rId5" Type="http://schemas.openxmlformats.org/officeDocument/2006/relationships/hyperlink" Target="https://drive.google.com/file/d/1xSwP3i_rUQfxPw3tsMyVRLlBMK5aoass/view?usp=drivesdk" TargetMode="External"/><Relationship Id="rId6" Type="http://schemas.openxmlformats.org/officeDocument/2006/relationships/hyperlink" Target="https://drive.google.com/file/d/1GqxGlx5WN8JTsXQRVgRSw88pSe4QmCVy/view?usp=drivesdk" TargetMode="External"/><Relationship Id="rId7" Type="http://schemas.openxmlformats.org/officeDocument/2006/relationships/hyperlink" Target="https://drive.google.com/file/d/1DwRUWUEiBizC-Jn0J0m01jzhAu6M0l0W/view?usp=drivesdk" TargetMode="External"/><Relationship Id="rId8" Type="http://schemas.openxmlformats.org/officeDocument/2006/relationships/hyperlink" Target="https://drive.google.com/file/d/111RHWl-dQNNUa_OHqKT2FcB9gCuH98iC/view?usp=drivesdk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UmISOwxiOx9AxCjt8HPhPHau6gbXp8q/view?usp=drivesdk" TargetMode="External"/><Relationship Id="rId2" Type="http://schemas.openxmlformats.org/officeDocument/2006/relationships/hyperlink" Target="https://drive.google.com/file/d/1UfzrrLiwVr43sUz5aMQd1ll74rTjOs-z/view?usp=drivesdk" TargetMode="External"/><Relationship Id="rId3" Type="http://schemas.openxmlformats.org/officeDocument/2006/relationships/hyperlink" Target="https://drive.google.com/file/d/1QsmOHryRtoKBFAFqguyCpK7cL7HBZqNK/view?usp=drivesdk" TargetMode="External"/><Relationship Id="rId4" Type="http://schemas.openxmlformats.org/officeDocument/2006/relationships/hyperlink" Target="https://drive.google.com/file/d/1r-nktbi1Q20yq0pPG33JdXVxQAJzUTm3/view?usp=drivesdk" TargetMode="External"/><Relationship Id="rId5" Type="http://schemas.openxmlformats.org/officeDocument/2006/relationships/hyperlink" Target="https://drive.google.com/file/d/1vA9amHzTX0IqS540__oi9KgEzU-KiE4y/view?usp=drivesdk" TargetMode="External"/><Relationship Id="rId6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0uuN_39mXlKIxghNj0764mlt-lSbHgQD/view?usp=drivesdk" TargetMode="External"/><Relationship Id="rId30" Type="http://schemas.openxmlformats.org/officeDocument/2006/relationships/hyperlink" Target="https://drive.google.com/file/d/1gcUxhQvnHA23GfnFHaRFS0eRx5mQ1-GN/view?usp=drivesdk" TargetMode="External"/><Relationship Id="rId33" Type="http://schemas.openxmlformats.org/officeDocument/2006/relationships/hyperlink" Target="https://drive.google.com/file/d/1Qhe87JRI-94hDerbhUQac44ORegtYc7l/view?usp=drivesdk" TargetMode="External"/><Relationship Id="rId32" Type="http://schemas.openxmlformats.org/officeDocument/2006/relationships/hyperlink" Target="https://drive.google.com/file/d/1GsSLiUtCw7JFLzZ1dojt29BF_aL-_O8t/view?usp=drivesdk" TargetMode="External"/><Relationship Id="rId35" Type="http://schemas.openxmlformats.org/officeDocument/2006/relationships/hyperlink" Target="https://drive.google.com/file/d/1sITMjJgxS7CGBk1I3RTmcHs-T5hyYk1I/view?usp=drivesdk" TargetMode="External"/><Relationship Id="rId34" Type="http://schemas.openxmlformats.org/officeDocument/2006/relationships/hyperlink" Target="https://drive.google.com/file/d/19pFnQh3SdLgORFCfFKBc1Od_P0F1Bjtt/view?usp=drivesdk" TargetMode="External"/><Relationship Id="rId37" Type="http://schemas.openxmlformats.org/officeDocument/2006/relationships/hyperlink" Target="https://drive.google.com/file/d/1Snjb7n08H-7uuV6Fl8TlN3heXLN5qM3S/view?usp=drivesdk" TargetMode="External"/><Relationship Id="rId36" Type="http://schemas.openxmlformats.org/officeDocument/2006/relationships/hyperlink" Target="https://drive.google.com/file/d/1PxIFeSKUjeVAbB_gQPqcfhiHgArdJRLl/view?usp=drivesdk" TargetMode="External"/><Relationship Id="rId38" Type="http://schemas.openxmlformats.org/officeDocument/2006/relationships/drawing" Target="../drawings/drawing38.xml"/><Relationship Id="rId20" Type="http://schemas.openxmlformats.org/officeDocument/2006/relationships/hyperlink" Target="https://drive.google.com/file/d/17VlMJjCy5bpxv6Qdemx6VQx-4fPhWkOm/view?usp=drivesdk" TargetMode="External"/><Relationship Id="rId22" Type="http://schemas.openxmlformats.org/officeDocument/2006/relationships/hyperlink" Target="https://drive.google.com/file/d/1vsJP5vQ0uH0cz2mADd4VPoii0YbP5UZq/view?usp=drivesdk" TargetMode="External"/><Relationship Id="rId21" Type="http://schemas.openxmlformats.org/officeDocument/2006/relationships/hyperlink" Target="https://drive.google.com/file/d/1gaMDLqsOQ7VlzALhhNYoLua8aOmnCaO8/view?usp=drivesdk" TargetMode="External"/><Relationship Id="rId24" Type="http://schemas.openxmlformats.org/officeDocument/2006/relationships/hyperlink" Target="https://drive.google.com/file/d/1MvgrysvQnhB85_I0Ga7E96XPVaiAzwk8/view?usp=drivesdk" TargetMode="External"/><Relationship Id="rId23" Type="http://schemas.openxmlformats.org/officeDocument/2006/relationships/hyperlink" Target="https://drive.google.com/file/d/1gv1dssz3JBHU7o-8x9YPO1AC_0fJFnyn/view?usp=drivesdk" TargetMode="External"/><Relationship Id="rId26" Type="http://schemas.openxmlformats.org/officeDocument/2006/relationships/hyperlink" Target="https://drive.google.com/file/d/1ubKeZ5F7HHl6CMWknyVFAfJ2b8kVmTKx/view?usp=drivesdk" TargetMode="External"/><Relationship Id="rId25" Type="http://schemas.openxmlformats.org/officeDocument/2006/relationships/hyperlink" Target="https://drive.google.com/file/d/1Zcm3HMmX6kthpIMkJlK5xPm-a6VDg46y/view?usp=drivesdk" TargetMode="External"/><Relationship Id="rId28" Type="http://schemas.openxmlformats.org/officeDocument/2006/relationships/hyperlink" Target="https://drive.google.com/file/d/1ZVToNsL91txRA6bCh-Xl7LlOXS-Ip1_-/view?usp=drivesdk" TargetMode="External"/><Relationship Id="rId27" Type="http://schemas.openxmlformats.org/officeDocument/2006/relationships/hyperlink" Target="https://drive.google.com/file/d/1cWC4v_fk2oZZRa1PJkIScYufR2KpB83M/view?usp=drivesdk" TargetMode="External"/><Relationship Id="rId29" Type="http://schemas.openxmlformats.org/officeDocument/2006/relationships/hyperlink" Target="https://drive.google.com/file/d/1xHOCzQOC77o_KM2ARk1yol4itnfwgHzi/view?usp=drivesdk" TargetMode="External"/><Relationship Id="rId11" Type="http://schemas.openxmlformats.org/officeDocument/2006/relationships/hyperlink" Target="https://drive.google.com/file/d/1Jb7CzLCagRIcDNtulFz60mqECqct7shQ/view?usp=drivesdk" TargetMode="External"/><Relationship Id="rId10" Type="http://schemas.openxmlformats.org/officeDocument/2006/relationships/hyperlink" Target="https://drive.google.com/file/d/1rMULnFIbRGR2jZmwBBe6zyOpd735tkko/view?usp=drivesdk" TargetMode="External"/><Relationship Id="rId13" Type="http://schemas.openxmlformats.org/officeDocument/2006/relationships/hyperlink" Target="https://drive.google.com/file/d/1l__ZycIx8qCfBHu5SLa5iLlwRWOnJxTf/view?usp=drivesdk" TargetMode="External"/><Relationship Id="rId12" Type="http://schemas.openxmlformats.org/officeDocument/2006/relationships/hyperlink" Target="https://drive.google.com/file/d/1Rpl_BrbHGe8JN04dzUx4zHJbKIBVw5UR/view?usp=drivesdk" TargetMode="External"/><Relationship Id="rId15" Type="http://schemas.openxmlformats.org/officeDocument/2006/relationships/hyperlink" Target="https://drive.google.com/file/d/1y4gPCDPpKSgCQYl1mOFE0dr6kicFrg6_/view?usp=drivesdk" TargetMode="External"/><Relationship Id="rId14" Type="http://schemas.openxmlformats.org/officeDocument/2006/relationships/hyperlink" Target="https://drive.google.com/file/d/1BdamtXS6yqIMlKWWS1G5NtztDOCFdRRf/view?usp=drivesdk" TargetMode="External"/><Relationship Id="rId17" Type="http://schemas.openxmlformats.org/officeDocument/2006/relationships/hyperlink" Target="https://drive.google.com/file/d/1Q0hXsyivNUNOsR0tBXYmZhUhKRsJ7Zoc/view?usp=drivesdk" TargetMode="External"/><Relationship Id="rId16" Type="http://schemas.openxmlformats.org/officeDocument/2006/relationships/hyperlink" Target="https://drive.google.com/file/d/1x015ClH2Ft6tKiRQkzLP9hl5OY2ZrZQ2/view?usp=drivesdk" TargetMode="External"/><Relationship Id="rId19" Type="http://schemas.openxmlformats.org/officeDocument/2006/relationships/hyperlink" Target="https://drive.google.com/file/d/1XtPtlD4ro7ZI2iYf9l_JdN9-FAabUFd7/view?usp=drivesdk" TargetMode="External"/><Relationship Id="rId18" Type="http://schemas.openxmlformats.org/officeDocument/2006/relationships/hyperlink" Target="https://drive.google.com/file/d/160OQlK2EC-A1SDev-n8xRCV2diILGPVO/view?usp=drivesdk" TargetMode="External"/><Relationship Id="rId1" Type="http://schemas.openxmlformats.org/officeDocument/2006/relationships/hyperlink" Target="https://drive.google.com/file/d/1W8MfIQ4eN-DfHc2lISjIKooxIBzKwTid/view?usp=drivesdk" TargetMode="External"/><Relationship Id="rId2" Type="http://schemas.openxmlformats.org/officeDocument/2006/relationships/hyperlink" Target="https://drive.google.com/file/d/1Q1KTNBhbbACZyVmOKCQ0tPDQ2QtmVrqu/view?usp=drivesdk" TargetMode="External"/><Relationship Id="rId3" Type="http://schemas.openxmlformats.org/officeDocument/2006/relationships/hyperlink" Target="https://drive.google.com/file/d/1iRLCbLFpev7mkzBR3Vdp-LZougVG0NBk/view?usp=drivesdk" TargetMode="External"/><Relationship Id="rId4" Type="http://schemas.openxmlformats.org/officeDocument/2006/relationships/hyperlink" Target="https://drive.google.com/file/d/12hpQ6XoOLsumxU7zimQ6bVG9k9F1-nvc/view?usp=drivesdk" TargetMode="External"/><Relationship Id="rId9" Type="http://schemas.openxmlformats.org/officeDocument/2006/relationships/hyperlink" Target="https://drive.google.com/file/d/1-hBID0xAzQt4LYgpSTKEpq36iBh7iHYI/view?usp=drivesdk" TargetMode="External"/><Relationship Id="rId5" Type="http://schemas.openxmlformats.org/officeDocument/2006/relationships/hyperlink" Target="https://drive.google.com/file/d/1SRTrZrUpOjwP9OnzKfyNL7uYyJ_stm0a/view?usp=drivesdk" TargetMode="External"/><Relationship Id="rId6" Type="http://schemas.openxmlformats.org/officeDocument/2006/relationships/hyperlink" Target="https://drive.google.com/file/d/1gNilbA1jPzpwc-hqZF4nauFOXrEyDWVc/view?usp=drivesdk" TargetMode="External"/><Relationship Id="rId7" Type="http://schemas.openxmlformats.org/officeDocument/2006/relationships/hyperlink" Target="https://drive.google.com/file/d/1l6UjyQ6ewWw0y19Ecqqr3Ved6mssJGWJ/view?usp=drivesdk" TargetMode="External"/><Relationship Id="rId8" Type="http://schemas.openxmlformats.org/officeDocument/2006/relationships/hyperlink" Target="https://drive.google.com/file/d/1ItDZrDRuHV4SEb4g1peHGOlk3VjyCQ0J/view?usp=drivesdk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5.88"/>
    <col customWidth="1" min="7" max="7" width="19.25"/>
  </cols>
  <sheetData>
    <row r="1">
      <c r="A1" s="4" t="s">
        <v>6</v>
      </c>
    </row>
    <row r="2">
      <c r="A2" s="4" t="s">
        <v>7</v>
      </c>
    </row>
    <row r="3">
      <c r="A3" s="4" t="s">
        <v>8</v>
      </c>
    </row>
    <row r="4">
      <c r="A4" s="5"/>
      <c r="B4" s="6"/>
      <c r="C4" s="6"/>
      <c r="D4" s="6"/>
      <c r="E4" s="6"/>
      <c r="F4" s="6"/>
      <c r="G4" s="6"/>
      <c r="H4" s="6"/>
    </row>
    <row r="5">
      <c r="A5" s="7" t="s">
        <v>9</v>
      </c>
      <c r="B5" s="8" t="s">
        <v>10</v>
      </c>
      <c r="C5" s="9"/>
      <c r="D5" s="9"/>
      <c r="E5" s="9"/>
      <c r="F5" s="9"/>
      <c r="G5" s="8" t="s">
        <v>11</v>
      </c>
      <c r="H5" s="8" t="s">
        <v>12</v>
      </c>
    </row>
    <row r="6">
      <c r="A6" s="10">
        <v>1.0</v>
      </c>
      <c r="B6" s="11" t="s">
        <v>13</v>
      </c>
      <c r="C6" s="12"/>
      <c r="D6" s="12"/>
      <c r="E6" s="12"/>
      <c r="F6" s="12"/>
      <c r="G6" s="12"/>
      <c r="H6" s="12"/>
    </row>
    <row r="7">
      <c r="A7" s="13"/>
      <c r="B7" s="14">
        <v>1.0</v>
      </c>
      <c r="C7" s="11" t="s">
        <v>14</v>
      </c>
      <c r="D7" s="12"/>
      <c r="E7" s="12"/>
      <c r="F7" s="12"/>
      <c r="G7" s="11" t="s">
        <v>15</v>
      </c>
      <c r="H7" s="15">
        <v>100000.0</v>
      </c>
    </row>
    <row r="8">
      <c r="A8" s="13"/>
      <c r="B8" s="14">
        <v>2.0</v>
      </c>
      <c r="C8" s="11" t="s">
        <v>16</v>
      </c>
      <c r="D8" s="12"/>
      <c r="E8" s="12"/>
      <c r="F8" s="12"/>
      <c r="G8" s="11" t="s">
        <v>15</v>
      </c>
      <c r="H8" s="15">
        <v>140000.0</v>
      </c>
    </row>
    <row r="9">
      <c r="A9" s="13"/>
      <c r="B9" s="14">
        <v>3.0</v>
      </c>
      <c r="C9" s="11" t="s">
        <v>17</v>
      </c>
      <c r="D9" s="12"/>
      <c r="E9" s="12"/>
      <c r="F9" s="12"/>
      <c r="G9" s="11" t="s">
        <v>15</v>
      </c>
      <c r="H9" s="15">
        <v>150000.0</v>
      </c>
    </row>
    <row r="10">
      <c r="A10" s="13"/>
      <c r="B10" s="14">
        <v>4.0</v>
      </c>
      <c r="C10" s="11" t="s">
        <v>18</v>
      </c>
      <c r="D10" s="12"/>
      <c r="E10" s="12"/>
      <c r="F10" s="12"/>
      <c r="G10" s="11" t="s">
        <v>15</v>
      </c>
      <c r="H10" s="15">
        <v>350000.0</v>
      </c>
    </row>
    <row r="11">
      <c r="A11" s="13"/>
      <c r="B11" s="14">
        <v>5.0</v>
      </c>
      <c r="C11" s="11" t="s">
        <v>19</v>
      </c>
      <c r="D11" s="12"/>
      <c r="E11" s="12"/>
      <c r="F11" s="12"/>
      <c r="G11" s="11" t="s">
        <v>15</v>
      </c>
      <c r="H11" s="15">
        <v>300000.0</v>
      </c>
    </row>
    <row r="12">
      <c r="A12" s="13"/>
      <c r="B12" s="14">
        <v>6.0</v>
      </c>
      <c r="C12" s="11" t="s">
        <v>20</v>
      </c>
      <c r="D12" s="12"/>
      <c r="E12" s="12"/>
      <c r="F12" s="12"/>
      <c r="G12" s="11" t="s">
        <v>15</v>
      </c>
      <c r="H12" s="15">
        <v>50000.0</v>
      </c>
    </row>
    <row r="13">
      <c r="A13" s="13"/>
      <c r="B13" s="14">
        <v>7.0</v>
      </c>
      <c r="C13" s="11" t="s">
        <v>21</v>
      </c>
      <c r="D13" s="12"/>
      <c r="E13" s="12"/>
      <c r="F13" s="12"/>
      <c r="G13" s="11" t="s">
        <v>15</v>
      </c>
      <c r="H13" s="15">
        <v>100000.0</v>
      </c>
    </row>
    <row r="14">
      <c r="A14" s="13"/>
      <c r="B14" s="14">
        <v>8.0</v>
      </c>
      <c r="C14" s="11" t="s">
        <v>22</v>
      </c>
      <c r="D14" s="12"/>
      <c r="E14" s="12"/>
      <c r="F14" s="12"/>
      <c r="G14" s="11" t="s">
        <v>15</v>
      </c>
      <c r="H14" s="15">
        <v>100000.0</v>
      </c>
    </row>
    <row r="15">
      <c r="A15" s="13"/>
      <c r="B15" s="14">
        <v>9.0</v>
      </c>
      <c r="C15" s="11" t="s">
        <v>23</v>
      </c>
      <c r="D15" s="12"/>
      <c r="E15" s="12"/>
      <c r="F15" s="12"/>
      <c r="G15" s="11" t="s">
        <v>15</v>
      </c>
      <c r="H15" s="15">
        <v>90000.0</v>
      </c>
    </row>
    <row r="16">
      <c r="A16" s="13"/>
      <c r="B16" s="14">
        <v>10.0</v>
      </c>
      <c r="C16" s="11" t="s">
        <v>24</v>
      </c>
      <c r="D16" s="12"/>
      <c r="E16" s="12"/>
      <c r="F16" s="12"/>
      <c r="G16" s="11" t="s">
        <v>15</v>
      </c>
      <c r="H16" s="15">
        <v>90000.0</v>
      </c>
    </row>
    <row r="17">
      <c r="A17" s="13"/>
      <c r="B17" s="14">
        <v>11.0</v>
      </c>
      <c r="C17" s="11" t="s">
        <v>25</v>
      </c>
      <c r="D17" s="12"/>
      <c r="E17" s="12"/>
      <c r="F17" s="12"/>
      <c r="G17" s="11" t="s">
        <v>15</v>
      </c>
      <c r="H17" s="15">
        <v>110000.0</v>
      </c>
    </row>
    <row r="18">
      <c r="A18" s="13"/>
      <c r="B18" s="14">
        <v>12.0</v>
      </c>
      <c r="C18" s="11" t="s">
        <v>26</v>
      </c>
      <c r="D18" s="12"/>
      <c r="E18" s="12"/>
      <c r="F18" s="12"/>
      <c r="G18" s="11" t="s">
        <v>15</v>
      </c>
      <c r="H18" s="15">
        <v>100000.0</v>
      </c>
    </row>
    <row r="19">
      <c r="A19" s="13"/>
      <c r="B19" s="14">
        <v>13.0</v>
      </c>
      <c r="C19" s="11" t="s">
        <v>27</v>
      </c>
      <c r="D19" s="12"/>
      <c r="E19" s="12"/>
      <c r="F19" s="12"/>
      <c r="G19" s="11" t="s">
        <v>15</v>
      </c>
      <c r="H19" s="15">
        <v>90000.0</v>
      </c>
    </row>
    <row r="20">
      <c r="A20" s="13"/>
      <c r="B20" s="14">
        <v>14.0</v>
      </c>
      <c r="C20" s="11" t="s">
        <v>28</v>
      </c>
      <c r="D20" s="12"/>
      <c r="E20" s="12"/>
      <c r="F20" s="12"/>
      <c r="G20" s="11" t="s">
        <v>15</v>
      </c>
      <c r="H20" s="15">
        <v>100000.0</v>
      </c>
    </row>
    <row r="21">
      <c r="A21" s="13"/>
      <c r="B21" s="14">
        <v>15.0</v>
      </c>
      <c r="C21" s="11" t="s">
        <v>29</v>
      </c>
      <c r="D21" s="12"/>
      <c r="E21" s="12"/>
      <c r="F21" s="12"/>
      <c r="G21" s="11" t="s">
        <v>15</v>
      </c>
      <c r="H21" s="15">
        <v>80000.0</v>
      </c>
    </row>
    <row r="22">
      <c r="A22" s="13"/>
      <c r="B22" s="14">
        <v>16.0</v>
      </c>
      <c r="C22" s="11" t="s">
        <v>30</v>
      </c>
      <c r="D22" s="12"/>
      <c r="E22" s="12"/>
      <c r="F22" s="12"/>
      <c r="G22" s="11" t="s">
        <v>15</v>
      </c>
      <c r="H22" s="15">
        <v>60000.0</v>
      </c>
    </row>
    <row r="23">
      <c r="A23" s="13"/>
      <c r="B23" s="14">
        <v>17.0</v>
      </c>
      <c r="C23" s="11" t="s">
        <v>31</v>
      </c>
      <c r="D23" s="12"/>
      <c r="E23" s="12"/>
      <c r="F23" s="12"/>
      <c r="G23" s="11" t="s">
        <v>15</v>
      </c>
      <c r="H23" s="15">
        <v>90000.0</v>
      </c>
    </row>
    <row r="24">
      <c r="A24" s="13"/>
      <c r="B24" s="14">
        <v>18.0</v>
      </c>
      <c r="C24" s="11" t="s">
        <v>32</v>
      </c>
      <c r="D24" s="12"/>
      <c r="E24" s="12"/>
      <c r="F24" s="12"/>
      <c r="G24" s="11" t="s">
        <v>15</v>
      </c>
      <c r="H24" s="15">
        <v>90000.0</v>
      </c>
    </row>
    <row r="25">
      <c r="A25" s="13"/>
      <c r="B25" s="14">
        <v>19.0</v>
      </c>
      <c r="C25" s="11" t="s">
        <v>33</v>
      </c>
      <c r="D25" s="12"/>
      <c r="E25" s="12"/>
      <c r="F25" s="12"/>
      <c r="G25" s="11" t="s">
        <v>15</v>
      </c>
      <c r="H25" s="15">
        <v>90000.0</v>
      </c>
    </row>
    <row r="26">
      <c r="A26" s="13"/>
      <c r="B26" s="14">
        <v>20.0</v>
      </c>
      <c r="C26" s="11" t="s">
        <v>34</v>
      </c>
      <c r="D26" s="12"/>
      <c r="E26" s="12"/>
      <c r="F26" s="12"/>
      <c r="G26" s="11" t="s">
        <v>15</v>
      </c>
      <c r="H26" s="15">
        <v>90000.0</v>
      </c>
    </row>
    <row r="27">
      <c r="A27" s="13"/>
      <c r="B27" s="14">
        <v>21.0</v>
      </c>
      <c r="C27" s="11" t="s">
        <v>35</v>
      </c>
      <c r="D27" s="12"/>
      <c r="E27" s="12"/>
      <c r="F27" s="12"/>
      <c r="G27" s="11" t="s">
        <v>15</v>
      </c>
      <c r="H27" s="15">
        <v>90000.0</v>
      </c>
    </row>
    <row r="28">
      <c r="A28" s="13"/>
      <c r="B28" s="14">
        <v>22.0</v>
      </c>
      <c r="C28" s="11" t="s">
        <v>36</v>
      </c>
      <c r="D28" s="12"/>
      <c r="E28" s="12"/>
      <c r="F28" s="12"/>
      <c r="G28" s="11" t="s">
        <v>15</v>
      </c>
      <c r="H28" s="15">
        <v>90000.0</v>
      </c>
    </row>
    <row r="29">
      <c r="A29" s="13"/>
      <c r="B29" s="14">
        <v>23.0</v>
      </c>
      <c r="C29" s="11" t="s">
        <v>37</v>
      </c>
      <c r="D29" s="12"/>
      <c r="E29" s="12"/>
      <c r="F29" s="12"/>
      <c r="G29" s="11" t="s">
        <v>15</v>
      </c>
      <c r="H29" s="15">
        <v>90000.0</v>
      </c>
    </row>
    <row r="30">
      <c r="A30" s="13"/>
      <c r="B30" s="14">
        <v>24.0</v>
      </c>
      <c r="C30" s="11" t="s">
        <v>38</v>
      </c>
      <c r="D30" s="12"/>
      <c r="E30" s="12"/>
      <c r="F30" s="12"/>
      <c r="G30" s="11" t="s">
        <v>15</v>
      </c>
      <c r="H30" s="15">
        <v>90000.0</v>
      </c>
    </row>
    <row r="31">
      <c r="A31" s="13"/>
      <c r="B31" s="14">
        <v>25.0</v>
      </c>
      <c r="C31" s="11" t="s">
        <v>39</v>
      </c>
      <c r="D31" s="12"/>
      <c r="E31" s="12"/>
      <c r="F31" s="12"/>
      <c r="G31" s="11" t="s">
        <v>15</v>
      </c>
      <c r="H31" s="15">
        <v>90000.0</v>
      </c>
    </row>
    <row r="32">
      <c r="A32" s="13"/>
      <c r="B32" s="14">
        <v>26.0</v>
      </c>
      <c r="C32" s="11" t="s">
        <v>40</v>
      </c>
      <c r="D32" s="12"/>
      <c r="E32" s="12"/>
      <c r="F32" s="12"/>
      <c r="G32" s="11" t="s">
        <v>15</v>
      </c>
      <c r="H32" s="15">
        <v>300000.0</v>
      </c>
    </row>
    <row r="33">
      <c r="A33" s="13"/>
      <c r="B33" s="14">
        <v>27.0</v>
      </c>
      <c r="C33" s="11" t="s">
        <v>41</v>
      </c>
      <c r="D33" s="12"/>
      <c r="E33" s="12"/>
      <c r="F33" s="12"/>
      <c r="G33" s="11" t="s">
        <v>15</v>
      </c>
      <c r="H33" s="15">
        <v>225000.0</v>
      </c>
    </row>
    <row r="34">
      <c r="A34" s="13"/>
      <c r="B34" s="14">
        <v>28.0</v>
      </c>
      <c r="C34" s="11" t="s">
        <v>42</v>
      </c>
      <c r="D34" s="12"/>
      <c r="E34" s="12"/>
      <c r="F34" s="12"/>
      <c r="G34" s="11" t="s">
        <v>15</v>
      </c>
      <c r="H34" s="15">
        <v>25000.0</v>
      </c>
    </row>
    <row r="35">
      <c r="A35" s="13"/>
      <c r="B35" s="14">
        <v>29.0</v>
      </c>
      <c r="C35" s="11" t="s">
        <v>43</v>
      </c>
      <c r="D35" s="12"/>
      <c r="E35" s="12"/>
      <c r="F35" s="12"/>
      <c r="G35" s="11" t="s">
        <v>15</v>
      </c>
      <c r="H35" s="15">
        <v>25000.0</v>
      </c>
    </row>
    <row r="36">
      <c r="A36" s="13"/>
      <c r="B36" s="14">
        <v>30.0</v>
      </c>
      <c r="C36" s="11" t="s">
        <v>44</v>
      </c>
      <c r="D36" s="12"/>
      <c r="E36" s="12"/>
      <c r="F36" s="12"/>
      <c r="G36" s="11" t="s">
        <v>15</v>
      </c>
      <c r="H36" s="15">
        <v>25000.0</v>
      </c>
    </row>
    <row r="37">
      <c r="A37" s="13"/>
      <c r="B37" s="14">
        <v>31.0</v>
      </c>
      <c r="C37" s="11" t="s">
        <v>45</v>
      </c>
      <c r="D37" s="12"/>
      <c r="E37" s="12"/>
      <c r="F37" s="12"/>
      <c r="G37" s="11" t="s">
        <v>15</v>
      </c>
      <c r="H37" s="15">
        <v>110000.0</v>
      </c>
    </row>
    <row r="38">
      <c r="A38" s="13"/>
      <c r="B38" s="14">
        <v>32.0</v>
      </c>
      <c r="C38" s="11" t="s">
        <v>46</v>
      </c>
      <c r="D38" s="12"/>
      <c r="E38" s="12"/>
      <c r="F38" s="12"/>
      <c r="G38" s="11" t="s">
        <v>15</v>
      </c>
      <c r="H38" s="15">
        <v>150000.0</v>
      </c>
    </row>
    <row r="39">
      <c r="A39" s="13"/>
      <c r="B39" s="14">
        <v>33.0</v>
      </c>
      <c r="C39" s="11" t="s">
        <v>47</v>
      </c>
      <c r="D39" s="12"/>
      <c r="E39" s="12"/>
      <c r="F39" s="12"/>
      <c r="G39" s="11" t="s">
        <v>15</v>
      </c>
      <c r="H39" s="15">
        <v>250000.0</v>
      </c>
    </row>
    <row r="40">
      <c r="A40" s="13"/>
      <c r="B40" s="14">
        <v>34.0</v>
      </c>
      <c r="C40" s="11" t="s">
        <v>48</v>
      </c>
      <c r="D40" s="12"/>
      <c r="E40" s="12"/>
      <c r="F40" s="12"/>
      <c r="G40" s="11" t="s">
        <v>15</v>
      </c>
      <c r="H40" s="15">
        <v>200000.0</v>
      </c>
    </row>
    <row r="41">
      <c r="A41" s="13"/>
      <c r="B41" s="14">
        <v>35.0</v>
      </c>
      <c r="C41" s="11" t="s">
        <v>49</v>
      </c>
      <c r="D41" s="12"/>
      <c r="E41" s="12"/>
      <c r="F41" s="12"/>
      <c r="G41" s="11" t="s">
        <v>15</v>
      </c>
      <c r="H41" s="15">
        <v>200000.0</v>
      </c>
    </row>
    <row r="42">
      <c r="A42" s="13"/>
      <c r="B42" s="14">
        <v>36.0</v>
      </c>
      <c r="C42" s="11" t="s">
        <v>50</v>
      </c>
      <c r="D42" s="12"/>
      <c r="E42" s="12"/>
      <c r="F42" s="12"/>
      <c r="G42" s="11" t="s">
        <v>15</v>
      </c>
      <c r="H42" s="15">
        <v>150000.0</v>
      </c>
    </row>
    <row r="43">
      <c r="A43" s="13"/>
      <c r="B43" s="14">
        <v>37.0</v>
      </c>
      <c r="C43" s="11" t="s">
        <v>51</v>
      </c>
      <c r="D43" s="12"/>
      <c r="E43" s="12"/>
      <c r="F43" s="12"/>
      <c r="G43" s="11" t="s">
        <v>15</v>
      </c>
      <c r="H43" s="15">
        <v>150000.0</v>
      </c>
    </row>
    <row r="44">
      <c r="A44" s="13"/>
      <c r="B44" s="14">
        <v>38.0</v>
      </c>
      <c r="C44" s="11" t="s">
        <v>52</v>
      </c>
      <c r="D44" s="12"/>
      <c r="E44" s="12"/>
      <c r="F44" s="12"/>
      <c r="G44" s="11" t="s">
        <v>15</v>
      </c>
      <c r="H44" s="15">
        <v>150000.0</v>
      </c>
    </row>
    <row r="45">
      <c r="A45" s="13"/>
      <c r="B45" s="14">
        <v>39.0</v>
      </c>
      <c r="C45" s="11" t="s">
        <v>53</v>
      </c>
      <c r="D45" s="12"/>
      <c r="E45" s="12"/>
      <c r="F45" s="12"/>
      <c r="G45" s="11" t="s">
        <v>15</v>
      </c>
      <c r="H45" s="15">
        <v>50000.0</v>
      </c>
    </row>
    <row r="46">
      <c r="A46" s="13"/>
      <c r="B46" s="14">
        <v>40.0</v>
      </c>
      <c r="C46" s="11" t="s">
        <v>54</v>
      </c>
      <c r="D46" s="12"/>
      <c r="E46" s="12"/>
      <c r="F46" s="12"/>
      <c r="G46" s="11" t="s">
        <v>15</v>
      </c>
      <c r="H46" s="15">
        <v>50000.0</v>
      </c>
    </row>
    <row r="47">
      <c r="A47" s="13"/>
      <c r="B47" s="14">
        <v>41.0</v>
      </c>
      <c r="C47" s="11" t="s">
        <v>55</v>
      </c>
      <c r="D47" s="12"/>
      <c r="E47" s="12"/>
      <c r="F47" s="12"/>
      <c r="G47" s="11" t="s">
        <v>15</v>
      </c>
      <c r="H47" s="15">
        <v>100000.0</v>
      </c>
    </row>
    <row r="48">
      <c r="A48" s="13"/>
      <c r="B48" s="14">
        <v>42.0</v>
      </c>
      <c r="C48" s="11" t="s">
        <v>56</v>
      </c>
      <c r="D48" s="12"/>
      <c r="E48" s="12"/>
      <c r="F48" s="12"/>
      <c r="G48" s="11" t="s">
        <v>15</v>
      </c>
      <c r="H48" s="15">
        <v>100000.0</v>
      </c>
    </row>
    <row r="49">
      <c r="A49" s="13"/>
      <c r="B49" s="14">
        <v>43.0</v>
      </c>
      <c r="C49" s="11" t="s">
        <v>57</v>
      </c>
      <c r="D49" s="12"/>
      <c r="E49" s="12"/>
      <c r="F49" s="12"/>
      <c r="G49" s="11" t="s">
        <v>15</v>
      </c>
      <c r="H49" s="15">
        <v>100000.0</v>
      </c>
    </row>
    <row r="50">
      <c r="A50" s="13"/>
      <c r="B50" s="14">
        <v>44.0</v>
      </c>
      <c r="C50" s="11" t="s">
        <v>58</v>
      </c>
      <c r="D50" s="12"/>
      <c r="E50" s="12"/>
      <c r="F50" s="12"/>
      <c r="G50" s="11" t="s">
        <v>15</v>
      </c>
      <c r="H50" s="15">
        <v>100000.0</v>
      </c>
    </row>
    <row r="51">
      <c r="A51" s="13"/>
      <c r="B51" s="14">
        <v>45.0</v>
      </c>
      <c r="C51" s="11" t="s">
        <v>59</v>
      </c>
      <c r="D51" s="12"/>
      <c r="E51" s="12"/>
      <c r="F51" s="12"/>
      <c r="G51" s="11" t="s">
        <v>15</v>
      </c>
      <c r="H51" s="15">
        <v>100000.0</v>
      </c>
    </row>
    <row r="52">
      <c r="A52" s="13"/>
      <c r="B52" s="14">
        <v>46.0</v>
      </c>
      <c r="C52" s="11" t="s">
        <v>60</v>
      </c>
      <c r="D52" s="12"/>
      <c r="E52" s="12"/>
      <c r="F52" s="12"/>
      <c r="G52" s="11" t="s">
        <v>15</v>
      </c>
      <c r="H52" s="15">
        <v>100000.0</v>
      </c>
    </row>
    <row r="53">
      <c r="A53" s="13"/>
      <c r="B53" s="14">
        <v>47.0</v>
      </c>
      <c r="C53" s="11" t="s">
        <v>61</v>
      </c>
      <c r="D53" s="12"/>
      <c r="E53" s="12"/>
      <c r="F53" s="12"/>
      <c r="G53" s="11" t="s">
        <v>15</v>
      </c>
      <c r="H53" s="15">
        <v>100000.0</v>
      </c>
    </row>
    <row r="54">
      <c r="A54" s="13"/>
      <c r="B54" s="14">
        <v>48.0</v>
      </c>
      <c r="C54" s="11" t="s">
        <v>62</v>
      </c>
      <c r="D54" s="12"/>
      <c r="E54" s="12"/>
      <c r="F54" s="12"/>
      <c r="G54" s="11" t="s">
        <v>15</v>
      </c>
      <c r="H54" s="15">
        <v>100000.0</v>
      </c>
    </row>
    <row r="55">
      <c r="A55" s="10">
        <v>2.0</v>
      </c>
      <c r="B55" s="11" t="s">
        <v>63</v>
      </c>
      <c r="C55" s="12"/>
      <c r="D55" s="12"/>
      <c r="E55" s="12"/>
      <c r="F55" s="12"/>
      <c r="G55" s="12"/>
      <c r="H55" s="12"/>
    </row>
    <row r="56">
      <c r="A56" s="13"/>
      <c r="B56" s="14">
        <v>1.0</v>
      </c>
      <c r="C56" s="11" t="s">
        <v>64</v>
      </c>
      <c r="D56" s="12"/>
      <c r="E56" s="12"/>
      <c r="F56" s="12"/>
      <c r="G56" s="11" t="s">
        <v>15</v>
      </c>
      <c r="H56" s="15">
        <v>100000.0</v>
      </c>
    </row>
    <row r="57">
      <c r="A57" s="13"/>
      <c r="B57" s="14">
        <v>2.0</v>
      </c>
      <c r="C57" s="11" t="s">
        <v>65</v>
      </c>
      <c r="D57" s="12"/>
      <c r="E57" s="12"/>
      <c r="F57" s="12"/>
      <c r="G57" s="11" t="s">
        <v>15</v>
      </c>
      <c r="H57" s="15">
        <v>100000.0</v>
      </c>
    </row>
    <row r="58">
      <c r="A58" s="13"/>
      <c r="B58" s="14">
        <v>3.0</v>
      </c>
      <c r="C58" s="11" t="s">
        <v>36</v>
      </c>
      <c r="D58" s="12"/>
      <c r="E58" s="12"/>
      <c r="F58" s="12"/>
      <c r="G58" s="11" t="s">
        <v>15</v>
      </c>
      <c r="H58" s="15">
        <v>200000.0</v>
      </c>
    </row>
    <row r="59">
      <c r="A59" s="13"/>
      <c r="B59" s="14">
        <v>4.0</v>
      </c>
      <c r="C59" s="11" t="s">
        <v>66</v>
      </c>
      <c r="D59" s="12"/>
      <c r="E59" s="12"/>
      <c r="F59" s="12"/>
      <c r="G59" s="11" t="s">
        <v>15</v>
      </c>
      <c r="H59" s="15">
        <v>200000.0</v>
      </c>
    </row>
    <row r="60">
      <c r="A60" s="13"/>
      <c r="B60" s="14">
        <v>5.0</v>
      </c>
      <c r="C60" s="11" t="s">
        <v>67</v>
      </c>
      <c r="D60" s="12"/>
      <c r="E60" s="12"/>
      <c r="F60" s="12"/>
      <c r="G60" s="11" t="s">
        <v>15</v>
      </c>
      <c r="H60" s="15">
        <v>150000.0</v>
      </c>
    </row>
    <row r="61">
      <c r="A61" s="13"/>
      <c r="B61" s="14">
        <v>6.0</v>
      </c>
      <c r="C61" s="11" t="s">
        <v>68</v>
      </c>
      <c r="D61" s="12"/>
      <c r="E61" s="12"/>
      <c r="F61" s="12"/>
      <c r="G61" s="11" t="s">
        <v>15</v>
      </c>
      <c r="H61" s="15">
        <v>90000.0</v>
      </c>
    </row>
    <row r="62">
      <c r="A62" s="13"/>
      <c r="B62" s="14">
        <v>7.0</v>
      </c>
      <c r="C62" s="11" t="s">
        <v>69</v>
      </c>
      <c r="D62" s="12"/>
      <c r="E62" s="12"/>
      <c r="F62" s="12"/>
      <c r="G62" s="11" t="s">
        <v>15</v>
      </c>
      <c r="H62" s="15">
        <v>150000.0</v>
      </c>
    </row>
    <row r="63">
      <c r="A63" s="13"/>
      <c r="B63" s="14">
        <v>8.0</v>
      </c>
      <c r="C63" s="11" t="s">
        <v>70</v>
      </c>
      <c r="D63" s="12"/>
      <c r="E63" s="12"/>
      <c r="F63" s="12"/>
      <c r="G63" s="11" t="s">
        <v>15</v>
      </c>
      <c r="H63" s="15">
        <v>100000.0</v>
      </c>
    </row>
    <row r="64">
      <c r="A64" s="13"/>
      <c r="B64" s="12"/>
      <c r="C64" s="12"/>
      <c r="D64" s="12"/>
      <c r="E64" s="12"/>
      <c r="F64" s="12"/>
      <c r="G64" s="12"/>
      <c r="H64" s="12"/>
    </row>
    <row r="65">
      <c r="A65" s="13"/>
      <c r="B65" s="11" t="s">
        <v>71</v>
      </c>
      <c r="C65" s="12"/>
      <c r="D65" s="12"/>
      <c r="E65" s="12"/>
      <c r="F65" s="12"/>
      <c r="G65" s="12"/>
      <c r="H65" s="12"/>
    </row>
    <row r="66">
      <c r="A66" s="13"/>
      <c r="B66" s="14">
        <v>1.0</v>
      </c>
      <c r="C66" s="11" t="s">
        <v>72</v>
      </c>
      <c r="D66" s="12"/>
      <c r="E66" s="12"/>
      <c r="F66" s="12"/>
      <c r="G66" s="11" t="s">
        <v>15</v>
      </c>
      <c r="H66" s="15">
        <v>100000.0</v>
      </c>
    </row>
    <row r="67">
      <c r="A67" s="13"/>
      <c r="B67" s="11" t="s">
        <v>73</v>
      </c>
      <c r="C67" s="12"/>
      <c r="D67" s="12"/>
      <c r="E67" s="12"/>
      <c r="F67" s="12"/>
      <c r="G67" s="12"/>
      <c r="H67" s="12"/>
    </row>
    <row r="68">
      <c r="A68" s="13"/>
      <c r="B68" s="14">
        <v>1.0</v>
      </c>
      <c r="C68" s="11" t="s">
        <v>74</v>
      </c>
      <c r="D68" s="12"/>
      <c r="E68" s="12"/>
      <c r="F68" s="12"/>
      <c r="G68" s="11" t="s">
        <v>15</v>
      </c>
      <c r="H68" s="15">
        <v>100000.0</v>
      </c>
    </row>
    <row r="69">
      <c r="A69" s="13"/>
      <c r="B69" s="12"/>
      <c r="C69" s="12"/>
      <c r="D69" s="12"/>
      <c r="E69" s="12"/>
      <c r="F69" s="12"/>
      <c r="G69" s="12"/>
      <c r="H69" s="12"/>
    </row>
    <row r="70">
      <c r="A70" s="10">
        <v>3.0</v>
      </c>
      <c r="B70" s="11" t="s">
        <v>75</v>
      </c>
      <c r="C70" s="12"/>
      <c r="D70" s="12"/>
      <c r="E70" s="12"/>
      <c r="F70" s="12"/>
      <c r="G70" s="12"/>
      <c r="H70" s="12"/>
    </row>
    <row r="71">
      <c r="A71" s="13"/>
      <c r="B71" s="11" t="s">
        <v>76</v>
      </c>
      <c r="C71" s="11" t="s">
        <v>77</v>
      </c>
      <c r="D71" s="12"/>
      <c r="E71" s="12"/>
      <c r="F71" s="12"/>
      <c r="G71" s="11" t="s">
        <v>15</v>
      </c>
      <c r="H71" s="15">
        <v>600000.0</v>
      </c>
    </row>
    <row r="72">
      <c r="A72" s="13"/>
      <c r="B72" s="11" t="s">
        <v>78</v>
      </c>
      <c r="C72" s="11" t="s">
        <v>79</v>
      </c>
      <c r="D72" s="12"/>
      <c r="E72" s="12"/>
      <c r="F72" s="12"/>
      <c r="G72" s="11" t="s">
        <v>15</v>
      </c>
      <c r="H72" s="15">
        <v>300000.0</v>
      </c>
    </row>
    <row r="73">
      <c r="A73" s="13"/>
      <c r="B73" s="11" t="s">
        <v>80</v>
      </c>
      <c r="C73" s="11" t="s">
        <v>81</v>
      </c>
      <c r="D73" s="12"/>
      <c r="E73" s="12"/>
      <c r="F73" s="12"/>
      <c r="G73" s="11" t="s">
        <v>15</v>
      </c>
      <c r="H73" s="15">
        <v>300000.0</v>
      </c>
    </row>
    <row r="74">
      <c r="A74" s="13"/>
      <c r="B74" s="12"/>
      <c r="C74" s="12"/>
      <c r="D74" s="12"/>
      <c r="E74" s="12"/>
      <c r="F74" s="12"/>
      <c r="G74" s="12"/>
      <c r="H74" s="12"/>
    </row>
    <row r="75">
      <c r="A75" s="10">
        <v>4.0</v>
      </c>
      <c r="B75" s="11" t="s">
        <v>82</v>
      </c>
      <c r="C75" s="12"/>
      <c r="D75" s="12"/>
      <c r="E75" s="12"/>
      <c r="F75" s="12"/>
      <c r="G75" s="12"/>
      <c r="H75" s="12"/>
    </row>
    <row r="76">
      <c r="A76" s="13"/>
      <c r="B76" s="11" t="s">
        <v>76</v>
      </c>
      <c r="C76" s="11" t="s">
        <v>83</v>
      </c>
      <c r="D76" s="12"/>
      <c r="E76" s="12"/>
      <c r="F76" s="12"/>
      <c r="G76" s="12"/>
      <c r="H76" s="12"/>
    </row>
    <row r="77">
      <c r="A77" s="13"/>
      <c r="B77" s="12"/>
      <c r="C77" s="14">
        <v>1.0</v>
      </c>
      <c r="D77" s="11" t="s">
        <v>84</v>
      </c>
      <c r="E77" s="12"/>
      <c r="F77" s="12"/>
      <c r="G77" s="11" t="s">
        <v>15</v>
      </c>
      <c r="H77" s="15">
        <v>500000.0</v>
      </c>
    </row>
    <row r="78">
      <c r="A78" s="13"/>
      <c r="B78" s="12"/>
      <c r="C78" s="14">
        <v>2.0</v>
      </c>
      <c r="D78" s="11" t="s">
        <v>85</v>
      </c>
      <c r="E78" s="12"/>
      <c r="F78" s="12"/>
      <c r="G78" s="11" t="s">
        <v>15</v>
      </c>
      <c r="H78" s="15">
        <v>150000.0</v>
      </c>
    </row>
    <row r="79">
      <c r="A79" s="13"/>
      <c r="B79" s="12"/>
      <c r="C79" s="14">
        <v>3.0</v>
      </c>
      <c r="D79" s="11" t="s">
        <v>86</v>
      </c>
      <c r="E79" s="12"/>
      <c r="F79" s="12"/>
      <c r="G79" s="11" t="s">
        <v>15</v>
      </c>
      <c r="H79" s="15">
        <v>150000.0</v>
      </c>
    </row>
    <row r="80">
      <c r="A80" s="13"/>
      <c r="B80" s="12"/>
      <c r="C80" s="12"/>
      <c r="D80" s="12"/>
      <c r="E80" s="12"/>
      <c r="F80" s="12"/>
      <c r="G80" s="12"/>
      <c r="H80" s="12"/>
    </row>
    <row r="81">
      <c r="A81" s="13"/>
      <c r="B81" s="11" t="s">
        <v>78</v>
      </c>
      <c r="C81" s="11" t="s">
        <v>87</v>
      </c>
      <c r="D81" s="12"/>
      <c r="E81" s="12"/>
      <c r="F81" s="12"/>
      <c r="G81" s="12"/>
      <c r="H81" s="12"/>
    </row>
    <row r="82">
      <c r="A82" s="13"/>
      <c r="B82" s="12"/>
      <c r="C82" s="14">
        <v>1.0</v>
      </c>
      <c r="D82" s="11" t="s">
        <v>88</v>
      </c>
      <c r="E82" s="12"/>
      <c r="F82" s="12"/>
      <c r="G82" s="11" t="s">
        <v>15</v>
      </c>
      <c r="H82" s="15">
        <v>75000.0</v>
      </c>
    </row>
    <row r="83">
      <c r="A83" s="13"/>
      <c r="B83" s="12"/>
      <c r="C83" s="14">
        <v>2.0</v>
      </c>
      <c r="D83" s="11" t="s">
        <v>89</v>
      </c>
      <c r="E83" s="12"/>
      <c r="F83" s="12"/>
      <c r="G83" s="11" t="s">
        <v>15</v>
      </c>
      <c r="H83" s="15">
        <v>75000.0</v>
      </c>
    </row>
    <row r="84">
      <c r="A84" s="13"/>
      <c r="B84" s="12"/>
      <c r="C84" s="14">
        <v>3.0</v>
      </c>
      <c r="D84" s="11" t="s">
        <v>90</v>
      </c>
      <c r="E84" s="12"/>
      <c r="F84" s="12"/>
      <c r="G84" s="11" t="s">
        <v>15</v>
      </c>
      <c r="H84" s="15">
        <v>145000.0</v>
      </c>
    </row>
    <row r="85">
      <c r="A85" s="13"/>
      <c r="B85" s="12"/>
      <c r="C85" s="14">
        <v>4.0</v>
      </c>
      <c r="D85" s="11" t="s">
        <v>91</v>
      </c>
      <c r="E85" s="12"/>
      <c r="F85" s="12"/>
      <c r="G85" s="11" t="s">
        <v>15</v>
      </c>
      <c r="H85" s="15">
        <v>110000.0</v>
      </c>
    </row>
    <row r="86">
      <c r="A86" s="13"/>
      <c r="B86" s="12"/>
      <c r="C86" s="14">
        <v>5.0</v>
      </c>
      <c r="D86" s="11" t="s">
        <v>92</v>
      </c>
      <c r="E86" s="12"/>
      <c r="F86" s="12"/>
      <c r="G86" s="11" t="s">
        <v>15</v>
      </c>
      <c r="H86" s="15">
        <v>85000.0</v>
      </c>
    </row>
    <row r="87">
      <c r="A87" s="13"/>
      <c r="B87" s="12"/>
      <c r="C87" s="14">
        <v>6.0</v>
      </c>
      <c r="D87" s="11" t="s">
        <v>93</v>
      </c>
      <c r="E87" s="12"/>
      <c r="F87" s="12"/>
      <c r="G87" s="11" t="s">
        <v>15</v>
      </c>
      <c r="H87" s="15">
        <v>220000.0</v>
      </c>
    </row>
    <row r="88">
      <c r="A88" s="13"/>
      <c r="B88" s="12"/>
      <c r="C88" s="14">
        <v>7.0</v>
      </c>
      <c r="D88" s="11" t="s">
        <v>94</v>
      </c>
      <c r="E88" s="12"/>
      <c r="F88" s="12"/>
      <c r="G88" s="11" t="s">
        <v>15</v>
      </c>
      <c r="H88" s="15">
        <v>30000.0</v>
      </c>
    </row>
    <row r="89">
      <c r="A89" s="13"/>
      <c r="B89" s="12"/>
      <c r="C89" s="14">
        <v>8.0</v>
      </c>
      <c r="D89" s="11" t="s">
        <v>95</v>
      </c>
      <c r="E89" s="12"/>
      <c r="F89" s="12"/>
      <c r="G89" s="11" t="s">
        <v>15</v>
      </c>
      <c r="H89" s="15">
        <v>60000.0</v>
      </c>
    </row>
    <row r="90">
      <c r="A90" s="13"/>
      <c r="B90" s="12"/>
      <c r="C90" s="14">
        <v>9.0</v>
      </c>
      <c r="D90" s="11" t="s">
        <v>96</v>
      </c>
      <c r="E90" s="12"/>
      <c r="F90" s="12"/>
      <c r="G90" s="11" t="s">
        <v>15</v>
      </c>
      <c r="H90" s="15">
        <v>80000.0</v>
      </c>
    </row>
    <row r="91">
      <c r="A91" s="13"/>
      <c r="B91" s="12"/>
      <c r="C91" s="14">
        <v>10.0</v>
      </c>
      <c r="D91" s="11" t="s">
        <v>97</v>
      </c>
      <c r="E91" s="12"/>
      <c r="F91" s="12"/>
      <c r="G91" s="11" t="s">
        <v>15</v>
      </c>
      <c r="H91" s="15">
        <v>100000.0</v>
      </c>
    </row>
    <row r="92">
      <c r="A92" s="13"/>
      <c r="B92" s="12"/>
      <c r="C92" s="14">
        <v>11.0</v>
      </c>
      <c r="D92" s="11" t="s">
        <v>98</v>
      </c>
      <c r="E92" s="12"/>
      <c r="F92" s="12"/>
      <c r="G92" s="11" t="s">
        <v>15</v>
      </c>
      <c r="H92" s="15">
        <v>100000.0</v>
      </c>
    </row>
    <row r="93">
      <c r="A93" s="13"/>
      <c r="B93" s="12"/>
      <c r="C93" s="14">
        <v>12.0</v>
      </c>
      <c r="D93" s="11" t="s">
        <v>99</v>
      </c>
      <c r="E93" s="12"/>
      <c r="F93" s="12"/>
      <c r="G93" s="11" t="s">
        <v>15</v>
      </c>
      <c r="H93" s="15">
        <v>300000.0</v>
      </c>
    </row>
    <row r="94">
      <c r="A94" s="13"/>
      <c r="B94" s="12"/>
      <c r="C94" s="14">
        <v>13.0</v>
      </c>
      <c r="D94" s="11" t="s">
        <v>100</v>
      </c>
      <c r="E94" s="12"/>
      <c r="F94" s="12"/>
      <c r="G94" s="11" t="s">
        <v>15</v>
      </c>
      <c r="H94" s="15">
        <v>160000.0</v>
      </c>
    </row>
    <row r="95">
      <c r="A95" s="13"/>
      <c r="B95" s="12"/>
      <c r="C95" s="14">
        <v>14.0</v>
      </c>
      <c r="D95" s="11" t="s">
        <v>101</v>
      </c>
      <c r="E95" s="12"/>
      <c r="F95" s="12"/>
      <c r="G95" s="11" t="s">
        <v>15</v>
      </c>
      <c r="H95" s="15">
        <v>300000.0</v>
      </c>
    </row>
    <row r="96">
      <c r="A96" s="13"/>
      <c r="B96" s="12"/>
      <c r="C96" s="14">
        <v>15.0</v>
      </c>
      <c r="D96" s="11" t="s">
        <v>102</v>
      </c>
      <c r="E96" s="12"/>
      <c r="F96" s="12"/>
      <c r="G96" s="11" t="s">
        <v>15</v>
      </c>
      <c r="H96" s="15">
        <v>200000.0</v>
      </c>
    </row>
    <row r="97">
      <c r="A97" s="13"/>
      <c r="B97" s="12"/>
      <c r="C97" s="14">
        <v>16.0</v>
      </c>
      <c r="D97" s="11" t="s">
        <v>103</v>
      </c>
      <c r="E97" s="12"/>
      <c r="F97" s="12"/>
      <c r="G97" s="11" t="s">
        <v>15</v>
      </c>
      <c r="H97" s="15">
        <v>150000.0</v>
      </c>
    </row>
    <row r="98">
      <c r="A98" s="13"/>
      <c r="B98" s="12"/>
      <c r="C98" s="14">
        <v>17.0</v>
      </c>
      <c r="D98" s="11" t="s">
        <v>104</v>
      </c>
      <c r="E98" s="12"/>
      <c r="F98" s="12"/>
      <c r="G98" s="11" t="s">
        <v>15</v>
      </c>
      <c r="H98" s="15">
        <v>150000.0</v>
      </c>
    </row>
    <row r="99">
      <c r="A99" s="13"/>
      <c r="B99" s="12"/>
      <c r="C99" s="12"/>
      <c r="D99" s="12"/>
      <c r="E99" s="12"/>
      <c r="F99" s="12"/>
      <c r="G99" s="12"/>
      <c r="H99" s="12"/>
    </row>
    <row r="100">
      <c r="A100" s="13"/>
      <c r="B100" s="11" t="s">
        <v>80</v>
      </c>
      <c r="C100" s="11" t="s">
        <v>105</v>
      </c>
      <c r="D100" s="12"/>
      <c r="E100" s="12"/>
      <c r="F100" s="12"/>
      <c r="G100" s="12"/>
      <c r="H100" s="12"/>
    </row>
    <row r="101">
      <c r="A101" s="13"/>
      <c r="B101" s="12"/>
      <c r="C101" s="14">
        <v>1.0</v>
      </c>
      <c r="D101" s="11" t="s">
        <v>106</v>
      </c>
      <c r="E101" s="12"/>
      <c r="F101" s="12"/>
      <c r="G101" s="11" t="s">
        <v>15</v>
      </c>
      <c r="H101" s="15">
        <v>30000.0</v>
      </c>
    </row>
    <row r="102">
      <c r="A102" s="13"/>
      <c r="B102" s="12"/>
      <c r="C102" s="14">
        <v>2.0</v>
      </c>
      <c r="D102" s="11" t="s">
        <v>107</v>
      </c>
      <c r="E102" s="12"/>
      <c r="F102" s="12"/>
      <c r="G102" s="11" t="s">
        <v>15</v>
      </c>
      <c r="H102" s="15">
        <v>25000.0</v>
      </c>
    </row>
    <row r="103">
      <c r="A103" s="13"/>
      <c r="B103" s="12"/>
      <c r="C103" s="14">
        <v>3.0</v>
      </c>
      <c r="D103" s="11" t="s">
        <v>54</v>
      </c>
      <c r="E103" s="12"/>
      <c r="F103" s="12"/>
      <c r="G103" s="11" t="s">
        <v>15</v>
      </c>
      <c r="H103" s="15">
        <v>50000.0</v>
      </c>
    </row>
    <row r="104">
      <c r="A104" s="13"/>
      <c r="B104" s="12"/>
      <c r="C104" s="14">
        <v>4.0</v>
      </c>
      <c r="D104" s="11" t="s">
        <v>53</v>
      </c>
      <c r="E104" s="12"/>
      <c r="F104" s="12"/>
      <c r="G104" s="11" t="s">
        <v>15</v>
      </c>
      <c r="H104" s="15">
        <v>50000.0</v>
      </c>
    </row>
    <row r="105">
      <c r="A105" s="13"/>
      <c r="B105" s="12"/>
      <c r="C105" s="14">
        <v>5.0</v>
      </c>
      <c r="D105" s="11" t="s">
        <v>108</v>
      </c>
      <c r="E105" s="12"/>
      <c r="F105" s="12"/>
      <c r="G105" s="11" t="s">
        <v>15</v>
      </c>
      <c r="H105" s="15">
        <v>100000.0</v>
      </c>
    </row>
    <row r="106">
      <c r="A106" s="13"/>
      <c r="B106" s="12"/>
      <c r="C106" s="14">
        <v>6.0</v>
      </c>
      <c r="D106" s="11" t="s">
        <v>109</v>
      </c>
      <c r="E106" s="12"/>
      <c r="F106" s="12"/>
      <c r="G106" s="11" t="s">
        <v>15</v>
      </c>
      <c r="H106" s="15">
        <v>30000.0</v>
      </c>
    </row>
    <row r="107">
      <c r="A107" s="13"/>
      <c r="B107" s="12"/>
      <c r="C107" s="14">
        <v>7.0</v>
      </c>
      <c r="D107" s="11" t="s">
        <v>24</v>
      </c>
      <c r="E107" s="12"/>
      <c r="F107" s="12"/>
      <c r="G107" s="11" t="s">
        <v>15</v>
      </c>
      <c r="H107" s="15">
        <v>90000.0</v>
      </c>
    </row>
    <row r="108">
      <c r="A108" s="13"/>
      <c r="B108" s="12"/>
      <c r="C108" s="14">
        <v>8.0</v>
      </c>
      <c r="D108" s="11" t="s">
        <v>23</v>
      </c>
      <c r="E108" s="12"/>
      <c r="F108" s="12"/>
      <c r="G108" s="11" t="s">
        <v>15</v>
      </c>
      <c r="H108" s="15">
        <v>90000.0</v>
      </c>
    </row>
    <row r="109">
      <c r="A109" s="13"/>
      <c r="B109" s="12"/>
      <c r="C109" s="14">
        <v>9.0</v>
      </c>
      <c r="D109" s="11" t="s">
        <v>110</v>
      </c>
      <c r="E109" s="12"/>
      <c r="F109" s="12"/>
      <c r="G109" s="11" t="s">
        <v>15</v>
      </c>
      <c r="H109" s="15">
        <v>110000.0</v>
      </c>
    </row>
    <row r="110">
      <c r="A110" s="13"/>
      <c r="B110" s="12"/>
      <c r="C110" s="14">
        <v>10.0</v>
      </c>
      <c r="D110" s="11" t="s">
        <v>27</v>
      </c>
      <c r="E110" s="12"/>
      <c r="F110" s="12"/>
      <c r="G110" s="11" t="s">
        <v>15</v>
      </c>
      <c r="H110" s="15">
        <v>90000.0</v>
      </c>
    </row>
    <row r="111">
      <c r="A111" s="13"/>
      <c r="B111" s="12"/>
      <c r="C111" s="14">
        <v>11.0</v>
      </c>
      <c r="D111" s="11" t="s">
        <v>111</v>
      </c>
      <c r="E111" s="12"/>
      <c r="F111" s="12"/>
      <c r="G111" s="11" t="s">
        <v>15</v>
      </c>
      <c r="H111" s="15">
        <v>80000.0</v>
      </c>
    </row>
    <row r="112">
      <c r="A112" s="13"/>
      <c r="B112" s="12"/>
      <c r="C112" s="14">
        <v>12.0</v>
      </c>
      <c r="D112" s="11" t="s">
        <v>112</v>
      </c>
      <c r="E112" s="12"/>
      <c r="F112" s="12"/>
      <c r="G112" s="11" t="s">
        <v>15</v>
      </c>
      <c r="H112" s="15">
        <v>150000.0</v>
      </c>
    </row>
    <row r="113">
      <c r="A113" s="13"/>
      <c r="B113" s="12"/>
      <c r="C113" s="14">
        <v>13.0</v>
      </c>
      <c r="D113" s="11" t="s">
        <v>18</v>
      </c>
      <c r="E113" s="12"/>
      <c r="F113" s="12"/>
      <c r="G113" s="11" t="s">
        <v>15</v>
      </c>
      <c r="H113" s="15">
        <v>350000.0</v>
      </c>
    </row>
    <row r="114">
      <c r="A114" s="13"/>
      <c r="B114" s="12"/>
      <c r="C114" s="14">
        <v>14.0</v>
      </c>
      <c r="D114" s="11" t="s">
        <v>31</v>
      </c>
      <c r="E114" s="12"/>
      <c r="F114" s="12"/>
      <c r="G114" s="11" t="s">
        <v>15</v>
      </c>
      <c r="H114" s="15">
        <v>90000.0</v>
      </c>
    </row>
    <row r="115">
      <c r="A115" s="13"/>
      <c r="B115" s="12"/>
      <c r="C115" s="14">
        <v>15.0</v>
      </c>
      <c r="D115" s="11" t="s">
        <v>32</v>
      </c>
      <c r="E115" s="12"/>
      <c r="F115" s="12"/>
      <c r="G115" s="11" t="s">
        <v>15</v>
      </c>
      <c r="H115" s="15">
        <v>90000.0</v>
      </c>
    </row>
    <row r="116">
      <c r="A116" s="13"/>
      <c r="B116" s="12"/>
      <c r="C116" s="14">
        <v>16.0</v>
      </c>
      <c r="D116" s="11" t="s">
        <v>33</v>
      </c>
      <c r="E116" s="12"/>
      <c r="F116" s="12"/>
      <c r="G116" s="11" t="s">
        <v>15</v>
      </c>
      <c r="H116" s="15">
        <v>90000.0</v>
      </c>
    </row>
    <row r="117">
      <c r="A117" s="13"/>
      <c r="B117" s="12"/>
      <c r="C117" s="14">
        <v>17.0</v>
      </c>
      <c r="D117" s="11" t="s">
        <v>40</v>
      </c>
      <c r="E117" s="12"/>
      <c r="F117" s="12"/>
      <c r="G117" s="11" t="s">
        <v>15</v>
      </c>
      <c r="H117" s="15">
        <v>300000.0</v>
      </c>
    </row>
    <row r="118">
      <c r="A118" s="13"/>
      <c r="B118" s="12"/>
      <c r="C118" s="14">
        <v>18.0</v>
      </c>
      <c r="D118" s="11" t="s">
        <v>113</v>
      </c>
      <c r="E118" s="12"/>
      <c r="F118" s="12"/>
      <c r="G118" s="12"/>
      <c r="H118" s="12"/>
    </row>
    <row r="119">
      <c r="A119" s="13"/>
      <c r="B119" s="12"/>
      <c r="C119" s="14">
        <v>19.0</v>
      </c>
      <c r="D119" s="11" t="s">
        <v>114</v>
      </c>
      <c r="E119" s="12"/>
      <c r="F119" s="12"/>
      <c r="G119" s="11" t="s">
        <v>15</v>
      </c>
      <c r="H119" s="15">
        <v>200000.0</v>
      </c>
    </row>
    <row r="120">
      <c r="A120" s="13"/>
      <c r="B120" s="12"/>
      <c r="C120" s="14">
        <v>20.0</v>
      </c>
      <c r="D120" s="11" t="s">
        <v>115</v>
      </c>
      <c r="E120" s="12"/>
      <c r="F120" s="12"/>
      <c r="G120" s="11" t="s">
        <v>15</v>
      </c>
      <c r="H120" s="15">
        <v>200000.0</v>
      </c>
    </row>
    <row r="121">
      <c r="A121" s="13"/>
      <c r="B121" s="12"/>
      <c r="C121" s="14">
        <v>21.0</v>
      </c>
      <c r="D121" s="11" t="s">
        <v>116</v>
      </c>
      <c r="E121" s="12"/>
      <c r="F121" s="12"/>
      <c r="G121" s="11" t="s">
        <v>15</v>
      </c>
      <c r="H121" s="15">
        <v>150000.0</v>
      </c>
    </row>
    <row r="122">
      <c r="A122" s="13"/>
      <c r="B122" s="12"/>
      <c r="C122" s="14">
        <v>22.0</v>
      </c>
      <c r="D122" s="11" t="s">
        <v>117</v>
      </c>
      <c r="E122" s="12"/>
      <c r="F122" s="12"/>
      <c r="G122" s="11" t="s">
        <v>15</v>
      </c>
      <c r="H122" s="15">
        <v>600000.0</v>
      </c>
    </row>
    <row r="123">
      <c r="A123" s="13"/>
      <c r="B123" s="12"/>
      <c r="C123" s="14">
        <v>23.0</v>
      </c>
      <c r="D123" s="11" t="s">
        <v>118</v>
      </c>
      <c r="E123" s="12"/>
      <c r="F123" s="12"/>
      <c r="G123" s="11" t="s">
        <v>15</v>
      </c>
      <c r="H123" s="15">
        <v>60000.0</v>
      </c>
    </row>
    <row r="124">
      <c r="A124" s="13"/>
      <c r="B124" s="12"/>
      <c r="C124" s="14">
        <v>24.0</v>
      </c>
      <c r="D124" s="11" t="s">
        <v>119</v>
      </c>
      <c r="E124" s="12"/>
      <c r="F124" s="12"/>
      <c r="G124" s="11" t="s">
        <v>15</v>
      </c>
      <c r="H124" s="15">
        <v>110000.0</v>
      </c>
    </row>
    <row r="125">
      <c r="A125" s="13"/>
      <c r="B125" s="12"/>
      <c r="C125" s="14">
        <v>25.0</v>
      </c>
      <c r="D125" s="11" t="s">
        <v>120</v>
      </c>
      <c r="E125" s="12"/>
      <c r="F125" s="12"/>
      <c r="G125" s="11" t="s">
        <v>15</v>
      </c>
      <c r="H125" s="15">
        <v>110000.0</v>
      </c>
    </row>
    <row r="126">
      <c r="A126" s="13"/>
      <c r="B126" s="12"/>
      <c r="C126" s="14">
        <v>26.0</v>
      </c>
      <c r="D126" s="11" t="s">
        <v>121</v>
      </c>
      <c r="E126" s="12"/>
      <c r="F126" s="12"/>
      <c r="G126" s="11" t="s">
        <v>15</v>
      </c>
      <c r="H126" s="15">
        <v>130000.0</v>
      </c>
    </row>
    <row r="127">
      <c r="A127" s="13"/>
      <c r="B127" s="12"/>
      <c r="C127" s="14">
        <v>27.0</v>
      </c>
      <c r="D127" s="11" t="s">
        <v>122</v>
      </c>
      <c r="E127" s="12"/>
      <c r="F127" s="12"/>
      <c r="G127" s="11" t="s">
        <v>15</v>
      </c>
      <c r="H127" s="15">
        <v>150000.0</v>
      </c>
    </row>
    <row r="128">
      <c r="A128" s="13"/>
      <c r="B128" s="12"/>
      <c r="C128" s="14">
        <v>28.0</v>
      </c>
      <c r="D128" s="11" t="s">
        <v>123</v>
      </c>
      <c r="E128" s="12"/>
      <c r="F128" s="12"/>
      <c r="G128" s="11" t="s">
        <v>15</v>
      </c>
      <c r="H128" s="15">
        <v>400000.0</v>
      </c>
    </row>
    <row r="129">
      <c r="A129" s="13"/>
      <c r="B129" s="12"/>
      <c r="C129" s="14">
        <v>29.0</v>
      </c>
      <c r="D129" s="11" t="s">
        <v>62</v>
      </c>
      <c r="E129" s="12"/>
      <c r="F129" s="12"/>
      <c r="G129" s="11" t="s">
        <v>15</v>
      </c>
      <c r="H129" s="15">
        <v>100000.0</v>
      </c>
    </row>
    <row r="130">
      <c r="A130" s="13"/>
      <c r="B130" s="12"/>
      <c r="C130" s="14">
        <v>30.0</v>
      </c>
      <c r="D130" s="11" t="s">
        <v>124</v>
      </c>
      <c r="E130" s="12"/>
      <c r="F130" s="12"/>
      <c r="G130" s="12"/>
      <c r="H130" s="12"/>
    </row>
    <row r="131">
      <c r="A131" s="13"/>
      <c r="B131" s="12"/>
      <c r="C131" s="14">
        <v>31.0</v>
      </c>
      <c r="D131" s="11" t="s">
        <v>36</v>
      </c>
      <c r="E131" s="12"/>
      <c r="F131" s="12"/>
      <c r="G131" s="11" t="s">
        <v>15</v>
      </c>
      <c r="H131" s="15">
        <v>110000.0</v>
      </c>
    </row>
    <row r="132">
      <c r="A132" s="13"/>
      <c r="B132" s="12"/>
      <c r="C132" s="14">
        <v>32.0</v>
      </c>
      <c r="D132" s="11" t="s">
        <v>33</v>
      </c>
      <c r="E132" s="12"/>
      <c r="F132" s="12"/>
      <c r="G132" s="11" t="s">
        <v>15</v>
      </c>
      <c r="H132" s="15">
        <v>110000.0</v>
      </c>
    </row>
    <row r="133">
      <c r="A133" s="13"/>
      <c r="B133" s="12"/>
      <c r="C133" s="14">
        <v>33.0</v>
      </c>
      <c r="D133" s="11" t="s">
        <v>34</v>
      </c>
      <c r="E133" s="12"/>
      <c r="F133" s="12"/>
      <c r="G133" s="11" t="s">
        <v>15</v>
      </c>
      <c r="H133" s="15">
        <v>110000.0</v>
      </c>
    </row>
    <row r="134">
      <c r="A134" s="13"/>
      <c r="B134" s="12"/>
      <c r="C134" s="14">
        <v>34.0</v>
      </c>
      <c r="D134" s="11" t="s">
        <v>125</v>
      </c>
      <c r="E134" s="12"/>
      <c r="F134" s="12"/>
      <c r="G134" s="11" t="s">
        <v>15</v>
      </c>
      <c r="H134" s="15">
        <v>160000.0</v>
      </c>
    </row>
    <row r="135">
      <c r="A135" s="13"/>
      <c r="B135" s="12"/>
      <c r="C135" s="14">
        <v>35.0</v>
      </c>
      <c r="D135" s="11" t="s">
        <v>126</v>
      </c>
      <c r="E135" s="12"/>
      <c r="F135" s="12"/>
      <c r="G135" s="11" t="s">
        <v>15</v>
      </c>
      <c r="H135" s="15">
        <v>80000.0</v>
      </c>
    </row>
    <row r="136">
      <c r="A136" s="13"/>
      <c r="B136" s="12"/>
      <c r="C136" s="14">
        <v>36.0</v>
      </c>
      <c r="D136" s="11" t="s">
        <v>127</v>
      </c>
      <c r="E136" s="12"/>
      <c r="F136" s="12"/>
      <c r="G136" s="11" t="s">
        <v>15</v>
      </c>
      <c r="H136" s="15">
        <v>80000.0</v>
      </c>
    </row>
    <row r="137">
      <c r="A137" s="13"/>
      <c r="B137" s="12"/>
      <c r="C137" s="14">
        <v>37.0</v>
      </c>
      <c r="D137" s="11" t="s">
        <v>128</v>
      </c>
      <c r="E137" s="12"/>
      <c r="F137" s="12"/>
      <c r="G137" s="11" t="s">
        <v>15</v>
      </c>
      <c r="H137" s="15">
        <v>80000.0</v>
      </c>
    </row>
    <row r="138">
      <c r="A138" s="13"/>
      <c r="B138" s="12"/>
      <c r="C138" s="12"/>
      <c r="D138" s="12"/>
      <c r="E138" s="12"/>
      <c r="F138" s="12"/>
      <c r="G138" s="12"/>
      <c r="H138" s="12"/>
    </row>
    <row r="139">
      <c r="A139" s="13"/>
      <c r="B139" s="11" t="s">
        <v>129</v>
      </c>
      <c r="C139" s="11" t="s">
        <v>130</v>
      </c>
      <c r="D139" s="12"/>
      <c r="E139" s="12"/>
      <c r="F139" s="12"/>
      <c r="G139" s="12"/>
      <c r="H139" s="12"/>
    </row>
    <row r="140">
      <c r="A140" s="13"/>
      <c r="B140" s="12"/>
      <c r="C140" s="14">
        <v>1.0</v>
      </c>
      <c r="D140" s="11" t="s">
        <v>131</v>
      </c>
      <c r="E140" s="12"/>
      <c r="F140" s="12"/>
      <c r="G140" s="11" t="s">
        <v>15</v>
      </c>
      <c r="H140" s="15">
        <v>100000.0</v>
      </c>
    </row>
    <row r="141">
      <c r="A141" s="13"/>
      <c r="B141" s="12"/>
      <c r="C141" s="14">
        <v>2.0</v>
      </c>
      <c r="D141" s="11" t="s">
        <v>132</v>
      </c>
      <c r="E141" s="12"/>
      <c r="F141" s="12"/>
      <c r="G141" s="11" t="s">
        <v>15</v>
      </c>
      <c r="H141" s="15">
        <v>150000.0</v>
      </c>
    </row>
    <row r="142">
      <c r="A142" s="13"/>
      <c r="B142" s="12"/>
      <c r="C142" s="14">
        <v>3.0</v>
      </c>
      <c r="D142" s="11" t="s">
        <v>133</v>
      </c>
      <c r="E142" s="12"/>
      <c r="F142" s="12"/>
      <c r="G142" s="11" t="s">
        <v>15</v>
      </c>
      <c r="H142" s="15">
        <v>100000.0</v>
      </c>
    </row>
    <row r="143">
      <c r="A143" s="13"/>
      <c r="B143" s="12"/>
      <c r="C143" s="14">
        <v>4.0</v>
      </c>
      <c r="D143" s="11" t="s">
        <v>134</v>
      </c>
      <c r="E143" s="12"/>
      <c r="F143" s="12"/>
      <c r="G143" s="11" t="s">
        <v>15</v>
      </c>
      <c r="H143" s="15">
        <v>120000.0</v>
      </c>
    </row>
    <row r="144">
      <c r="A144" s="13"/>
      <c r="B144" s="12"/>
      <c r="C144" s="12"/>
      <c r="D144" s="12"/>
      <c r="E144" s="12"/>
      <c r="F144" s="12"/>
      <c r="G144" s="12"/>
      <c r="H144" s="12"/>
    </row>
    <row r="145">
      <c r="A145" s="13"/>
      <c r="B145" s="11" t="s">
        <v>135</v>
      </c>
      <c r="C145" s="11" t="s">
        <v>136</v>
      </c>
      <c r="D145" s="12"/>
      <c r="E145" s="12"/>
      <c r="F145" s="12"/>
      <c r="G145" s="12"/>
      <c r="H145" s="12"/>
    </row>
    <row r="146">
      <c r="A146" s="13"/>
      <c r="B146" s="12"/>
      <c r="C146" s="14">
        <v>1.0</v>
      </c>
      <c r="D146" s="11" t="s">
        <v>137</v>
      </c>
      <c r="E146" s="12"/>
      <c r="F146" s="12"/>
      <c r="G146" s="11" t="s">
        <v>15</v>
      </c>
      <c r="H146" s="15">
        <v>100000.0</v>
      </c>
    </row>
    <row r="147">
      <c r="A147" s="13"/>
      <c r="B147" s="12"/>
      <c r="C147" s="14">
        <v>2.0</v>
      </c>
      <c r="D147" s="11" t="s">
        <v>138</v>
      </c>
      <c r="E147" s="12"/>
      <c r="F147" s="12"/>
      <c r="G147" s="11" t="s">
        <v>15</v>
      </c>
      <c r="H147" s="15">
        <v>150000.0</v>
      </c>
    </row>
    <row r="148">
      <c r="A148" s="13"/>
      <c r="B148" s="12"/>
      <c r="C148" s="14">
        <v>3.0</v>
      </c>
      <c r="D148" s="11" t="s">
        <v>139</v>
      </c>
      <c r="E148" s="12"/>
      <c r="F148" s="12"/>
      <c r="G148" s="11" t="s">
        <v>15</v>
      </c>
      <c r="H148" s="15">
        <v>100000.0</v>
      </c>
    </row>
    <row r="149">
      <c r="A149" s="13"/>
      <c r="B149" s="12"/>
      <c r="C149" s="14">
        <v>4.0</v>
      </c>
      <c r="D149" s="11" t="s">
        <v>140</v>
      </c>
      <c r="E149" s="12"/>
      <c r="F149" s="12"/>
      <c r="G149" s="11" t="s">
        <v>15</v>
      </c>
      <c r="H149" s="15">
        <v>150000.0</v>
      </c>
    </row>
    <row r="150">
      <c r="A150" s="13"/>
      <c r="B150" s="12"/>
      <c r="C150" s="14">
        <v>5.0</v>
      </c>
      <c r="D150" s="11" t="s">
        <v>141</v>
      </c>
      <c r="E150" s="12"/>
      <c r="F150" s="12"/>
      <c r="G150" s="11" t="s">
        <v>15</v>
      </c>
      <c r="H150" s="15">
        <v>150000.0</v>
      </c>
    </row>
    <row r="151">
      <c r="A151" s="13"/>
      <c r="B151" s="12"/>
      <c r="C151" s="14">
        <v>6.0</v>
      </c>
      <c r="D151" s="11" t="s">
        <v>142</v>
      </c>
      <c r="E151" s="12"/>
      <c r="F151" s="12"/>
      <c r="G151" s="11" t="s">
        <v>15</v>
      </c>
      <c r="H151" s="15">
        <v>325000.0</v>
      </c>
    </row>
    <row r="152">
      <c r="A152" s="13"/>
      <c r="B152" s="12"/>
      <c r="C152" s="14">
        <v>7.0</v>
      </c>
      <c r="D152" s="11" t="s">
        <v>143</v>
      </c>
      <c r="E152" s="12"/>
      <c r="F152" s="12"/>
      <c r="G152" s="11" t="s">
        <v>15</v>
      </c>
      <c r="H152" s="15">
        <v>110000.0</v>
      </c>
    </row>
    <row r="153">
      <c r="A153" s="13"/>
      <c r="B153" s="12"/>
      <c r="C153" s="14">
        <v>8.0</v>
      </c>
      <c r="D153" s="11" t="s">
        <v>144</v>
      </c>
      <c r="E153" s="12"/>
      <c r="F153" s="12"/>
      <c r="G153" s="11" t="s">
        <v>15</v>
      </c>
      <c r="H153" s="15">
        <v>110000.0</v>
      </c>
    </row>
    <row r="154">
      <c r="A154" s="13"/>
      <c r="B154" s="12"/>
      <c r="C154" s="14">
        <v>9.0</v>
      </c>
      <c r="D154" s="11" t="s">
        <v>145</v>
      </c>
      <c r="E154" s="12"/>
      <c r="F154" s="12"/>
      <c r="G154" s="11" t="s">
        <v>15</v>
      </c>
      <c r="H154" s="15">
        <v>300000.0</v>
      </c>
    </row>
    <row r="155">
      <c r="A155" s="13"/>
      <c r="B155" s="12"/>
      <c r="C155" s="14">
        <v>10.0</v>
      </c>
      <c r="D155" s="11" t="s">
        <v>146</v>
      </c>
      <c r="E155" s="12"/>
      <c r="F155" s="12"/>
      <c r="G155" s="11" t="s">
        <v>15</v>
      </c>
      <c r="H155" s="15">
        <v>200000.0</v>
      </c>
    </row>
    <row r="156">
      <c r="A156" s="13"/>
      <c r="B156" s="12"/>
      <c r="C156" s="12"/>
      <c r="D156" s="12"/>
      <c r="E156" s="12"/>
      <c r="F156" s="12"/>
      <c r="G156" s="12"/>
      <c r="H156" s="12"/>
    </row>
    <row r="157">
      <c r="A157" s="13"/>
      <c r="B157" s="11" t="s">
        <v>147</v>
      </c>
      <c r="C157" s="11" t="s">
        <v>148</v>
      </c>
      <c r="D157" s="12"/>
      <c r="E157" s="12"/>
      <c r="F157" s="12"/>
      <c r="G157" s="12"/>
      <c r="H157" s="12"/>
    </row>
    <row r="158">
      <c r="A158" s="13"/>
      <c r="B158" s="12"/>
      <c r="C158" s="14">
        <v>1.0</v>
      </c>
      <c r="D158" s="11" t="s">
        <v>149</v>
      </c>
      <c r="E158" s="12"/>
      <c r="F158" s="12"/>
      <c r="G158" s="12"/>
      <c r="H158" s="12"/>
    </row>
    <row r="159">
      <c r="A159" s="13"/>
      <c r="B159" s="12"/>
      <c r="C159" s="12"/>
      <c r="D159" s="11" t="s">
        <v>150</v>
      </c>
      <c r="E159" s="11" t="s">
        <v>151</v>
      </c>
      <c r="F159" s="12"/>
      <c r="G159" s="12"/>
      <c r="H159" s="12"/>
    </row>
    <row r="160">
      <c r="A160" s="13"/>
      <c r="B160" s="12"/>
      <c r="C160" s="12"/>
      <c r="D160" s="12"/>
      <c r="E160" s="11" t="s">
        <v>152</v>
      </c>
      <c r="F160" s="12"/>
      <c r="G160" s="11" t="s">
        <v>15</v>
      </c>
      <c r="H160" s="15">
        <v>100000.0</v>
      </c>
    </row>
    <row r="161">
      <c r="A161" s="13"/>
      <c r="B161" s="12"/>
      <c r="C161" s="12"/>
      <c r="D161" s="12"/>
      <c r="E161" s="11" t="s">
        <v>153</v>
      </c>
      <c r="F161" s="12"/>
      <c r="G161" s="11" t="s">
        <v>15</v>
      </c>
      <c r="H161" s="15">
        <v>100000.0</v>
      </c>
    </row>
    <row r="162">
      <c r="A162" s="13"/>
      <c r="B162" s="12"/>
      <c r="C162" s="12"/>
      <c r="D162" s="12"/>
      <c r="E162" s="11" t="s">
        <v>154</v>
      </c>
      <c r="F162" s="12"/>
      <c r="G162" s="12"/>
      <c r="H162" s="12"/>
    </row>
    <row r="163">
      <c r="A163" s="13"/>
      <c r="B163" s="12"/>
      <c r="C163" s="12"/>
      <c r="D163" s="12"/>
      <c r="E163" s="11" t="s">
        <v>155</v>
      </c>
      <c r="F163" s="11" t="s">
        <v>156</v>
      </c>
      <c r="G163" s="11" t="s">
        <v>15</v>
      </c>
      <c r="H163" s="15">
        <v>200000.0</v>
      </c>
    </row>
    <row r="164">
      <c r="A164" s="13"/>
      <c r="B164" s="12"/>
      <c r="C164" s="12"/>
      <c r="D164" s="12"/>
      <c r="E164" s="11" t="s">
        <v>155</v>
      </c>
      <c r="F164" s="11" t="s">
        <v>157</v>
      </c>
      <c r="G164" s="11" t="s">
        <v>15</v>
      </c>
      <c r="H164" s="15">
        <v>150000.0</v>
      </c>
    </row>
    <row r="165">
      <c r="A165" s="13"/>
      <c r="B165" s="12"/>
      <c r="C165" s="12"/>
      <c r="D165" s="12"/>
      <c r="E165" s="11" t="s">
        <v>155</v>
      </c>
      <c r="F165" s="11" t="s">
        <v>158</v>
      </c>
      <c r="G165" s="11" t="s">
        <v>15</v>
      </c>
      <c r="H165" s="15">
        <v>200000.0</v>
      </c>
    </row>
    <row r="166">
      <c r="A166" s="13"/>
      <c r="B166" s="12"/>
      <c r="C166" s="12"/>
      <c r="D166" s="12"/>
      <c r="E166" s="11" t="s">
        <v>155</v>
      </c>
      <c r="F166" s="11" t="s">
        <v>159</v>
      </c>
      <c r="G166" s="11" t="s">
        <v>15</v>
      </c>
      <c r="H166" s="15">
        <v>200000.0</v>
      </c>
    </row>
    <row r="167">
      <c r="A167" s="13"/>
      <c r="B167" s="12"/>
      <c r="C167" s="12"/>
      <c r="D167" s="12"/>
      <c r="E167" s="11" t="s">
        <v>155</v>
      </c>
      <c r="F167" s="11" t="s">
        <v>160</v>
      </c>
      <c r="G167" s="11" t="s">
        <v>15</v>
      </c>
      <c r="H167" s="15">
        <v>400000.0</v>
      </c>
    </row>
    <row r="168">
      <c r="A168" s="13"/>
      <c r="B168" s="12"/>
      <c r="C168" s="12"/>
      <c r="D168" s="12"/>
      <c r="E168" s="11" t="s">
        <v>155</v>
      </c>
      <c r="F168" s="11" t="s">
        <v>161</v>
      </c>
      <c r="G168" s="11" t="s">
        <v>15</v>
      </c>
      <c r="H168" s="15">
        <v>400000.0</v>
      </c>
    </row>
    <row r="169">
      <c r="A169" s="13"/>
      <c r="B169" s="12"/>
      <c r="C169" s="12"/>
      <c r="D169" s="12"/>
      <c r="E169" s="11" t="s">
        <v>155</v>
      </c>
      <c r="F169" s="11" t="s">
        <v>162</v>
      </c>
      <c r="G169" s="11" t="s">
        <v>15</v>
      </c>
      <c r="H169" s="15">
        <v>400000.0</v>
      </c>
    </row>
    <row r="170">
      <c r="A170" s="13"/>
      <c r="B170" s="12"/>
      <c r="C170" s="12"/>
      <c r="D170" s="12"/>
      <c r="E170" s="11" t="s">
        <v>163</v>
      </c>
      <c r="F170" s="12"/>
      <c r="G170" s="11" t="s">
        <v>15</v>
      </c>
      <c r="H170" s="15">
        <v>680000.0</v>
      </c>
    </row>
    <row r="171">
      <c r="A171" s="13"/>
      <c r="B171" s="12"/>
      <c r="C171" s="12"/>
      <c r="D171" s="12"/>
      <c r="E171" s="11" t="s">
        <v>163</v>
      </c>
      <c r="F171" s="12"/>
      <c r="G171" s="11" t="s">
        <v>15</v>
      </c>
      <c r="H171" s="15">
        <v>340000.0</v>
      </c>
    </row>
    <row r="172">
      <c r="A172" s="13"/>
      <c r="B172" s="12"/>
      <c r="C172" s="12"/>
      <c r="D172" s="12"/>
      <c r="E172" s="11" t="s">
        <v>164</v>
      </c>
      <c r="F172" s="12"/>
      <c r="G172" s="12"/>
      <c r="H172" s="12"/>
    </row>
    <row r="173">
      <c r="A173" s="13"/>
      <c r="B173" s="12"/>
      <c r="C173" s="12"/>
      <c r="D173" s="12"/>
      <c r="E173" s="11" t="s">
        <v>155</v>
      </c>
      <c r="F173" s="11" t="s">
        <v>36</v>
      </c>
      <c r="G173" s="11" t="s">
        <v>15</v>
      </c>
      <c r="H173" s="15">
        <v>90000.0</v>
      </c>
    </row>
    <row r="174">
      <c r="A174" s="13"/>
      <c r="B174" s="12"/>
      <c r="C174" s="12"/>
      <c r="D174" s="12"/>
      <c r="E174" s="11" t="s">
        <v>155</v>
      </c>
      <c r="F174" s="11" t="s">
        <v>34</v>
      </c>
      <c r="G174" s="11" t="s">
        <v>15</v>
      </c>
      <c r="H174" s="15">
        <v>90000.0</v>
      </c>
    </row>
    <row r="175">
      <c r="A175" s="13"/>
      <c r="B175" s="12"/>
      <c r="C175" s="12"/>
      <c r="D175" s="12"/>
      <c r="E175" s="11" t="s">
        <v>155</v>
      </c>
      <c r="F175" s="11" t="s">
        <v>165</v>
      </c>
      <c r="G175" s="11" t="s">
        <v>15</v>
      </c>
      <c r="H175" s="15">
        <v>160000.0</v>
      </c>
    </row>
    <row r="176">
      <c r="A176" s="13"/>
      <c r="B176" s="12"/>
      <c r="C176" s="12"/>
      <c r="D176" s="12"/>
      <c r="E176" s="11" t="s">
        <v>155</v>
      </c>
      <c r="F176" s="11" t="s">
        <v>40</v>
      </c>
      <c r="G176" s="11" t="s">
        <v>15</v>
      </c>
      <c r="H176" s="15">
        <v>300000.0</v>
      </c>
    </row>
    <row r="177">
      <c r="A177" s="13"/>
      <c r="B177" s="12"/>
      <c r="C177" s="12"/>
      <c r="D177" s="12"/>
      <c r="E177" s="11" t="s">
        <v>166</v>
      </c>
      <c r="F177" s="12"/>
      <c r="G177" s="11" t="s">
        <v>15</v>
      </c>
      <c r="H177" s="15">
        <v>300000.0</v>
      </c>
    </row>
    <row r="178">
      <c r="A178" s="13"/>
      <c r="B178" s="12"/>
      <c r="C178" s="12"/>
      <c r="D178" s="12"/>
      <c r="E178" s="12"/>
      <c r="F178" s="12"/>
      <c r="G178" s="12"/>
      <c r="H178" s="12"/>
    </row>
    <row r="179">
      <c r="A179" s="13"/>
      <c r="B179" s="12"/>
      <c r="C179" s="12"/>
      <c r="D179" s="11" t="s">
        <v>167</v>
      </c>
      <c r="E179" s="11" t="s">
        <v>168</v>
      </c>
      <c r="F179" s="12"/>
      <c r="G179" s="12"/>
      <c r="H179" s="12"/>
    </row>
    <row r="180">
      <c r="A180" s="13"/>
      <c r="B180" s="12"/>
      <c r="C180" s="12"/>
      <c r="D180" s="12"/>
      <c r="E180" s="11" t="s">
        <v>152</v>
      </c>
      <c r="F180" s="12"/>
      <c r="G180" s="11" t="s">
        <v>15</v>
      </c>
      <c r="H180" s="15">
        <v>100000.0</v>
      </c>
    </row>
    <row r="181">
      <c r="A181" s="13"/>
      <c r="B181" s="12"/>
      <c r="C181" s="12"/>
      <c r="D181" s="12"/>
      <c r="E181" s="11" t="s">
        <v>138</v>
      </c>
      <c r="F181" s="12"/>
      <c r="G181" s="11" t="s">
        <v>15</v>
      </c>
      <c r="H181" s="15">
        <v>100000.0</v>
      </c>
    </row>
    <row r="182">
      <c r="A182" s="13"/>
      <c r="B182" s="12"/>
      <c r="C182" s="12"/>
      <c r="D182" s="12"/>
      <c r="E182" s="11" t="s">
        <v>154</v>
      </c>
      <c r="F182" s="12"/>
      <c r="G182" s="12"/>
      <c r="H182" s="12"/>
    </row>
    <row r="183">
      <c r="A183" s="13"/>
      <c r="B183" s="12"/>
      <c r="C183" s="12"/>
      <c r="D183" s="12"/>
      <c r="E183" s="11" t="s">
        <v>155</v>
      </c>
      <c r="F183" s="11" t="s">
        <v>156</v>
      </c>
      <c r="G183" s="11" t="s">
        <v>15</v>
      </c>
      <c r="H183" s="15">
        <v>100000.0</v>
      </c>
    </row>
    <row r="184">
      <c r="A184" s="13"/>
      <c r="B184" s="12"/>
      <c r="C184" s="12"/>
      <c r="D184" s="12"/>
      <c r="E184" s="11" t="s">
        <v>155</v>
      </c>
      <c r="F184" s="11" t="s">
        <v>157</v>
      </c>
      <c r="G184" s="11" t="s">
        <v>15</v>
      </c>
      <c r="H184" s="15">
        <v>150000.0</v>
      </c>
    </row>
    <row r="185">
      <c r="A185" s="13"/>
      <c r="B185" s="12"/>
      <c r="C185" s="12"/>
      <c r="D185" s="12"/>
      <c r="E185" s="11" t="s">
        <v>155</v>
      </c>
      <c r="F185" s="11" t="s">
        <v>158</v>
      </c>
      <c r="G185" s="11" t="s">
        <v>15</v>
      </c>
      <c r="H185" s="15">
        <v>200000.0</v>
      </c>
    </row>
    <row r="186">
      <c r="A186" s="13"/>
      <c r="B186" s="12"/>
      <c r="C186" s="12"/>
      <c r="D186" s="12"/>
      <c r="E186" s="11" t="s">
        <v>155</v>
      </c>
      <c r="F186" s="11" t="s">
        <v>159</v>
      </c>
      <c r="G186" s="11" t="s">
        <v>15</v>
      </c>
      <c r="H186" s="15">
        <v>200000.0</v>
      </c>
    </row>
    <row r="187">
      <c r="A187" s="13"/>
      <c r="B187" s="12"/>
      <c r="C187" s="12"/>
      <c r="D187" s="12"/>
      <c r="E187" s="11" t="s">
        <v>155</v>
      </c>
      <c r="F187" s="11" t="s">
        <v>160</v>
      </c>
      <c r="G187" s="11" t="s">
        <v>15</v>
      </c>
      <c r="H187" s="15">
        <v>400000.0</v>
      </c>
    </row>
    <row r="188">
      <c r="A188" s="13"/>
      <c r="B188" s="12"/>
      <c r="C188" s="12"/>
      <c r="D188" s="12"/>
      <c r="E188" s="11" t="s">
        <v>155</v>
      </c>
      <c r="F188" s="11" t="s">
        <v>161</v>
      </c>
      <c r="G188" s="11" t="s">
        <v>15</v>
      </c>
      <c r="H188" s="15">
        <v>400000.0</v>
      </c>
    </row>
    <row r="189">
      <c r="A189" s="13"/>
      <c r="B189" s="12"/>
      <c r="C189" s="12"/>
      <c r="D189" s="12"/>
      <c r="E189" s="11" t="s">
        <v>155</v>
      </c>
      <c r="F189" s="11" t="s">
        <v>162</v>
      </c>
      <c r="G189" s="11" t="s">
        <v>15</v>
      </c>
      <c r="H189" s="15">
        <v>400000.0</v>
      </c>
    </row>
    <row r="190">
      <c r="A190" s="13"/>
      <c r="B190" s="12"/>
      <c r="C190" s="12"/>
      <c r="D190" s="12"/>
      <c r="E190" s="11" t="s">
        <v>163</v>
      </c>
      <c r="F190" s="12"/>
      <c r="G190" s="11" t="s">
        <v>15</v>
      </c>
      <c r="H190" s="15">
        <v>680000.0</v>
      </c>
    </row>
    <row r="191">
      <c r="A191" s="13"/>
      <c r="B191" s="12"/>
      <c r="C191" s="12"/>
      <c r="D191" s="12"/>
      <c r="E191" s="11" t="s">
        <v>163</v>
      </c>
      <c r="F191" s="12"/>
      <c r="G191" s="11" t="s">
        <v>15</v>
      </c>
      <c r="H191" s="15">
        <v>340000.0</v>
      </c>
    </row>
    <row r="192">
      <c r="A192" s="13"/>
      <c r="B192" s="12"/>
      <c r="C192" s="12"/>
      <c r="D192" s="12"/>
      <c r="E192" s="11" t="s">
        <v>164</v>
      </c>
      <c r="F192" s="12"/>
      <c r="G192" s="12"/>
      <c r="H192" s="12"/>
    </row>
    <row r="193">
      <c r="A193" s="13"/>
      <c r="B193" s="12"/>
      <c r="C193" s="12"/>
      <c r="D193" s="12"/>
      <c r="E193" s="11" t="s">
        <v>155</v>
      </c>
      <c r="F193" s="11" t="s">
        <v>36</v>
      </c>
      <c r="G193" s="11" t="s">
        <v>15</v>
      </c>
      <c r="H193" s="15">
        <v>90000.0</v>
      </c>
    </row>
    <row r="194">
      <c r="A194" s="13"/>
      <c r="B194" s="12"/>
      <c r="C194" s="12"/>
      <c r="D194" s="12"/>
      <c r="E194" s="11" t="s">
        <v>155</v>
      </c>
      <c r="F194" s="11" t="s">
        <v>34</v>
      </c>
      <c r="G194" s="11" t="s">
        <v>15</v>
      </c>
      <c r="H194" s="15">
        <v>90000.0</v>
      </c>
    </row>
    <row r="195">
      <c r="A195" s="13"/>
      <c r="B195" s="12"/>
      <c r="C195" s="12"/>
      <c r="D195" s="12"/>
      <c r="E195" s="11" t="s">
        <v>155</v>
      </c>
      <c r="F195" s="11" t="s">
        <v>165</v>
      </c>
      <c r="G195" s="11" t="s">
        <v>15</v>
      </c>
      <c r="H195" s="15">
        <v>160000.0</v>
      </c>
    </row>
    <row r="196">
      <c r="A196" s="13"/>
      <c r="B196" s="12"/>
      <c r="C196" s="12"/>
      <c r="D196" s="12"/>
      <c r="E196" s="11" t="s">
        <v>155</v>
      </c>
      <c r="F196" s="11" t="s">
        <v>40</v>
      </c>
      <c r="G196" s="11" t="s">
        <v>15</v>
      </c>
      <c r="H196" s="15">
        <v>300000.0</v>
      </c>
    </row>
    <row r="197">
      <c r="A197" s="13"/>
      <c r="B197" s="12"/>
      <c r="C197" s="12"/>
      <c r="D197" s="12"/>
      <c r="E197" s="11" t="s">
        <v>166</v>
      </c>
      <c r="F197" s="12"/>
      <c r="G197" s="11" t="s">
        <v>15</v>
      </c>
      <c r="H197" s="15">
        <v>300000.0</v>
      </c>
    </row>
    <row r="198">
      <c r="A198" s="13"/>
      <c r="B198" s="12"/>
      <c r="C198" s="12"/>
      <c r="D198" s="11" t="s">
        <v>169</v>
      </c>
      <c r="E198" s="11" t="s">
        <v>170</v>
      </c>
      <c r="F198" s="12"/>
      <c r="G198" s="12"/>
      <c r="H198" s="12"/>
    </row>
    <row r="199">
      <c r="A199" s="13"/>
      <c r="B199" s="12"/>
      <c r="C199" s="12"/>
      <c r="D199" s="12"/>
      <c r="E199" s="11" t="s">
        <v>152</v>
      </c>
      <c r="F199" s="12"/>
      <c r="G199" s="11" t="s">
        <v>15</v>
      </c>
      <c r="H199" s="15">
        <v>100000.0</v>
      </c>
    </row>
    <row r="200">
      <c r="A200" s="13"/>
      <c r="B200" s="12"/>
      <c r="C200" s="12"/>
      <c r="D200" s="12"/>
      <c r="E200" s="11" t="s">
        <v>138</v>
      </c>
      <c r="F200" s="12"/>
      <c r="G200" s="11" t="s">
        <v>15</v>
      </c>
      <c r="H200" s="15">
        <v>100000.0</v>
      </c>
    </row>
    <row r="201">
      <c r="A201" s="13"/>
      <c r="B201" s="12"/>
      <c r="C201" s="12"/>
      <c r="D201" s="12"/>
      <c r="E201" s="11" t="s">
        <v>171</v>
      </c>
      <c r="F201" s="12"/>
      <c r="G201" s="11" t="s">
        <v>15</v>
      </c>
      <c r="H201" s="15">
        <v>30000.0</v>
      </c>
    </row>
    <row r="202">
      <c r="A202" s="13"/>
      <c r="B202" s="12"/>
      <c r="C202" s="12"/>
      <c r="D202" s="12"/>
      <c r="E202" s="11" t="s">
        <v>154</v>
      </c>
      <c r="F202" s="12"/>
      <c r="G202" s="12"/>
      <c r="H202" s="12"/>
    </row>
    <row r="203">
      <c r="A203" s="13"/>
      <c r="B203" s="12"/>
      <c r="C203" s="12"/>
      <c r="D203" s="12"/>
      <c r="E203" s="11" t="s">
        <v>155</v>
      </c>
      <c r="F203" s="11" t="s">
        <v>156</v>
      </c>
      <c r="G203" s="11" t="s">
        <v>15</v>
      </c>
      <c r="H203" s="15">
        <v>100000.0</v>
      </c>
    </row>
    <row r="204">
      <c r="A204" s="13"/>
      <c r="B204" s="12"/>
      <c r="C204" s="12"/>
      <c r="D204" s="12"/>
      <c r="E204" s="11" t="s">
        <v>155</v>
      </c>
      <c r="F204" s="11" t="s">
        <v>157</v>
      </c>
      <c r="G204" s="11" t="s">
        <v>15</v>
      </c>
      <c r="H204" s="15">
        <v>150000.0</v>
      </c>
    </row>
    <row r="205">
      <c r="A205" s="13"/>
      <c r="B205" s="12"/>
      <c r="C205" s="12"/>
      <c r="D205" s="12"/>
      <c r="E205" s="11" t="s">
        <v>155</v>
      </c>
      <c r="F205" s="11" t="s">
        <v>158</v>
      </c>
      <c r="G205" s="11" t="s">
        <v>15</v>
      </c>
      <c r="H205" s="15">
        <v>200000.0</v>
      </c>
    </row>
    <row r="206">
      <c r="A206" s="13"/>
      <c r="B206" s="12"/>
      <c r="C206" s="12"/>
      <c r="D206" s="12"/>
      <c r="E206" s="11" t="s">
        <v>155</v>
      </c>
      <c r="F206" s="11" t="s">
        <v>159</v>
      </c>
      <c r="G206" s="11" t="s">
        <v>15</v>
      </c>
      <c r="H206" s="15">
        <v>200000.0</v>
      </c>
    </row>
    <row r="207">
      <c r="A207" s="13"/>
      <c r="B207" s="12"/>
      <c r="C207" s="12"/>
      <c r="D207" s="12"/>
      <c r="E207" s="11" t="s">
        <v>155</v>
      </c>
      <c r="F207" s="11" t="s">
        <v>160</v>
      </c>
      <c r="G207" s="11" t="s">
        <v>15</v>
      </c>
      <c r="H207" s="15">
        <v>400000.0</v>
      </c>
    </row>
    <row r="208">
      <c r="A208" s="13"/>
      <c r="B208" s="12"/>
      <c r="C208" s="12"/>
      <c r="D208" s="12"/>
      <c r="E208" s="11" t="s">
        <v>155</v>
      </c>
      <c r="F208" s="11" t="s">
        <v>161</v>
      </c>
      <c r="G208" s="11" t="s">
        <v>15</v>
      </c>
      <c r="H208" s="15">
        <v>400000.0</v>
      </c>
    </row>
    <row r="209">
      <c r="A209" s="13"/>
      <c r="B209" s="12"/>
      <c r="C209" s="12"/>
      <c r="D209" s="12"/>
      <c r="E209" s="11" t="s">
        <v>155</v>
      </c>
      <c r="F209" s="11" t="s">
        <v>162</v>
      </c>
      <c r="G209" s="11" t="s">
        <v>15</v>
      </c>
      <c r="H209" s="15">
        <v>400000.0</v>
      </c>
    </row>
    <row r="210">
      <c r="A210" s="13"/>
      <c r="B210" s="12"/>
      <c r="C210" s="12"/>
      <c r="D210" s="12"/>
      <c r="E210" s="11" t="s">
        <v>163</v>
      </c>
      <c r="F210" s="12"/>
      <c r="G210" s="11" t="s">
        <v>15</v>
      </c>
      <c r="H210" s="15">
        <v>680000.0</v>
      </c>
    </row>
    <row r="211">
      <c r="A211" s="13"/>
      <c r="B211" s="12"/>
      <c r="C211" s="12"/>
      <c r="D211" s="12"/>
      <c r="E211" s="11" t="s">
        <v>163</v>
      </c>
      <c r="F211" s="12"/>
      <c r="G211" s="11" t="s">
        <v>15</v>
      </c>
      <c r="H211" s="15">
        <v>340000.0</v>
      </c>
    </row>
    <row r="212">
      <c r="A212" s="13"/>
      <c r="B212" s="12"/>
      <c r="C212" s="12"/>
      <c r="D212" s="12"/>
      <c r="E212" s="11" t="s">
        <v>164</v>
      </c>
      <c r="F212" s="12"/>
      <c r="G212" s="12"/>
      <c r="H212" s="12"/>
    </row>
    <row r="213">
      <c r="A213" s="13"/>
      <c r="B213" s="12"/>
      <c r="C213" s="12"/>
      <c r="D213" s="12"/>
      <c r="E213" s="11" t="s">
        <v>155</v>
      </c>
      <c r="F213" s="11" t="s">
        <v>36</v>
      </c>
      <c r="G213" s="11" t="s">
        <v>15</v>
      </c>
      <c r="H213" s="15">
        <v>90000.0</v>
      </c>
    </row>
    <row r="214">
      <c r="A214" s="13"/>
      <c r="B214" s="12"/>
      <c r="C214" s="12"/>
      <c r="D214" s="12"/>
      <c r="E214" s="11" t="s">
        <v>155</v>
      </c>
      <c r="F214" s="11" t="s">
        <v>34</v>
      </c>
      <c r="G214" s="11" t="s">
        <v>15</v>
      </c>
      <c r="H214" s="15">
        <v>90000.0</v>
      </c>
    </row>
    <row r="215">
      <c r="A215" s="13"/>
      <c r="B215" s="12"/>
      <c r="C215" s="12"/>
      <c r="D215" s="12"/>
      <c r="E215" s="11" t="s">
        <v>155</v>
      </c>
      <c r="F215" s="11" t="s">
        <v>165</v>
      </c>
      <c r="G215" s="11" t="s">
        <v>15</v>
      </c>
      <c r="H215" s="15">
        <v>160000.0</v>
      </c>
    </row>
    <row r="216">
      <c r="A216" s="13"/>
      <c r="B216" s="12"/>
      <c r="C216" s="12"/>
      <c r="D216" s="12"/>
      <c r="E216" s="11" t="s">
        <v>155</v>
      </c>
      <c r="F216" s="11" t="s">
        <v>40</v>
      </c>
      <c r="G216" s="11" t="s">
        <v>15</v>
      </c>
      <c r="H216" s="15">
        <v>300000.0</v>
      </c>
    </row>
    <row r="217">
      <c r="A217" s="13"/>
      <c r="B217" s="12"/>
      <c r="C217" s="12"/>
      <c r="D217" s="12"/>
      <c r="E217" s="11" t="s">
        <v>166</v>
      </c>
      <c r="F217" s="12"/>
      <c r="G217" s="11" t="s">
        <v>15</v>
      </c>
      <c r="H217" s="15">
        <v>300000.0</v>
      </c>
    </row>
    <row r="218">
      <c r="A218" s="13"/>
      <c r="B218" s="12"/>
      <c r="C218" s="12"/>
      <c r="D218" s="11" t="s">
        <v>172</v>
      </c>
      <c r="E218" s="11" t="s">
        <v>173</v>
      </c>
      <c r="F218" s="12"/>
      <c r="G218" s="12"/>
      <c r="H218" s="12"/>
    </row>
    <row r="219">
      <c r="A219" s="13"/>
      <c r="B219" s="12"/>
      <c r="C219" s="12"/>
      <c r="D219" s="12"/>
      <c r="E219" s="11" t="s">
        <v>152</v>
      </c>
      <c r="F219" s="12"/>
      <c r="G219" s="11" t="s">
        <v>15</v>
      </c>
      <c r="H219" s="15">
        <v>100000.0</v>
      </c>
    </row>
    <row r="220">
      <c r="A220" s="13"/>
      <c r="B220" s="12"/>
      <c r="C220" s="12"/>
      <c r="D220" s="12"/>
      <c r="E220" s="11" t="s">
        <v>138</v>
      </c>
      <c r="F220" s="12"/>
      <c r="G220" s="11" t="s">
        <v>15</v>
      </c>
      <c r="H220" s="15">
        <v>100000.0</v>
      </c>
    </row>
    <row r="221">
      <c r="A221" s="13"/>
      <c r="B221" s="12"/>
      <c r="C221" s="12"/>
      <c r="D221" s="12"/>
      <c r="E221" s="11" t="s">
        <v>174</v>
      </c>
      <c r="F221" s="12"/>
      <c r="G221" s="11" t="s">
        <v>15</v>
      </c>
      <c r="H221" s="15">
        <v>30000.0</v>
      </c>
    </row>
    <row r="222">
      <c r="A222" s="13"/>
      <c r="B222" s="12"/>
      <c r="C222" s="12"/>
      <c r="D222" s="12"/>
      <c r="E222" s="11" t="s">
        <v>171</v>
      </c>
      <c r="F222" s="12"/>
      <c r="G222" s="11" t="s">
        <v>15</v>
      </c>
      <c r="H222" s="15">
        <v>30000.0</v>
      </c>
    </row>
    <row r="223">
      <c r="A223" s="13"/>
      <c r="B223" s="12"/>
      <c r="C223" s="12"/>
      <c r="D223" s="12"/>
      <c r="E223" s="11" t="s">
        <v>154</v>
      </c>
      <c r="F223" s="12"/>
      <c r="G223" s="12"/>
      <c r="H223" s="12"/>
    </row>
    <row r="224">
      <c r="A224" s="13"/>
      <c r="B224" s="12"/>
      <c r="C224" s="12"/>
      <c r="D224" s="12"/>
      <c r="E224" s="11" t="s">
        <v>155</v>
      </c>
      <c r="F224" s="11" t="s">
        <v>156</v>
      </c>
      <c r="G224" s="11" t="s">
        <v>15</v>
      </c>
      <c r="H224" s="15">
        <v>100000.0</v>
      </c>
    </row>
    <row r="225">
      <c r="A225" s="13"/>
      <c r="B225" s="12"/>
      <c r="C225" s="12"/>
      <c r="D225" s="12"/>
      <c r="E225" s="11" t="s">
        <v>155</v>
      </c>
      <c r="F225" s="11" t="s">
        <v>157</v>
      </c>
      <c r="G225" s="11" t="s">
        <v>15</v>
      </c>
      <c r="H225" s="15">
        <v>150000.0</v>
      </c>
    </row>
    <row r="226">
      <c r="A226" s="13"/>
      <c r="B226" s="12"/>
      <c r="C226" s="12"/>
      <c r="D226" s="12"/>
      <c r="E226" s="11" t="s">
        <v>155</v>
      </c>
      <c r="F226" s="11" t="s">
        <v>158</v>
      </c>
      <c r="G226" s="11" t="s">
        <v>15</v>
      </c>
      <c r="H226" s="15">
        <v>200000.0</v>
      </c>
    </row>
    <row r="227">
      <c r="A227" s="13"/>
      <c r="B227" s="12"/>
      <c r="C227" s="12"/>
      <c r="D227" s="12"/>
      <c r="E227" s="11" t="s">
        <v>155</v>
      </c>
      <c r="F227" s="11" t="s">
        <v>159</v>
      </c>
      <c r="G227" s="11" t="s">
        <v>15</v>
      </c>
      <c r="H227" s="15">
        <v>200000.0</v>
      </c>
    </row>
    <row r="228">
      <c r="A228" s="13"/>
      <c r="B228" s="12"/>
      <c r="C228" s="12"/>
      <c r="D228" s="12"/>
      <c r="E228" s="11" t="s">
        <v>155</v>
      </c>
      <c r="F228" s="11" t="s">
        <v>160</v>
      </c>
      <c r="G228" s="11" t="s">
        <v>15</v>
      </c>
      <c r="H228" s="15">
        <v>400000.0</v>
      </c>
    </row>
    <row r="229">
      <c r="A229" s="13"/>
      <c r="B229" s="12"/>
      <c r="C229" s="12"/>
      <c r="D229" s="12"/>
      <c r="E229" s="11" t="s">
        <v>155</v>
      </c>
      <c r="F229" s="11" t="s">
        <v>161</v>
      </c>
      <c r="G229" s="11" t="s">
        <v>15</v>
      </c>
      <c r="H229" s="15">
        <v>400000.0</v>
      </c>
    </row>
    <row r="230">
      <c r="A230" s="13"/>
      <c r="B230" s="12"/>
      <c r="C230" s="12"/>
      <c r="D230" s="12"/>
      <c r="E230" s="11" t="s">
        <v>155</v>
      </c>
      <c r="F230" s="11" t="s">
        <v>162</v>
      </c>
      <c r="G230" s="11" t="s">
        <v>15</v>
      </c>
      <c r="H230" s="15">
        <v>400000.0</v>
      </c>
    </row>
    <row r="231">
      <c r="A231" s="13"/>
      <c r="B231" s="12"/>
      <c r="C231" s="12"/>
      <c r="D231" s="12"/>
      <c r="E231" s="11" t="s">
        <v>163</v>
      </c>
      <c r="F231" s="12"/>
      <c r="G231" s="11" t="s">
        <v>15</v>
      </c>
      <c r="H231" s="15">
        <v>680000.0</v>
      </c>
    </row>
    <row r="232">
      <c r="A232" s="13"/>
      <c r="B232" s="12"/>
      <c r="C232" s="12"/>
      <c r="D232" s="12"/>
      <c r="E232" s="11" t="s">
        <v>163</v>
      </c>
      <c r="F232" s="12"/>
      <c r="G232" s="11" t="s">
        <v>15</v>
      </c>
      <c r="H232" s="15">
        <v>340000.0</v>
      </c>
    </row>
    <row r="233">
      <c r="A233" s="13"/>
      <c r="B233" s="12"/>
      <c r="C233" s="12"/>
      <c r="D233" s="12"/>
      <c r="E233" s="11" t="s">
        <v>164</v>
      </c>
      <c r="F233" s="12"/>
      <c r="G233" s="12"/>
      <c r="H233" s="12"/>
    </row>
    <row r="234">
      <c r="A234" s="13"/>
      <c r="B234" s="12"/>
      <c r="C234" s="12"/>
      <c r="D234" s="12"/>
      <c r="E234" s="11" t="s">
        <v>155</v>
      </c>
      <c r="F234" s="11" t="s">
        <v>36</v>
      </c>
      <c r="G234" s="11" t="s">
        <v>15</v>
      </c>
      <c r="H234" s="15">
        <v>90000.0</v>
      </c>
    </row>
    <row r="235">
      <c r="A235" s="13"/>
      <c r="B235" s="12"/>
      <c r="C235" s="12"/>
      <c r="D235" s="12"/>
      <c r="E235" s="11" t="s">
        <v>155</v>
      </c>
      <c r="F235" s="11" t="s">
        <v>34</v>
      </c>
      <c r="G235" s="11" t="s">
        <v>15</v>
      </c>
      <c r="H235" s="15">
        <v>90000.0</v>
      </c>
    </row>
    <row r="236">
      <c r="A236" s="13"/>
      <c r="B236" s="12"/>
      <c r="C236" s="12"/>
      <c r="D236" s="12"/>
      <c r="E236" s="11" t="s">
        <v>155</v>
      </c>
      <c r="F236" s="11" t="s">
        <v>165</v>
      </c>
      <c r="G236" s="11" t="s">
        <v>15</v>
      </c>
      <c r="H236" s="15">
        <v>160000.0</v>
      </c>
    </row>
    <row r="237">
      <c r="A237" s="13"/>
      <c r="B237" s="12"/>
      <c r="C237" s="12"/>
      <c r="D237" s="12"/>
      <c r="E237" s="11" t="s">
        <v>155</v>
      </c>
      <c r="F237" s="11" t="s">
        <v>40</v>
      </c>
      <c r="G237" s="11" t="s">
        <v>15</v>
      </c>
      <c r="H237" s="15">
        <v>300000.0</v>
      </c>
    </row>
    <row r="238">
      <c r="A238" s="13"/>
      <c r="B238" s="12"/>
      <c r="C238" s="12"/>
      <c r="D238" s="12"/>
      <c r="E238" s="11" t="s">
        <v>175</v>
      </c>
      <c r="F238" s="12"/>
      <c r="G238" s="11" t="s">
        <v>15</v>
      </c>
      <c r="H238" s="15">
        <v>300000.0</v>
      </c>
    </row>
    <row r="239">
      <c r="A239" s="13"/>
      <c r="B239" s="12"/>
      <c r="C239" s="12"/>
      <c r="D239" s="12"/>
      <c r="E239" s="11" t="s">
        <v>166</v>
      </c>
      <c r="F239" s="12"/>
      <c r="G239" s="11" t="s">
        <v>15</v>
      </c>
      <c r="H239" s="15">
        <v>300000.0</v>
      </c>
    </row>
    <row r="240">
      <c r="A240" s="13"/>
      <c r="B240" s="12"/>
      <c r="C240" s="12"/>
      <c r="D240" s="12"/>
      <c r="E240" s="12"/>
      <c r="F240" s="12"/>
      <c r="G240" s="12"/>
      <c r="H240" s="12"/>
    </row>
    <row r="241">
      <c r="A241" s="13"/>
      <c r="B241" s="12"/>
      <c r="C241" s="14">
        <v>2.0</v>
      </c>
      <c r="D241" s="11" t="s">
        <v>176</v>
      </c>
      <c r="E241" s="12"/>
      <c r="F241" s="12"/>
      <c r="G241" s="12"/>
      <c r="H241" s="12"/>
    </row>
    <row r="242">
      <c r="A242" s="13"/>
      <c r="B242" s="12"/>
      <c r="C242" s="12"/>
      <c r="D242" s="11" t="s">
        <v>150</v>
      </c>
      <c r="E242" s="11" t="s">
        <v>177</v>
      </c>
      <c r="F242" s="12"/>
      <c r="G242" s="12"/>
      <c r="H242" s="12"/>
    </row>
    <row r="243">
      <c r="A243" s="13"/>
      <c r="B243" s="12"/>
      <c r="C243" s="12"/>
      <c r="D243" s="12"/>
      <c r="E243" s="11" t="s">
        <v>178</v>
      </c>
      <c r="F243" s="12"/>
      <c r="G243" s="11" t="s">
        <v>15</v>
      </c>
      <c r="H243" s="15">
        <v>100000.0</v>
      </c>
    </row>
    <row r="244">
      <c r="A244" s="13"/>
      <c r="B244" s="12"/>
      <c r="C244" s="12"/>
      <c r="D244" s="12"/>
      <c r="E244" s="11" t="s">
        <v>179</v>
      </c>
      <c r="F244" s="12"/>
      <c r="G244" s="11" t="s">
        <v>15</v>
      </c>
      <c r="H244" s="15">
        <v>30000.0</v>
      </c>
    </row>
    <row r="245">
      <c r="A245" s="13"/>
      <c r="B245" s="12"/>
      <c r="C245" s="12"/>
      <c r="D245" s="12"/>
      <c r="E245" s="11" t="s">
        <v>154</v>
      </c>
      <c r="F245" s="12"/>
      <c r="G245" s="12"/>
      <c r="H245" s="12"/>
    </row>
    <row r="246">
      <c r="A246" s="13"/>
      <c r="B246" s="12"/>
      <c r="C246" s="12"/>
      <c r="D246" s="12"/>
      <c r="E246" s="11" t="s">
        <v>155</v>
      </c>
      <c r="F246" s="11" t="s">
        <v>156</v>
      </c>
      <c r="G246" s="11" t="s">
        <v>15</v>
      </c>
      <c r="H246" s="15">
        <v>100000.0</v>
      </c>
    </row>
    <row r="247">
      <c r="A247" s="13"/>
      <c r="B247" s="12"/>
      <c r="C247" s="12"/>
      <c r="D247" s="12"/>
      <c r="E247" s="11" t="s">
        <v>155</v>
      </c>
      <c r="F247" s="11" t="s">
        <v>157</v>
      </c>
      <c r="G247" s="11" t="s">
        <v>15</v>
      </c>
      <c r="H247" s="15">
        <v>150000.0</v>
      </c>
    </row>
    <row r="248">
      <c r="A248" s="13"/>
      <c r="B248" s="12"/>
      <c r="C248" s="12"/>
      <c r="D248" s="12"/>
      <c r="E248" s="11" t="s">
        <v>155</v>
      </c>
      <c r="F248" s="11" t="s">
        <v>117</v>
      </c>
      <c r="G248" s="11" t="s">
        <v>15</v>
      </c>
      <c r="H248" s="15">
        <v>400000.0</v>
      </c>
    </row>
    <row r="249">
      <c r="A249" s="13"/>
      <c r="B249" s="12"/>
      <c r="C249" s="12"/>
      <c r="D249" s="12"/>
      <c r="E249" s="11" t="s">
        <v>155</v>
      </c>
      <c r="F249" s="11" t="s">
        <v>180</v>
      </c>
      <c r="G249" s="11" t="s">
        <v>15</v>
      </c>
      <c r="H249" s="15">
        <v>400000.0</v>
      </c>
    </row>
    <row r="250">
      <c r="A250" s="13"/>
      <c r="B250" s="12"/>
      <c r="C250" s="12"/>
      <c r="D250" s="12"/>
      <c r="E250" s="11" t="s">
        <v>166</v>
      </c>
      <c r="F250" s="12"/>
      <c r="G250" s="11" t="s">
        <v>15</v>
      </c>
      <c r="H250" s="15">
        <v>300000.0</v>
      </c>
    </row>
    <row r="251">
      <c r="A251" s="13"/>
      <c r="B251" s="12"/>
      <c r="C251" s="12"/>
      <c r="D251" s="12"/>
      <c r="E251" s="11" t="s">
        <v>175</v>
      </c>
      <c r="F251" s="12"/>
      <c r="G251" s="11" t="s">
        <v>15</v>
      </c>
      <c r="H251" s="15">
        <v>300000.0</v>
      </c>
    </row>
    <row r="252">
      <c r="A252" s="13"/>
      <c r="B252" s="12"/>
      <c r="C252" s="12"/>
      <c r="D252" s="12"/>
      <c r="E252" s="12"/>
      <c r="F252" s="12"/>
      <c r="G252" s="12"/>
      <c r="H252" s="12"/>
    </row>
    <row r="253">
      <c r="A253" s="13"/>
      <c r="B253" s="12"/>
      <c r="C253" s="12"/>
      <c r="D253" s="11" t="s">
        <v>167</v>
      </c>
      <c r="E253" s="11" t="s">
        <v>181</v>
      </c>
      <c r="F253" s="12"/>
      <c r="G253" s="12"/>
      <c r="H253" s="12"/>
    </row>
    <row r="254">
      <c r="A254" s="13"/>
      <c r="B254" s="12"/>
      <c r="C254" s="12"/>
      <c r="D254" s="12"/>
      <c r="E254" s="11" t="s">
        <v>178</v>
      </c>
      <c r="F254" s="12"/>
      <c r="G254" s="11" t="s">
        <v>15</v>
      </c>
      <c r="H254" s="15">
        <v>100000.0</v>
      </c>
    </row>
    <row r="255">
      <c r="A255" s="13"/>
      <c r="B255" s="12"/>
      <c r="C255" s="12"/>
      <c r="D255" s="12"/>
      <c r="E255" s="11" t="s">
        <v>154</v>
      </c>
      <c r="F255" s="12"/>
      <c r="G255" s="12"/>
      <c r="H255" s="12"/>
    </row>
    <row r="256">
      <c r="A256" s="13"/>
      <c r="B256" s="12"/>
      <c r="C256" s="12"/>
      <c r="D256" s="12"/>
      <c r="E256" s="11" t="s">
        <v>155</v>
      </c>
      <c r="F256" s="11" t="s">
        <v>156</v>
      </c>
      <c r="G256" s="11" t="s">
        <v>15</v>
      </c>
      <c r="H256" s="15">
        <v>100000.0</v>
      </c>
    </row>
    <row r="257">
      <c r="A257" s="13"/>
      <c r="B257" s="12"/>
      <c r="C257" s="12"/>
      <c r="D257" s="12"/>
      <c r="E257" s="11" t="s">
        <v>155</v>
      </c>
      <c r="F257" s="11" t="s">
        <v>157</v>
      </c>
      <c r="G257" s="11" t="s">
        <v>15</v>
      </c>
      <c r="H257" s="15">
        <v>150000.0</v>
      </c>
    </row>
    <row r="258">
      <c r="A258" s="13"/>
      <c r="B258" s="12"/>
      <c r="C258" s="12"/>
      <c r="D258" s="12"/>
      <c r="E258" s="11" t="s">
        <v>155</v>
      </c>
      <c r="F258" s="11" t="s">
        <v>117</v>
      </c>
      <c r="G258" s="11" t="s">
        <v>15</v>
      </c>
      <c r="H258" s="15">
        <v>400000.0</v>
      </c>
    </row>
    <row r="259">
      <c r="A259" s="13"/>
      <c r="B259" s="12"/>
      <c r="C259" s="12"/>
      <c r="D259" s="12"/>
      <c r="E259" s="11" t="s">
        <v>155</v>
      </c>
      <c r="F259" s="11" t="s">
        <v>180</v>
      </c>
      <c r="G259" s="11" t="s">
        <v>15</v>
      </c>
      <c r="H259" s="15">
        <v>400000.0</v>
      </c>
    </row>
    <row r="260">
      <c r="A260" s="13"/>
      <c r="B260" s="12"/>
      <c r="C260" s="12"/>
      <c r="D260" s="12"/>
      <c r="E260" s="11" t="s">
        <v>166</v>
      </c>
      <c r="F260" s="12"/>
      <c r="G260" s="11" t="s">
        <v>15</v>
      </c>
      <c r="H260" s="15">
        <v>300000.0</v>
      </c>
    </row>
    <row r="261">
      <c r="A261" s="13"/>
      <c r="B261" s="12"/>
      <c r="C261" s="12"/>
      <c r="D261" s="12"/>
      <c r="E261" s="11" t="s">
        <v>175</v>
      </c>
      <c r="F261" s="12"/>
      <c r="G261" s="11" t="s">
        <v>15</v>
      </c>
      <c r="H261" s="15">
        <v>300000.0</v>
      </c>
    </row>
    <row r="262">
      <c r="A262" s="13"/>
      <c r="B262" s="12"/>
      <c r="C262" s="12"/>
      <c r="D262" s="12"/>
      <c r="E262" s="12"/>
      <c r="F262" s="12"/>
      <c r="G262" s="12"/>
      <c r="H262" s="12"/>
    </row>
    <row r="263">
      <c r="A263" s="13"/>
      <c r="B263" s="12"/>
      <c r="C263" s="12"/>
      <c r="D263" s="11" t="s">
        <v>169</v>
      </c>
      <c r="E263" s="11" t="s">
        <v>182</v>
      </c>
      <c r="F263" s="12"/>
      <c r="G263" s="12"/>
      <c r="H263" s="12"/>
    </row>
    <row r="264">
      <c r="A264" s="13"/>
      <c r="B264" s="12"/>
      <c r="C264" s="12"/>
      <c r="D264" s="12"/>
      <c r="E264" s="11" t="s">
        <v>178</v>
      </c>
      <c r="F264" s="12"/>
      <c r="G264" s="11" t="s">
        <v>15</v>
      </c>
      <c r="H264" s="15">
        <v>100000.0</v>
      </c>
    </row>
    <row r="265">
      <c r="A265" s="13"/>
      <c r="B265" s="12"/>
      <c r="C265" s="12"/>
      <c r="D265" s="12"/>
      <c r="E265" s="11" t="s">
        <v>138</v>
      </c>
      <c r="F265" s="12"/>
      <c r="G265" s="11" t="s">
        <v>15</v>
      </c>
      <c r="H265" s="15">
        <v>100000.0</v>
      </c>
    </row>
    <row r="266">
      <c r="A266" s="13"/>
      <c r="B266" s="12"/>
      <c r="C266" s="12"/>
      <c r="D266" s="12"/>
      <c r="E266" s="11" t="s">
        <v>174</v>
      </c>
      <c r="F266" s="12"/>
      <c r="G266" s="11" t="s">
        <v>15</v>
      </c>
      <c r="H266" s="15">
        <v>30000.0</v>
      </c>
    </row>
    <row r="267">
      <c r="A267" s="13"/>
      <c r="B267" s="12"/>
      <c r="C267" s="12"/>
      <c r="D267" s="12"/>
      <c r="E267" s="11" t="s">
        <v>171</v>
      </c>
      <c r="F267" s="12"/>
      <c r="G267" s="11" t="s">
        <v>15</v>
      </c>
      <c r="H267" s="15">
        <v>25000.0</v>
      </c>
    </row>
    <row r="268">
      <c r="A268" s="13"/>
      <c r="B268" s="12"/>
      <c r="C268" s="12"/>
      <c r="D268" s="12"/>
      <c r="E268" s="11" t="s">
        <v>154</v>
      </c>
      <c r="F268" s="12"/>
      <c r="G268" s="12"/>
      <c r="H268" s="12"/>
    </row>
    <row r="269">
      <c r="A269" s="13"/>
      <c r="B269" s="12"/>
      <c r="C269" s="12"/>
      <c r="D269" s="12"/>
      <c r="E269" s="11" t="s">
        <v>155</v>
      </c>
      <c r="F269" s="11" t="s">
        <v>156</v>
      </c>
      <c r="G269" s="11" t="s">
        <v>15</v>
      </c>
      <c r="H269" s="15">
        <v>100000.0</v>
      </c>
    </row>
    <row r="270">
      <c r="A270" s="13"/>
      <c r="B270" s="12"/>
      <c r="C270" s="12"/>
      <c r="D270" s="12"/>
      <c r="E270" s="11" t="s">
        <v>155</v>
      </c>
      <c r="F270" s="11" t="s">
        <v>157</v>
      </c>
      <c r="G270" s="11" t="s">
        <v>15</v>
      </c>
      <c r="H270" s="15">
        <v>150000.0</v>
      </c>
    </row>
    <row r="271">
      <c r="A271" s="13"/>
      <c r="B271" s="12"/>
      <c r="C271" s="12"/>
      <c r="D271" s="12"/>
      <c r="E271" s="11" t="s">
        <v>166</v>
      </c>
      <c r="F271" s="12"/>
      <c r="G271" s="11" t="s">
        <v>15</v>
      </c>
      <c r="H271" s="15">
        <v>300000.0</v>
      </c>
    </row>
    <row r="272">
      <c r="A272" s="13"/>
      <c r="B272" s="12"/>
      <c r="C272" s="12"/>
      <c r="D272" s="12"/>
      <c r="E272" s="11" t="s">
        <v>175</v>
      </c>
      <c r="F272" s="12"/>
      <c r="G272" s="11" t="s">
        <v>15</v>
      </c>
      <c r="H272" s="15">
        <v>300000.0</v>
      </c>
    </row>
    <row r="273">
      <c r="A273" s="13"/>
      <c r="B273" s="12"/>
      <c r="C273" s="12"/>
      <c r="D273" s="12"/>
      <c r="E273" s="12"/>
      <c r="F273" s="12"/>
      <c r="G273" s="12"/>
      <c r="H273" s="12"/>
    </row>
    <row r="274">
      <c r="A274" s="10">
        <v>5.0</v>
      </c>
      <c r="B274" s="11" t="s">
        <v>183</v>
      </c>
      <c r="C274" s="12"/>
      <c r="D274" s="12"/>
      <c r="E274" s="12"/>
      <c r="F274" s="12"/>
      <c r="G274" s="12"/>
      <c r="H274" s="12"/>
    </row>
    <row r="275">
      <c r="A275" s="13"/>
      <c r="B275" s="14">
        <v>1.0</v>
      </c>
      <c r="C275" s="11" t="s">
        <v>184</v>
      </c>
      <c r="D275" s="12"/>
      <c r="E275" s="12"/>
      <c r="F275" s="12"/>
      <c r="G275" s="11" t="s">
        <v>15</v>
      </c>
      <c r="H275" s="15">
        <v>50000.0</v>
      </c>
    </row>
    <row r="276">
      <c r="A276" s="13"/>
      <c r="B276" s="14">
        <v>2.0</v>
      </c>
      <c r="C276" s="11" t="s">
        <v>185</v>
      </c>
      <c r="D276" s="12"/>
      <c r="E276" s="12"/>
      <c r="F276" s="12"/>
      <c r="G276" s="11" t="s">
        <v>15</v>
      </c>
      <c r="H276" s="15">
        <v>150000.0</v>
      </c>
    </row>
    <row r="277">
      <c r="A277" s="13"/>
      <c r="B277" s="14">
        <v>3.0</v>
      </c>
      <c r="C277" s="11" t="s">
        <v>186</v>
      </c>
      <c r="D277" s="12"/>
      <c r="E277" s="12"/>
      <c r="F277" s="12"/>
      <c r="G277" s="11" t="s">
        <v>15</v>
      </c>
      <c r="H277" s="15">
        <v>150000.0</v>
      </c>
    </row>
    <row r="278">
      <c r="A278" s="13"/>
      <c r="B278" s="14">
        <v>4.0</v>
      </c>
      <c r="C278" s="11" t="s">
        <v>187</v>
      </c>
      <c r="D278" s="12"/>
      <c r="E278" s="12"/>
      <c r="F278" s="12"/>
      <c r="G278" s="11" t="s">
        <v>15</v>
      </c>
      <c r="H278" s="15">
        <v>150000.0</v>
      </c>
    </row>
    <row r="279">
      <c r="A279" s="13"/>
      <c r="B279" s="14">
        <v>5.0</v>
      </c>
      <c r="C279" s="11" t="s">
        <v>188</v>
      </c>
      <c r="D279" s="12"/>
      <c r="E279" s="12"/>
      <c r="F279" s="12"/>
      <c r="G279" s="11" t="s">
        <v>15</v>
      </c>
      <c r="H279" s="15">
        <v>150000.0</v>
      </c>
    </row>
    <row r="280">
      <c r="A280" s="13"/>
      <c r="B280" s="14">
        <v>6.0</v>
      </c>
      <c r="C280" s="11" t="s">
        <v>189</v>
      </c>
      <c r="D280" s="12"/>
      <c r="E280" s="12"/>
      <c r="F280" s="12"/>
      <c r="G280" s="11" t="s">
        <v>190</v>
      </c>
      <c r="H280" s="15">
        <v>300000.0</v>
      </c>
    </row>
    <row r="281">
      <c r="A281" s="13"/>
      <c r="B281" s="14">
        <v>7.0</v>
      </c>
      <c r="C281" s="11" t="s">
        <v>191</v>
      </c>
      <c r="D281" s="12"/>
      <c r="E281" s="12"/>
      <c r="F281" s="12"/>
      <c r="G281" s="11" t="s">
        <v>190</v>
      </c>
      <c r="H281" s="15">
        <v>300000.0</v>
      </c>
    </row>
    <row r="282">
      <c r="A282" s="13"/>
      <c r="B282" s="14">
        <v>8.0</v>
      </c>
      <c r="C282" s="11" t="s">
        <v>192</v>
      </c>
      <c r="D282" s="12"/>
      <c r="E282" s="12"/>
      <c r="F282" s="12"/>
      <c r="G282" s="11" t="s">
        <v>15</v>
      </c>
      <c r="H282" s="15">
        <v>200000.0</v>
      </c>
    </row>
    <row r="283">
      <c r="A283" s="13"/>
      <c r="B283" s="14">
        <v>9.0</v>
      </c>
      <c r="C283" s="11" t="s">
        <v>193</v>
      </c>
      <c r="D283" s="12"/>
      <c r="E283" s="12"/>
      <c r="F283" s="12"/>
      <c r="G283" s="11" t="s">
        <v>15</v>
      </c>
      <c r="H283" s="15">
        <v>200000.0</v>
      </c>
    </row>
    <row r="284">
      <c r="A284" s="13"/>
      <c r="B284" s="11">
        <v>10.0</v>
      </c>
      <c r="C284" s="11" t="s">
        <v>194</v>
      </c>
      <c r="D284" s="12"/>
      <c r="E284" s="12"/>
      <c r="F284" s="12"/>
      <c r="G284" s="11" t="s">
        <v>15</v>
      </c>
      <c r="H284" s="15">
        <v>50000.0</v>
      </c>
    </row>
    <row r="285">
      <c r="A285" s="13"/>
      <c r="B285" s="12"/>
      <c r="C285" s="12"/>
      <c r="D285" s="12"/>
      <c r="E285" s="12"/>
      <c r="F285" s="12"/>
      <c r="G285" s="12"/>
      <c r="H285" s="12"/>
    </row>
    <row r="286">
      <c r="A286" s="13"/>
      <c r="B286" s="14">
        <v>1.0</v>
      </c>
      <c r="C286" s="11" t="s">
        <v>195</v>
      </c>
      <c r="D286" s="12"/>
      <c r="E286" s="12"/>
      <c r="F286" s="12"/>
      <c r="G286" s="11" t="s">
        <v>15</v>
      </c>
      <c r="H286" s="15">
        <v>300000.0</v>
      </c>
    </row>
    <row r="287">
      <c r="A287" s="13"/>
      <c r="B287" s="14">
        <v>2.0</v>
      </c>
      <c r="C287" s="11" t="s">
        <v>196</v>
      </c>
      <c r="D287" s="12"/>
      <c r="E287" s="12"/>
      <c r="F287" s="12"/>
      <c r="G287" s="11" t="s">
        <v>15</v>
      </c>
      <c r="H287" s="15">
        <v>300000.0</v>
      </c>
    </row>
    <row r="288">
      <c r="A288" s="13"/>
      <c r="B288" s="14">
        <v>3.0</v>
      </c>
      <c r="C288" s="11" t="s">
        <v>197</v>
      </c>
      <c r="D288" s="12"/>
      <c r="E288" s="12"/>
      <c r="F288" s="12"/>
      <c r="G288" s="11" t="s">
        <v>15</v>
      </c>
      <c r="H288" s="15">
        <v>400000.0</v>
      </c>
    </row>
    <row r="289">
      <c r="A289" s="13"/>
      <c r="B289" s="14">
        <v>4.0</v>
      </c>
      <c r="C289" s="16" t="s">
        <v>198</v>
      </c>
      <c r="D289" s="12"/>
      <c r="E289" s="12"/>
      <c r="F289" s="12"/>
      <c r="G289" s="11" t="s">
        <v>15</v>
      </c>
      <c r="H289" s="15">
        <v>30000.0</v>
      </c>
    </row>
    <row r="290">
      <c r="A290" s="13"/>
      <c r="B290" s="14">
        <v>5.0</v>
      </c>
      <c r="C290" s="16" t="s">
        <v>199</v>
      </c>
      <c r="D290" s="12"/>
      <c r="E290" s="12"/>
      <c r="F290" s="12"/>
      <c r="G290" s="11" t="s">
        <v>15</v>
      </c>
      <c r="H290" s="15">
        <v>150000.0</v>
      </c>
    </row>
    <row r="291">
      <c r="A291" s="13"/>
      <c r="B291" s="14">
        <v>6.0</v>
      </c>
      <c r="C291" s="11" t="s">
        <v>200</v>
      </c>
      <c r="D291" s="12"/>
      <c r="E291" s="12"/>
      <c r="F291" s="12"/>
      <c r="G291" s="11" t="s">
        <v>15</v>
      </c>
      <c r="H291" s="15">
        <v>300000.0</v>
      </c>
    </row>
    <row r="292">
      <c r="A292" s="13"/>
      <c r="B292" s="14">
        <v>7.0</v>
      </c>
      <c r="C292" s="11" t="s">
        <v>201</v>
      </c>
      <c r="D292" s="12"/>
      <c r="E292" s="12"/>
      <c r="F292" s="12"/>
      <c r="G292" s="12"/>
      <c r="H292" s="12"/>
    </row>
    <row r="293">
      <c r="A293" s="13"/>
      <c r="B293" s="12"/>
      <c r="C293" s="11" t="s">
        <v>202</v>
      </c>
      <c r="D293" s="11" t="s">
        <v>203</v>
      </c>
      <c r="E293" s="12"/>
      <c r="F293" s="12"/>
      <c r="G293" s="11" t="s">
        <v>15</v>
      </c>
      <c r="H293" s="15">
        <v>300000.0</v>
      </c>
    </row>
    <row r="294">
      <c r="A294" s="13"/>
      <c r="B294" s="12"/>
      <c r="C294" s="11" t="s">
        <v>204</v>
      </c>
      <c r="D294" s="11" t="s">
        <v>205</v>
      </c>
      <c r="E294" s="12"/>
      <c r="F294" s="12"/>
      <c r="G294" s="11" t="s">
        <v>15</v>
      </c>
      <c r="H294" s="15">
        <v>300000.0</v>
      </c>
    </row>
    <row r="295">
      <c r="A295" s="13"/>
      <c r="B295" s="12"/>
      <c r="C295" s="11" t="s">
        <v>206</v>
      </c>
      <c r="D295" s="11" t="s">
        <v>207</v>
      </c>
      <c r="E295" s="12"/>
      <c r="F295" s="12"/>
      <c r="G295" s="11" t="s">
        <v>15</v>
      </c>
      <c r="H295" s="15">
        <v>600000.0</v>
      </c>
    </row>
    <row r="296">
      <c r="A296" s="13"/>
      <c r="B296" s="12"/>
      <c r="C296" s="11" t="s">
        <v>208</v>
      </c>
      <c r="D296" s="11" t="s">
        <v>209</v>
      </c>
      <c r="E296" s="12"/>
      <c r="F296" s="12"/>
      <c r="G296" s="11" t="s">
        <v>15</v>
      </c>
      <c r="H296" s="15">
        <v>600000.0</v>
      </c>
    </row>
    <row r="297">
      <c r="A297" s="13"/>
      <c r="B297" s="12"/>
      <c r="C297" s="11" t="s">
        <v>210</v>
      </c>
      <c r="D297" s="11" t="s">
        <v>211</v>
      </c>
      <c r="E297" s="12"/>
      <c r="F297" s="12"/>
      <c r="G297" s="11" t="s">
        <v>15</v>
      </c>
      <c r="H297" s="15">
        <v>900000.0</v>
      </c>
    </row>
    <row r="298">
      <c r="A298" s="13"/>
      <c r="B298" s="12"/>
      <c r="C298" s="11" t="s">
        <v>212</v>
      </c>
      <c r="D298" s="11" t="s">
        <v>213</v>
      </c>
      <c r="E298" s="12"/>
      <c r="F298" s="12"/>
      <c r="G298" s="11" t="s">
        <v>15</v>
      </c>
      <c r="H298" s="15">
        <v>900000.0</v>
      </c>
    </row>
    <row r="299">
      <c r="A299" s="13"/>
      <c r="B299" s="12"/>
      <c r="C299" s="11" t="s">
        <v>214</v>
      </c>
      <c r="D299" s="11" t="s">
        <v>215</v>
      </c>
      <c r="E299" s="12"/>
      <c r="F299" s="12"/>
      <c r="G299" s="11" t="s">
        <v>15</v>
      </c>
      <c r="H299" s="15">
        <v>1000000.0</v>
      </c>
    </row>
    <row r="300">
      <c r="A300" s="13"/>
      <c r="B300" s="14">
        <v>8.0</v>
      </c>
      <c r="C300" s="11" t="s">
        <v>216</v>
      </c>
      <c r="D300" s="12"/>
      <c r="E300" s="12"/>
      <c r="F300" s="12"/>
      <c r="G300" s="11" t="s">
        <v>15</v>
      </c>
      <c r="H300" s="15">
        <v>100000.0</v>
      </c>
    </row>
    <row r="301">
      <c r="A301" s="13"/>
      <c r="B301" s="14">
        <v>9.0</v>
      </c>
      <c r="C301" s="11" t="s">
        <v>217</v>
      </c>
      <c r="D301" s="12"/>
      <c r="E301" s="12"/>
      <c r="F301" s="12"/>
      <c r="G301" s="11" t="s">
        <v>218</v>
      </c>
      <c r="H301" s="15">
        <v>300000.0</v>
      </c>
      <c r="I301" s="17" t="s">
        <v>219</v>
      </c>
    </row>
    <row r="302">
      <c r="A302" s="13"/>
      <c r="B302" s="12"/>
      <c r="C302" s="12"/>
      <c r="D302" s="12"/>
      <c r="E302" s="12"/>
      <c r="F302" s="12"/>
      <c r="G302" s="11" t="s">
        <v>220</v>
      </c>
      <c r="H302" s="15">
        <v>200000.0</v>
      </c>
    </row>
    <row r="303">
      <c r="A303" s="13"/>
      <c r="B303" s="14">
        <v>10.0</v>
      </c>
      <c r="C303" s="11" t="s">
        <v>221</v>
      </c>
      <c r="D303" s="12"/>
      <c r="E303" s="12"/>
      <c r="F303" s="12"/>
      <c r="G303" s="11" t="s">
        <v>15</v>
      </c>
      <c r="H303" s="15">
        <v>300000.0</v>
      </c>
    </row>
    <row r="304">
      <c r="A304" s="13"/>
      <c r="B304" s="14">
        <v>11.0</v>
      </c>
      <c r="C304" s="11" t="s">
        <v>222</v>
      </c>
      <c r="D304" s="12"/>
      <c r="E304" s="12"/>
      <c r="F304" s="12"/>
      <c r="G304" s="11" t="s">
        <v>15</v>
      </c>
      <c r="H304" s="15">
        <v>50000.0</v>
      </c>
      <c r="I304" s="17" t="s">
        <v>219</v>
      </c>
    </row>
    <row r="305">
      <c r="A305" s="13"/>
      <c r="B305" s="14">
        <v>12.0</v>
      </c>
      <c r="C305" s="11" t="s">
        <v>223</v>
      </c>
      <c r="D305" s="12"/>
      <c r="E305" s="12"/>
      <c r="F305" s="12"/>
      <c r="G305" s="11" t="s">
        <v>224</v>
      </c>
      <c r="H305" s="15">
        <v>100000.0</v>
      </c>
      <c r="I305" s="17" t="s">
        <v>219</v>
      </c>
    </row>
    <row r="306">
      <c r="A306" s="13"/>
      <c r="B306" s="14"/>
      <c r="C306" s="11"/>
      <c r="D306" s="12"/>
      <c r="E306" s="12"/>
      <c r="F306" s="12"/>
      <c r="G306" s="11" t="s">
        <v>225</v>
      </c>
      <c r="H306" s="15">
        <v>5000.0</v>
      </c>
    </row>
    <row r="307">
      <c r="A307" s="13"/>
      <c r="B307" s="14">
        <v>13.0</v>
      </c>
      <c r="C307" s="11" t="s">
        <v>226</v>
      </c>
      <c r="D307" s="12"/>
      <c r="E307" s="12"/>
      <c r="F307" s="12"/>
      <c r="G307" s="11" t="s">
        <v>15</v>
      </c>
      <c r="H307" s="15">
        <v>25000.0</v>
      </c>
      <c r="I307" s="17" t="s">
        <v>219</v>
      </c>
    </row>
    <row r="308">
      <c r="A308" s="13"/>
      <c r="B308" s="11">
        <v>14.0</v>
      </c>
      <c r="C308" s="11" t="s">
        <v>227</v>
      </c>
      <c r="D308" s="12"/>
      <c r="E308" s="12"/>
      <c r="F308" s="12"/>
      <c r="G308" s="11" t="s">
        <v>15</v>
      </c>
      <c r="H308" s="15">
        <v>100000.0</v>
      </c>
      <c r="I308" s="17" t="s">
        <v>219</v>
      </c>
    </row>
    <row r="309">
      <c r="A309" s="13"/>
      <c r="B309" s="11">
        <v>15.0</v>
      </c>
      <c r="C309" s="11" t="s">
        <v>228</v>
      </c>
      <c r="D309" s="12"/>
      <c r="E309" s="12"/>
      <c r="F309" s="12"/>
      <c r="G309" s="11" t="s">
        <v>15</v>
      </c>
      <c r="H309" s="15">
        <v>150000.0</v>
      </c>
      <c r="I309" s="17" t="s">
        <v>219</v>
      </c>
    </row>
    <row r="310">
      <c r="A310" s="13"/>
      <c r="B310" s="12"/>
      <c r="C310" s="12"/>
      <c r="D310" s="12"/>
      <c r="E310" s="12"/>
      <c r="F310" s="12"/>
      <c r="G310" s="12"/>
      <c r="H310" s="12"/>
    </row>
    <row r="311">
      <c r="A311" s="10">
        <v>6.0</v>
      </c>
      <c r="B311" s="11" t="s">
        <v>229</v>
      </c>
      <c r="C311" s="12"/>
      <c r="D311" s="12"/>
      <c r="E311" s="12"/>
      <c r="F311" s="12"/>
      <c r="G311" s="12"/>
      <c r="H311" s="12"/>
    </row>
    <row r="312">
      <c r="A312" s="13"/>
      <c r="B312" s="11" t="s">
        <v>76</v>
      </c>
      <c r="C312" s="11" t="s">
        <v>230</v>
      </c>
      <c r="D312" s="12"/>
      <c r="E312" s="12"/>
      <c r="F312" s="12"/>
      <c r="G312" s="12"/>
      <c r="H312" s="12"/>
    </row>
    <row r="313">
      <c r="A313" s="13"/>
      <c r="B313" s="12"/>
      <c r="C313" s="14">
        <v>1.0</v>
      </c>
      <c r="D313" s="11" t="s">
        <v>231</v>
      </c>
      <c r="E313" s="12"/>
      <c r="F313" s="12"/>
      <c r="G313" s="11" t="s">
        <v>232</v>
      </c>
      <c r="H313" s="15">
        <v>200000.0</v>
      </c>
    </row>
    <row r="314">
      <c r="A314" s="13"/>
      <c r="B314" s="12"/>
      <c r="C314" s="14">
        <v>2.0</v>
      </c>
      <c r="D314" s="11" t="s">
        <v>233</v>
      </c>
      <c r="E314" s="12"/>
      <c r="F314" s="12"/>
      <c r="G314" s="11" t="s">
        <v>232</v>
      </c>
      <c r="H314" s="15">
        <v>200000.0</v>
      </c>
    </row>
    <row r="315">
      <c r="A315" s="13"/>
      <c r="B315" s="12"/>
      <c r="C315" s="14">
        <v>3.0</v>
      </c>
      <c r="D315" s="11" t="s">
        <v>234</v>
      </c>
      <c r="E315" s="12"/>
      <c r="F315" s="12"/>
      <c r="G315" s="11" t="s">
        <v>232</v>
      </c>
      <c r="H315" s="15">
        <v>200000.0</v>
      </c>
    </row>
    <row r="316">
      <c r="A316" s="13"/>
      <c r="B316" s="12"/>
      <c r="C316" s="14">
        <v>4.0</v>
      </c>
      <c r="D316" s="11" t="s">
        <v>235</v>
      </c>
      <c r="E316" s="12"/>
      <c r="F316" s="12"/>
      <c r="G316" s="11" t="s">
        <v>232</v>
      </c>
      <c r="H316" s="15">
        <v>200000.0</v>
      </c>
    </row>
    <row r="317">
      <c r="A317" s="13"/>
      <c r="B317" s="12"/>
      <c r="C317" s="14">
        <v>5.0</v>
      </c>
      <c r="D317" s="11" t="s">
        <v>236</v>
      </c>
      <c r="E317" s="12"/>
      <c r="F317" s="12"/>
      <c r="G317" s="11" t="s">
        <v>232</v>
      </c>
      <c r="H317" s="15">
        <v>300000.0</v>
      </c>
    </row>
    <row r="318">
      <c r="A318" s="13"/>
      <c r="B318" s="12"/>
      <c r="C318" s="14">
        <v>6.0</v>
      </c>
      <c r="D318" s="11" t="s">
        <v>237</v>
      </c>
      <c r="E318" s="12"/>
      <c r="F318" s="12"/>
      <c r="G318" s="11" t="s">
        <v>232</v>
      </c>
      <c r="H318" s="15">
        <v>300000.0</v>
      </c>
    </row>
    <row r="319">
      <c r="A319" s="13"/>
      <c r="B319" s="11" t="s">
        <v>78</v>
      </c>
      <c r="C319" s="11" t="s">
        <v>238</v>
      </c>
      <c r="D319" s="12"/>
      <c r="E319" s="12"/>
      <c r="F319" s="12"/>
      <c r="G319" s="12"/>
      <c r="H319" s="12"/>
    </row>
    <row r="320">
      <c r="A320" s="13"/>
      <c r="B320" s="12"/>
      <c r="C320" s="11" t="s">
        <v>150</v>
      </c>
      <c r="D320" s="11" t="s">
        <v>239</v>
      </c>
      <c r="E320" s="12"/>
      <c r="F320" s="12"/>
      <c r="G320" s="11" t="s">
        <v>232</v>
      </c>
      <c r="H320" s="15">
        <v>200000.0</v>
      </c>
    </row>
    <row r="321">
      <c r="A321" s="13"/>
      <c r="B321" s="12"/>
      <c r="C321" s="11" t="s">
        <v>167</v>
      </c>
      <c r="D321" s="11" t="s">
        <v>240</v>
      </c>
      <c r="E321" s="12"/>
      <c r="F321" s="12"/>
      <c r="G321" s="11" t="s">
        <v>232</v>
      </c>
      <c r="H321" s="15">
        <v>200000.0</v>
      </c>
    </row>
    <row r="322">
      <c r="A322" s="13"/>
      <c r="B322" s="12"/>
      <c r="C322" s="11" t="s">
        <v>169</v>
      </c>
      <c r="D322" s="11" t="s">
        <v>241</v>
      </c>
      <c r="E322" s="12"/>
      <c r="F322" s="12"/>
      <c r="G322" s="11" t="s">
        <v>232</v>
      </c>
      <c r="H322" s="15">
        <v>200000.0</v>
      </c>
    </row>
    <row r="323">
      <c r="A323" s="13"/>
      <c r="B323" s="12"/>
      <c r="C323" s="11" t="s">
        <v>172</v>
      </c>
      <c r="D323" s="11" t="s">
        <v>242</v>
      </c>
      <c r="E323" s="12"/>
      <c r="F323" s="12"/>
      <c r="G323" s="11" t="s">
        <v>232</v>
      </c>
      <c r="H323" s="15">
        <v>200000.0</v>
      </c>
    </row>
    <row r="324">
      <c r="A324" s="13"/>
      <c r="B324" s="12"/>
      <c r="C324" s="11" t="s">
        <v>243</v>
      </c>
      <c r="D324" s="11" t="s">
        <v>244</v>
      </c>
      <c r="E324" s="12"/>
      <c r="F324" s="12"/>
      <c r="G324" s="11" t="s">
        <v>232</v>
      </c>
      <c r="H324" s="15">
        <v>200000.0</v>
      </c>
    </row>
    <row r="325">
      <c r="A325" s="13"/>
      <c r="B325" s="11" t="s">
        <v>80</v>
      </c>
      <c r="C325" s="11" t="s">
        <v>245</v>
      </c>
      <c r="D325" s="12"/>
      <c r="E325" s="12"/>
      <c r="F325" s="12"/>
      <c r="G325" s="11" t="s">
        <v>232</v>
      </c>
      <c r="H325" s="15">
        <v>200000.0</v>
      </c>
    </row>
    <row r="326">
      <c r="A326" s="13"/>
      <c r="B326" s="11" t="s">
        <v>129</v>
      </c>
      <c r="C326" s="11" t="s">
        <v>246</v>
      </c>
      <c r="D326" s="12"/>
      <c r="E326" s="12"/>
      <c r="F326" s="12"/>
      <c r="G326" s="11" t="s">
        <v>232</v>
      </c>
      <c r="H326" s="15">
        <v>200000.0</v>
      </c>
    </row>
    <row r="327">
      <c r="A327" s="13"/>
      <c r="B327" s="12"/>
      <c r="C327" s="12"/>
      <c r="D327" s="12"/>
      <c r="E327" s="12"/>
      <c r="F327" s="12"/>
      <c r="G327" s="12"/>
      <c r="H327" s="12"/>
    </row>
    <row r="328">
      <c r="A328" s="10">
        <v>7.0</v>
      </c>
      <c r="B328" s="11" t="s">
        <v>247</v>
      </c>
      <c r="C328" s="12"/>
      <c r="D328" s="12"/>
      <c r="E328" s="12"/>
      <c r="F328" s="12"/>
      <c r="G328" s="12"/>
      <c r="H328" s="12"/>
    </row>
    <row r="329">
      <c r="A329" s="13"/>
      <c r="B329" s="11" t="s">
        <v>76</v>
      </c>
      <c r="C329" s="11" t="s">
        <v>248</v>
      </c>
      <c r="D329" s="12"/>
      <c r="E329" s="12"/>
      <c r="F329" s="12"/>
      <c r="G329" s="11" t="s">
        <v>249</v>
      </c>
      <c r="H329" s="12"/>
    </row>
    <row r="330">
      <c r="A330" s="13"/>
      <c r="B330" s="12"/>
      <c r="C330" s="11" t="s">
        <v>250</v>
      </c>
      <c r="D330" s="12"/>
      <c r="E330" s="12"/>
      <c r="F330" s="12"/>
      <c r="G330" s="12"/>
      <c r="H330" s="15">
        <v>750000.0</v>
      </c>
    </row>
    <row r="331">
      <c r="A331" s="13"/>
      <c r="B331" s="12"/>
      <c r="C331" s="11" t="s">
        <v>251</v>
      </c>
      <c r="D331" s="12"/>
      <c r="E331" s="12"/>
      <c r="F331" s="12"/>
      <c r="G331" s="12"/>
      <c r="H331" s="15">
        <v>850000.0</v>
      </c>
    </row>
    <row r="332">
      <c r="A332" s="13"/>
      <c r="B332" s="11" t="s">
        <v>78</v>
      </c>
      <c r="C332" s="11" t="s">
        <v>252</v>
      </c>
      <c r="D332" s="12"/>
      <c r="E332" s="12"/>
      <c r="F332" s="12"/>
      <c r="G332" s="11" t="s">
        <v>249</v>
      </c>
      <c r="H332" s="15">
        <v>2000000.0</v>
      </c>
    </row>
    <row r="333">
      <c r="A333" s="13"/>
      <c r="B333" s="12"/>
      <c r="C333" s="12"/>
      <c r="D333" s="12"/>
      <c r="E333" s="12"/>
      <c r="F333" s="12"/>
      <c r="G333" s="12"/>
      <c r="H333" s="12"/>
    </row>
    <row r="334">
      <c r="A334" s="10">
        <v>8.0</v>
      </c>
      <c r="B334" s="11" t="s">
        <v>253</v>
      </c>
      <c r="C334" s="12"/>
      <c r="D334" s="12"/>
      <c r="E334" s="12"/>
      <c r="F334" s="12"/>
      <c r="G334" s="12"/>
      <c r="H334" s="12"/>
    </row>
    <row r="335">
      <c r="A335" s="13"/>
      <c r="B335" s="11" t="s">
        <v>76</v>
      </c>
      <c r="C335" s="11" t="s">
        <v>254</v>
      </c>
      <c r="D335" s="12"/>
      <c r="E335" s="12"/>
      <c r="F335" s="12"/>
      <c r="G335" s="11" t="s">
        <v>255</v>
      </c>
      <c r="H335" s="15">
        <v>1000000.0</v>
      </c>
    </row>
    <row r="336">
      <c r="A336" s="13"/>
      <c r="B336" s="11" t="s">
        <v>78</v>
      </c>
      <c r="C336" s="11" t="s">
        <v>256</v>
      </c>
      <c r="D336" s="12"/>
      <c r="E336" s="12"/>
      <c r="F336" s="12"/>
      <c r="G336" s="11" t="s">
        <v>255</v>
      </c>
      <c r="H336" s="15">
        <v>500000.0</v>
      </c>
    </row>
    <row r="337">
      <c r="A337" s="13"/>
      <c r="B337" s="12"/>
      <c r="C337" s="12"/>
      <c r="D337" s="12"/>
      <c r="E337" s="12"/>
      <c r="F337" s="12"/>
      <c r="G337" s="12"/>
      <c r="H337" s="12"/>
    </row>
    <row r="338">
      <c r="A338" s="10">
        <v>9.0</v>
      </c>
      <c r="B338" s="11" t="s">
        <v>257</v>
      </c>
      <c r="C338" s="12"/>
      <c r="D338" s="12"/>
      <c r="E338" s="12"/>
      <c r="F338" s="12"/>
      <c r="G338" s="12"/>
      <c r="H338" s="12"/>
    </row>
    <row r="339">
      <c r="A339" s="13"/>
      <c r="B339" s="14">
        <v>1.0</v>
      </c>
      <c r="C339" s="11" t="s">
        <v>258</v>
      </c>
      <c r="D339" s="12"/>
      <c r="E339" s="12"/>
      <c r="F339" s="12"/>
      <c r="G339" s="11" t="s">
        <v>259</v>
      </c>
      <c r="H339" s="15">
        <v>150000.0</v>
      </c>
    </row>
    <row r="340">
      <c r="A340" s="13"/>
      <c r="B340" s="14">
        <v>2.0</v>
      </c>
      <c r="C340" s="11" t="s">
        <v>260</v>
      </c>
      <c r="D340" s="12"/>
      <c r="E340" s="12"/>
      <c r="F340" s="12"/>
      <c r="G340" s="11" t="s">
        <v>259</v>
      </c>
      <c r="H340" s="15">
        <v>2000000.0</v>
      </c>
    </row>
    <row r="341">
      <c r="A341" s="13"/>
      <c r="B341" s="14">
        <v>3.0</v>
      </c>
      <c r="C341" s="11" t="s">
        <v>261</v>
      </c>
      <c r="D341" s="12"/>
      <c r="E341" s="12"/>
      <c r="F341" s="12"/>
      <c r="G341" s="11" t="s">
        <v>259</v>
      </c>
      <c r="H341" s="15">
        <v>3000000.0</v>
      </c>
    </row>
    <row r="342">
      <c r="A342" s="13"/>
      <c r="B342" s="14">
        <v>4.0</v>
      </c>
      <c r="C342" s="11" t="s">
        <v>262</v>
      </c>
      <c r="D342" s="12"/>
      <c r="E342" s="12"/>
      <c r="F342" s="12"/>
      <c r="G342" s="11" t="s">
        <v>259</v>
      </c>
      <c r="H342" s="15">
        <v>300000.0</v>
      </c>
    </row>
    <row r="343">
      <c r="A343" s="13"/>
      <c r="B343" s="14">
        <v>5.0</v>
      </c>
      <c r="C343" s="11" t="s">
        <v>263</v>
      </c>
      <c r="D343" s="12"/>
      <c r="E343" s="12"/>
      <c r="F343" s="12"/>
      <c r="G343" s="11" t="s">
        <v>259</v>
      </c>
      <c r="H343" s="15">
        <v>150000.0</v>
      </c>
    </row>
    <row r="344">
      <c r="A344" s="13"/>
      <c r="B344" s="14">
        <v>6.0</v>
      </c>
      <c r="C344" s="11" t="s">
        <v>264</v>
      </c>
      <c r="D344" s="12"/>
      <c r="E344" s="12"/>
      <c r="F344" s="12"/>
      <c r="G344" s="11" t="s">
        <v>259</v>
      </c>
      <c r="H344" s="15">
        <v>150000.0</v>
      </c>
    </row>
    <row r="345">
      <c r="A345" s="13"/>
      <c r="B345" s="14">
        <v>7.0</v>
      </c>
      <c r="C345" s="11" t="s">
        <v>265</v>
      </c>
      <c r="D345" s="12"/>
      <c r="E345" s="12"/>
      <c r="F345" s="12"/>
      <c r="G345" s="11" t="s">
        <v>259</v>
      </c>
      <c r="H345" s="15">
        <v>150000.0</v>
      </c>
    </row>
    <row r="346">
      <c r="A346" s="13"/>
      <c r="B346" s="14">
        <v>8.0</v>
      </c>
      <c r="C346" s="11" t="s">
        <v>266</v>
      </c>
      <c r="D346" s="12"/>
      <c r="E346" s="12"/>
      <c r="F346" s="12"/>
      <c r="G346" s="11" t="s">
        <v>259</v>
      </c>
      <c r="H346" s="15">
        <v>150000.0</v>
      </c>
    </row>
    <row r="347">
      <c r="A347" s="13"/>
      <c r="B347" s="14">
        <v>9.0</v>
      </c>
      <c r="C347" s="11" t="s">
        <v>267</v>
      </c>
      <c r="D347" s="12"/>
      <c r="E347" s="12"/>
      <c r="F347" s="12"/>
      <c r="G347" s="11" t="s">
        <v>259</v>
      </c>
      <c r="H347" s="15">
        <v>600000.0</v>
      </c>
    </row>
    <row r="348">
      <c r="A348" s="13"/>
      <c r="B348" s="14">
        <v>10.0</v>
      </c>
      <c r="C348" s="11" t="s">
        <v>268</v>
      </c>
      <c r="D348" s="12"/>
      <c r="E348" s="12"/>
      <c r="F348" s="12"/>
      <c r="G348" s="11" t="s">
        <v>259</v>
      </c>
      <c r="H348" s="15">
        <v>600000.0</v>
      </c>
    </row>
    <row r="349">
      <c r="A349" s="13"/>
      <c r="B349" s="14">
        <v>11.0</v>
      </c>
      <c r="C349" s="11" t="s">
        <v>269</v>
      </c>
      <c r="D349" s="12"/>
      <c r="E349" s="12"/>
      <c r="F349" s="12"/>
      <c r="G349" s="11" t="s">
        <v>259</v>
      </c>
      <c r="H349" s="15">
        <v>600000.0</v>
      </c>
    </row>
    <row r="350">
      <c r="A350" s="5"/>
      <c r="B350" s="6"/>
      <c r="C350" s="6"/>
      <c r="D350" s="6"/>
      <c r="E350" s="6"/>
      <c r="F350" s="6"/>
      <c r="G350" s="6"/>
      <c r="H350" s="6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  <row r="1001">
      <c r="A1001" s="18"/>
    </row>
    <row r="1002">
      <c r="A1002" s="18"/>
    </row>
    <row r="1003">
      <c r="A1003" s="18"/>
    </row>
    <row r="1004">
      <c r="A1004" s="18"/>
    </row>
  </sheetData>
  <mergeCells count="3">
    <mergeCell ref="A1:H1"/>
    <mergeCell ref="A2:H2"/>
    <mergeCell ref="A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5.88"/>
    <col customWidth="1" min="4" max="4" width="3.75"/>
    <col customWidth="1" min="7" max="7" width="19.25"/>
    <col customWidth="1" min="12" max="12" width="21.88"/>
  </cols>
  <sheetData>
    <row r="1">
      <c r="A1" s="19"/>
      <c r="J1" s="20"/>
      <c r="K1" s="6"/>
      <c r="L1" s="6"/>
    </row>
    <row r="2">
      <c r="A2" s="4" t="s">
        <v>7</v>
      </c>
      <c r="J2" s="20"/>
      <c r="K2" s="6"/>
      <c r="L2" s="6"/>
    </row>
    <row r="3">
      <c r="A3" s="4" t="s">
        <v>8</v>
      </c>
      <c r="J3" s="20"/>
      <c r="K3" s="6"/>
      <c r="L3" s="6"/>
    </row>
    <row r="4">
      <c r="A4" s="5"/>
      <c r="B4" s="6"/>
      <c r="C4" s="6"/>
      <c r="D4" s="6"/>
      <c r="E4" s="6"/>
      <c r="F4" s="6"/>
      <c r="G4" s="6"/>
      <c r="H4" s="21"/>
      <c r="I4" s="20"/>
      <c r="J4" s="20"/>
      <c r="K4" s="6"/>
      <c r="L4" s="6"/>
    </row>
    <row r="5">
      <c r="A5" s="22" t="s">
        <v>270</v>
      </c>
      <c r="B5" s="23" t="s">
        <v>10</v>
      </c>
      <c r="C5" s="24"/>
      <c r="D5" s="24"/>
      <c r="E5" s="24"/>
      <c r="F5" s="25"/>
      <c r="G5" s="26" t="s">
        <v>11</v>
      </c>
      <c r="H5" s="27" t="s">
        <v>12</v>
      </c>
      <c r="I5" s="28" t="s">
        <v>271</v>
      </c>
      <c r="J5" s="29"/>
      <c r="K5" s="30"/>
      <c r="L5" s="30"/>
    </row>
    <row r="6">
      <c r="A6" s="31">
        <v>1.0</v>
      </c>
      <c r="B6" s="32" t="s">
        <v>13</v>
      </c>
      <c r="C6" s="24"/>
      <c r="D6" s="24"/>
      <c r="E6" s="24"/>
      <c r="F6" s="25"/>
      <c r="G6" s="33"/>
      <c r="H6" s="34"/>
      <c r="I6" s="35"/>
      <c r="J6" s="20"/>
      <c r="K6" s="6"/>
      <c r="L6" s="6"/>
    </row>
    <row r="7">
      <c r="A7" s="36"/>
      <c r="B7" s="14">
        <v>1.0</v>
      </c>
      <c r="C7" s="11" t="s">
        <v>14</v>
      </c>
      <c r="D7" s="12"/>
      <c r="E7" s="12"/>
      <c r="F7" s="12"/>
      <c r="G7" s="11" t="s">
        <v>15</v>
      </c>
      <c r="H7" s="37">
        <v>100000.0</v>
      </c>
      <c r="I7" s="38"/>
      <c r="J7" s="20"/>
      <c r="K7" s="6"/>
      <c r="L7" s="6"/>
    </row>
    <row r="8">
      <c r="A8" s="36"/>
      <c r="B8" s="14">
        <v>2.0</v>
      </c>
      <c r="C8" s="11" t="s">
        <v>16</v>
      </c>
      <c r="D8" s="12"/>
      <c r="E8" s="12"/>
      <c r="F8" s="12"/>
      <c r="G8" s="11" t="s">
        <v>15</v>
      </c>
      <c r="H8" s="37">
        <v>140000.0</v>
      </c>
      <c r="I8" s="38"/>
      <c r="J8" s="20"/>
      <c r="K8" s="6"/>
      <c r="L8" s="6"/>
    </row>
    <row r="9">
      <c r="A9" s="36"/>
      <c r="B9" s="14">
        <v>3.0</v>
      </c>
      <c r="C9" s="11" t="s">
        <v>17</v>
      </c>
      <c r="D9" s="12"/>
      <c r="E9" s="12"/>
      <c r="F9" s="12"/>
      <c r="G9" s="11" t="s">
        <v>15</v>
      </c>
      <c r="H9" s="37">
        <v>150000.0</v>
      </c>
      <c r="I9" s="38"/>
      <c r="J9" s="20"/>
      <c r="K9" s="6"/>
      <c r="L9" s="6"/>
    </row>
    <row r="10">
      <c r="A10" s="36"/>
      <c r="B10" s="14">
        <v>4.0</v>
      </c>
      <c r="C10" s="11" t="s">
        <v>18</v>
      </c>
      <c r="D10" s="12"/>
      <c r="E10" s="12"/>
      <c r="F10" s="12"/>
      <c r="G10" s="11" t="s">
        <v>15</v>
      </c>
      <c r="H10" s="37">
        <v>350000.0</v>
      </c>
      <c r="I10" s="38"/>
      <c r="J10" s="20"/>
      <c r="K10" s="6"/>
      <c r="L10" s="6"/>
    </row>
    <row r="11">
      <c r="A11" s="36"/>
      <c r="B11" s="14">
        <v>5.0</v>
      </c>
      <c r="C11" s="11" t="s">
        <v>19</v>
      </c>
      <c r="D11" s="12"/>
      <c r="E11" s="12"/>
      <c r="F11" s="12"/>
      <c r="G11" s="11" t="s">
        <v>15</v>
      </c>
      <c r="H11" s="37">
        <v>300000.0</v>
      </c>
      <c r="I11" s="38"/>
      <c r="J11" s="20"/>
      <c r="K11" s="6"/>
      <c r="L11" s="6"/>
    </row>
    <row r="12">
      <c r="A12" s="36"/>
      <c r="B12" s="14">
        <v>6.0</v>
      </c>
      <c r="C12" s="11" t="s">
        <v>20</v>
      </c>
      <c r="D12" s="12"/>
      <c r="E12" s="12"/>
      <c r="F12" s="12"/>
      <c r="G12" s="11" t="s">
        <v>15</v>
      </c>
      <c r="H12" s="37">
        <v>50000.0</v>
      </c>
      <c r="I12" s="38"/>
      <c r="J12" s="20"/>
      <c r="K12" s="6"/>
      <c r="L12" s="6"/>
    </row>
    <row r="13">
      <c r="A13" s="36"/>
      <c r="B13" s="14">
        <v>7.0</v>
      </c>
      <c r="C13" s="11" t="s">
        <v>21</v>
      </c>
      <c r="D13" s="12"/>
      <c r="E13" s="12"/>
      <c r="F13" s="12"/>
      <c r="G13" s="11" t="s">
        <v>15</v>
      </c>
      <c r="H13" s="37">
        <v>100000.0</v>
      </c>
      <c r="I13" s="38"/>
      <c r="J13" s="20"/>
      <c r="K13" s="6"/>
      <c r="L13" s="6"/>
    </row>
    <row r="14">
      <c r="A14" s="36"/>
      <c r="B14" s="14">
        <v>8.0</v>
      </c>
      <c r="C14" s="11" t="s">
        <v>22</v>
      </c>
      <c r="D14" s="12"/>
      <c r="E14" s="12"/>
      <c r="F14" s="12"/>
      <c r="G14" s="11" t="s">
        <v>15</v>
      </c>
      <c r="H14" s="37">
        <v>100000.0</v>
      </c>
      <c r="I14" s="38"/>
      <c r="J14" s="20"/>
      <c r="K14" s="6"/>
      <c r="L14" s="6"/>
    </row>
    <row r="15">
      <c r="A15" s="36"/>
      <c r="B15" s="14">
        <v>9.0</v>
      </c>
      <c r="C15" s="11" t="s">
        <v>23</v>
      </c>
      <c r="D15" s="12"/>
      <c r="E15" s="12"/>
      <c r="F15" s="12"/>
      <c r="G15" s="11" t="s">
        <v>15</v>
      </c>
      <c r="H15" s="37">
        <v>90000.0</v>
      </c>
      <c r="I15" s="38"/>
      <c r="J15" s="20"/>
      <c r="K15" s="6"/>
      <c r="L15" s="6"/>
    </row>
    <row r="16">
      <c r="A16" s="36"/>
      <c r="B16" s="14">
        <v>10.0</v>
      </c>
      <c r="C16" s="11" t="s">
        <v>24</v>
      </c>
      <c r="D16" s="12"/>
      <c r="E16" s="12"/>
      <c r="F16" s="12"/>
      <c r="G16" s="11" t="s">
        <v>15</v>
      </c>
      <c r="H16" s="37">
        <v>90000.0</v>
      </c>
      <c r="I16" s="38"/>
      <c r="J16" s="20"/>
      <c r="K16" s="6"/>
      <c r="L16" s="6"/>
    </row>
    <row r="17">
      <c r="A17" s="39"/>
      <c r="B17" s="40">
        <v>11.0</v>
      </c>
      <c r="C17" s="41" t="s">
        <v>25</v>
      </c>
      <c r="D17" s="42"/>
      <c r="E17" s="42"/>
      <c r="F17" s="42"/>
      <c r="G17" s="41" t="s">
        <v>15</v>
      </c>
      <c r="H17" s="43">
        <v>110000.0</v>
      </c>
      <c r="I17" s="38"/>
      <c r="J17" s="20"/>
      <c r="K17" s="44"/>
      <c r="L17" s="44"/>
    </row>
    <row r="18">
      <c r="A18" s="36"/>
      <c r="B18" s="14">
        <v>12.0</v>
      </c>
      <c r="C18" s="11" t="s">
        <v>26</v>
      </c>
      <c r="D18" s="12"/>
      <c r="E18" s="12"/>
      <c r="F18" s="12"/>
      <c r="G18" s="11" t="s">
        <v>15</v>
      </c>
      <c r="H18" s="37">
        <v>100000.0</v>
      </c>
      <c r="I18" s="38"/>
      <c r="J18" s="20"/>
      <c r="K18" s="6"/>
      <c r="L18" s="6"/>
    </row>
    <row r="19">
      <c r="A19" s="36"/>
      <c r="B19" s="14">
        <v>13.0</v>
      </c>
      <c r="C19" s="11" t="s">
        <v>27</v>
      </c>
      <c r="D19" s="12"/>
      <c r="E19" s="12"/>
      <c r="F19" s="12"/>
      <c r="G19" s="11" t="s">
        <v>15</v>
      </c>
      <c r="H19" s="43">
        <v>90000.0</v>
      </c>
      <c r="I19" s="38"/>
      <c r="J19" s="20"/>
      <c r="K19" s="6"/>
      <c r="L19" s="6"/>
    </row>
    <row r="20">
      <c r="A20" s="36"/>
      <c r="B20" s="14">
        <v>14.0</v>
      </c>
      <c r="C20" s="11" t="s">
        <v>28</v>
      </c>
      <c r="D20" s="12"/>
      <c r="E20" s="12"/>
      <c r="F20" s="12"/>
      <c r="G20" s="11" t="s">
        <v>15</v>
      </c>
      <c r="H20" s="37">
        <v>100000.0</v>
      </c>
      <c r="I20" s="38"/>
      <c r="J20" s="20"/>
      <c r="K20" s="6"/>
      <c r="L20" s="6"/>
    </row>
    <row r="21">
      <c r="A21" s="36"/>
      <c r="B21" s="14">
        <v>15.0</v>
      </c>
      <c r="C21" s="11" t="s">
        <v>29</v>
      </c>
      <c r="D21" s="12"/>
      <c r="E21" s="12"/>
      <c r="F21" s="12"/>
      <c r="G21" s="11" t="s">
        <v>15</v>
      </c>
      <c r="H21" s="37">
        <v>80000.0</v>
      </c>
      <c r="I21" s="38"/>
      <c r="J21" s="20"/>
      <c r="K21" s="6"/>
      <c r="L21" s="6"/>
    </row>
    <row r="22">
      <c r="A22" s="36"/>
      <c r="B22" s="14">
        <v>16.0</v>
      </c>
      <c r="C22" s="11" t="s">
        <v>30</v>
      </c>
      <c r="D22" s="12"/>
      <c r="E22" s="12"/>
      <c r="F22" s="12"/>
      <c r="G22" s="11" t="s">
        <v>15</v>
      </c>
      <c r="H22" s="37">
        <v>60000.0</v>
      </c>
      <c r="I22" s="38"/>
      <c r="J22" s="20"/>
      <c r="K22" s="6"/>
      <c r="L22" s="6"/>
    </row>
    <row r="23">
      <c r="A23" s="39"/>
      <c r="B23" s="40">
        <v>17.0</v>
      </c>
      <c r="C23" s="41" t="s">
        <v>31</v>
      </c>
      <c r="D23" s="42"/>
      <c r="E23" s="42"/>
      <c r="F23" s="42"/>
      <c r="G23" s="41" t="s">
        <v>15</v>
      </c>
      <c r="H23" s="43">
        <v>90000.0</v>
      </c>
      <c r="I23" s="38"/>
      <c r="J23" s="20"/>
      <c r="K23" s="6"/>
      <c r="L23" s="6"/>
    </row>
    <row r="24">
      <c r="A24" s="39"/>
      <c r="B24" s="40">
        <v>18.0</v>
      </c>
      <c r="C24" s="41" t="s">
        <v>32</v>
      </c>
      <c r="D24" s="42"/>
      <c r="E24" s="42"/>
      <c r="F24" s="42"/>
      <c r="G24" s="41" t="s">
        <v>15</v>
      </c>
      <c r="H24" s="43">
        <v>90000.0</v>
      </c>
      <c r="I24" s="38"/>
      <c r="J24" s="20"/>
      <c r="K24" s="6"/>
      <c r="L24" s="6"/>
    </row>
    <row r="25">
      <c r="A25" s="39"/>
      <c r="B25" s="40">
        <v>19.0</v>
      </c>
      <c r="C25" s="41" t="s">
        <v>33</v>
      </c>
      <c r="D25" s="42"/>
      <c r="E25" s="42"/>
      <c r="F25" s="42"/>
      <c r="G25" s="41" t="s">
        <v>15</v>
      </c>
      <c r="H25" s="43">
        <v>90000.0</v>
      </c>
      <c r="I25" s="38"/>
      <c r="J25" s="20"/>
      <c r="K25" s="6"/>
      <c r="L25" s="6"/>
    </row>
    <row r="26">
      <c r="A26" s="39"/>
      <c r="B26" s="40">
        <v>20.0</v>
      </c>
      <c r="C26" s="41" t="s">
        <v>34</v>
      </c>
      <c r="D26" s="42"/>
      <c r="E26" s="42"/>
      <c r="F26" s="42"/>
      <c r="G26" s="41" t="s">
        <v>15</v>
      </c>
      <c r="H26" s="43">
        <v>100000.0</v>
      </c>
      <c r="I26" s="38"/>
      <c r="J26" s="20"/>
      <c r="K26" s="6"/>
      <c r="L26" s="6"/>
    </row>
    <row r="27">
      <c r="A27" s="39"/>
      <c r="B27" s="40">
        <v>21.0</v>
      </c>
      <c r="C27" s="41" t="s">
        <v>35</v>
      </c>
      <c r="D27" s="42"/>
      <c r="E27" s="42"/>
      <c r="F27" s="42"/>
      <c r="G27" s="41" t="s">
        <v>15</v>
      </c>
      <c r="H27" s="43">
        <v>90000.0</v>
      </c>
      <c r="I27" s="38"/>
      <c r="J27" s="20"/>
      <c r="K27" s="6"/>
      <c r="L27" s="6"/>
    </row>
    <row r="28">
      <c r="A28" s="39"/>
      <c r="B28" s="40">
        <v>22.0</v>
      </c>
      <c r="C28" s="41" t="s">
        <v>36</v>
      </c>
      <c r="D28" s="42"/>
      <c r="E28" s="42"/>
      <c r="F28" s="42"/>
      <c r="G28" s="41" t="s">
        <v>15</v>
      </c>
      <c r="H28" s="43">
        <v>100000.0</v>
      </c>
      <c r="I28" s="38"/>
      <c r="J28" s="20"/>
      <c r="K28" s="6"/>
      <c r="L28" s="6"/>
    </row>
    <row r="29">
      <c r="A29" s="39"/>
      <c r="B29" s="40">
        <v>23.0</v>
      </c>
      <c r="C29" s="41" t="s">
        <v>37</v>
      </c>
      <c r="D29" s="42"/>
      <c r="E29" s="42"/>
      <c r="F29" s="42"/>
      <c r="G29" s="41" t="s">
        <v>15</v>
      </c>
      <c r="H29" s="43">
        <v>90000.0</v>
      </c>
      <c r="I29" s="38"/>
      <c r="J29" s="20"/>
      <c r="K29" s="6"/>
      <c r="L29" s="6"/>
    </row>
    <row r="30">
      <c r="A30" s="39"/>
      <c r="B30" s="40">
        <v>24.0</v>
      </c>
      <c r="C30" s="41" t="s">
        <v>38</v>
      </c>
      <c r="D30" s="42"/>
      <c r="E30" s="42"/>
      <c r="F30" s="42"/>
      <c r="G30" s="41" t="s">
        <v>15</v>
      </c>
      <c r="H30" s="43">
        <v>90000.0</v>
      </c>
      <c r="I30" s="38"/>
      <c r="J30" s="20"/>
      <c r="K30" s="6"/>
      <c r="L30" s="6"/>
    </row>
    <row r="31">
      <c r="A31" s="39"/>
      <c r="B31" s="40">
        <v>25.0</v>
      </c>
      <c r="C31" s="41" t="s">
        <v>39</v>
      </c>
      <c r="D31" s="42"/>
      <c r="E31" s="42"/>
      <c r="F31" s="42"/>
      <c r="G31" s="41" t="s">
        <v>15</v>
      </c>
      <c r="H31" s="43">
        <v>90000.0</v>
      </c>
      <c r="I31" s="38"/>
      <c r="J31" s="20"/>
      <c r="K31" s="6"/>
      <c r="L31" s="6"/>
    </row>
    <row r="32">
      <c r="A32" s="39"/>
      <c r="B32" s="40">
        <v>26.0</v>
      </c>
      <c r="C32" s="41" t="s">
        <v>40</v>
      </c>
      <c r="D32" s="42"/>
      <c r="E32" s="42"/>
      <c r="F32" s="42"/>
      <c r="G32" s="41" t="s">
        <v>15</v>
      </c>
      <c r="H32" s="43">
        <v>300000.0</v>
      </c>
      <c r="I32" s="38"/>
      <c r="J32" s="20"/>
      <c r="K32" s="6"/>
      <c r="L32" s="6"/>
    </row>
    <row r="33">
      <c r="A33" s="36"/>
      <c r="B33" s="14">
        <v>27.0</v>
      </c>
      <c r="C33" s="11" t="s">
        <v>41</v>
      </c>
      <c r="D33" s="12"/>
      <c r="E33" s="12"/>
      <c r="F33" s="12"/>
      <c r="G33" s="11" t="s">
        <v>15</v>
      </c>
      <c r="H33" s="37">
        <v>225000.0</v>
      </c>
      <c r="I33" s="38"/>
      <c r="J33" s="20"/>
      <c r="K33" s="6"/>
      <c r="L33" s="6"/>
    </row>
    <row r="34">
      <c r="A34" s="36"/>
      <c r="B34" s="14">
        <v>28.0</v>
      </c>
      <c r="C34" s="11" t="s">
        <v>42</v>
      </c>
      <c r="D34" s="12"/>
      <c r="E34" s="12"/>
      <c r="F34" s="12"/>
      <c r="G34" s="11" t="s">
        <v>15</v>
      </c>
      <c r="H34" s="37">
        <v>25000.0</v>
      </c>
      <c r="I34" s="38"/>
      <c r="J34" s="20"/>
      <c r="K34" s="6"/>
      <c r="L34" s="6"/>
    </row>
    <row r="35">
      <c r="A35" s="36"/>
      <c r="B35" s="14">
        <v>29.0</v>
      </c>
      <c r="C35" s="11" t="s">
        <v>43</v>
      </c>
      <c r="D35" s="12"/>
      <c r="E35" s="12"/>
      <c r="F35" s="12"/>
      <c r="G35" s="11" t="s">
        <v>15</v>
      </c>
      <c r="H35" s="37">
        <v>25000.0</v>
      </c>
      <c r="I35" s="38"/>
      <c r="J35" s="20"/>
      <c r="K35" s="6"/>
      <c r="L35" s="6"/>
    </row>
    <row r="36">
      <c r="A36" s="36"/>
      <c r="B36" s="14">
        <v>30.0</v>
      </c>
      <c r="C36" s="11" t="s">
        <v>44</v>
      </c>
      <c r="D36" s="12"/>
      <c r="E36" s="12"/>
      <c r="F36" s="12"/>
      <c r="G36" s="11" t="s">
        <v>15</v>
      </c>
      <c r="H36" s="37">
        <v>25000.0</v>
      </c>
      <c r="I36" s="38"/>
      <c r="J36" s="20"/>
      <c r="K36" s="6"/>
      <c r="L36" s="6"/>
    </row>
    <row r="37">
      <c r="A37" s="36"/>
      <c r="B37" s="14">
        <v>31.0</v>
      </c>
      <c r="C37" s="11" t="s">
        <v>45</v>
      </c>
      <c r="D37" s="12"/>
      <c r="E37" s="12"/>
      <c r="F37" s="12"/>
      <c r="G37" s="11" t="s">
        <v>15</v>
      </c>
      <c r="H37" s="43">
        <v>110000.0</v>
      </c>
      <c r="I37" s="38"/>
      <c r="J37" s="20"/>
      <c r="K37" s="6"/>
      <c r="L37" s="6"/>
    </row>
    <row r="38">
      <c r="A38" s="36"/>
      <c r="B38" s="14">
        <v>32.0</v>
      </c>
      <c r="C38" s="11" t="s">
        <v>46</v>
      </c>
      <c r="D38" s="12"/>
      <c r="E38" s="12"/>
      <c r="F38" s="12"/>
      <c r="G38" s="11" t="s">
        <v>15</v>
      </c>
      <c r="H38" s="43">
        <v>150000.0</v>
      </c>
      <c r="I38" s="38"/>
      <c r="J38" s="20"/>
      <c r="K38" s="6"/>
      <c r="L38" s="6"/>
    </row>
    <row r="39">
      <c r="A39" s="36"/>
      <c r="B39" s="14">
        <v>33.0</v>
      </c>
      <c r="C39" s="11" t="s">
        <v>47</v>
      </c>
      <c r="D39" s="12"/>
      <c r="E39" s="12"/>
      <c r="F39" s="12"/>
      <c r="G39" s="11" t="s">
        <v>15</v>
      </c>
      <c r="H39" s="37">
        <v>250000.0</v>
      </c>
      <c r="I39" s="38"/>
      <c r="J39" s="20"/>
      <c r="K39" s="6"/>
      <c r="L39" s="6"/>
    </row>
    <row r="40">
      <c r="A40" s="36"/>
      <c r="B40" s="14">
        <v>34.0</v>
      </c>
      <c r="C40" s="11" t="s">
        <v>48</v>
      </c>
      <c r="D40" s="12"/>
      <c r="E40" s="12"/>
      <c r="F40" s="12"/>
      <c r="G40" s="11" t="s">
        <v>15</v>
      </c>
      <c r="H40" s="37">
        <v>200000.0</v>
      </c>
      <c r="I40" s="38"/>
      <c r="J40" s="20"/>
      <c r="K40" s="6"/>
      <c r="L40" s="6"/>
    </row>
    <row r="41">
      <c r="A41" s="36"/>
      <c r="B41" s="14">
        <v>35.0</v>
      </c>
      <c r="C41" s="11" t="s">
        <v>49</v>
      </c>
      <c r="D41" s="12"/>
      <c r="E41" s="12"/>
      <c r="F41" s="12"/>
      <c r="G41" s="11" t="s">
        <v>15</v>
      </c>
      <c r="H41" s="37">
        <v>200000.0</v>
      </c>
      <c r="I41" s="38"/>
      <c r="J41" s="20"/>
      <c r="K41" s="6"/>
      <c r="L41" s="6"/>
    </row>
    <row r="42">
      <c r="A42" s="36"/>
      <c r="B42" s="14">
        <v>36.0</v>
      </c>
      <c r="C42" s="11" t="s">
        <v>50</v>
      </c>
      <c r="D42" s="12"/>
      <c r="E42" s="12"/>
      <c r="F42" s="12"/>
      <c r="G42" s="11" t="s">
        <v>15</v>
      </c>
      <c r="H42" s="37">
        <v>150000.0</v>
      </c>
      <c r="I42" s="38"/>
      <c r="J42" s="20"/>
      <c r="K42" s="6"/>
      <c r="L42" s="6"/>
    </row>
    <row r="43">
      <c r="A43" s="36"/>
      <c r="B43" s="14">
        <v>37.0</v>
      </c>
      <c r="C43" s="11" t="s">
        <v>51</v>
      </c>
      <c r="D43" s="12"/>
      <c r="E43" s="12"/>
      <c r="F43" s="12"/>
      <c r="G43" s="11" t="s">
        <v>15</v>
      </c>
      <c r="H43" s="37">
        <v>150000.0</v>
      </c>
      <c r="I43" s="38"/>
      <c r="J43" s="20"/>
      <c r="K43" s="6"/>
      <c r="L43" s="6"/>
    </row>
    <row r="44">
      <c r="A44" s="36"/>
      <c r="B44" s="14">
        <v>38.0</v>
      </c>
      <c r="C44" s="11" t="s">
        <v>272</v>
      </c>
      <c r="D44" s="12"/>
      <c r="E44" s="12"/>
      <c r="F44" s="12"/>
      <c r="G44" s="11" t="s">
        <v>15</v>
      </c>
      <c r="H44" s="37">
        <v>175000.0</v>
      </c>
      <c r="I44" s="38"/>
      <c r="J44" s="20"/>
      <c r="K44" s="6"/>
      <c r="L44" s="6"/>
    </row>
    <row r="45">
      <c r="A45" s="36"/>
      <c r="B45" s="14">
        <v>39.0</v>
      </c>
      <c r="C45" s="11" t="s">
        <v>273</v>
      </c>
      <c r="D45" s="12"/>
      <c r="E45" s="12"/>
      <c r="F45" s="12"/>
      <c r="G45" s="11" t="s">
        <v>15</v>
      </c>
      <c r="H45" s="37">
        <v>175000.0</v>
      </c>
      <c r="I45" s="38"/>
      <c r="J45" s="20"/>
      <c r="K45" s="6"/>
      <c r="L45" s="6"/>
    </row>
    <row r="46">
      <c r="A46" s="36"/>
      <c r="B46" s="14">
        <v>40.0</v>
      </c>
      <c r="C46" s="11" t="s">
        <v>52</v>
      </c>
      <c r="D46" s="12"/>
      <c r="E46" s="12"/>
      <c r="F46" s="12"/>
      <c r="G46" s="11" t="s">
        <v>15</v>
      </c>
      <c r="H46" s="37">
        <v>150000.0</v>
      </c>
      <c r="I46" s="38"/>
      <c r="J46" s="20"/>
      <c r="K46" s="6"/>
      <c r="L46" s="6"/>
    </row>
    <row r="47">
      <c r="A47" s="36"/>
      <c r="B47" s="14">
        <v>41.0</v>
      </c>
      <c r="C47" s="11" t="s">
        <v>53</v>
      </c>
      <c r="D47" s="12"/>
      <c r="E47" s="12"/>
      <c r="F47" s="12"/>
      <c r="G47" s="11" t="s">
        <v>15</v>
      </c>
      <c r="H47" s="37">
        <v>50000.0</v>
      </c>
      <c r="I47" s="38"/>
      <c r="J47" s="20"/>
      <c r="K47" s="6"/>
      <c r="L47" s="6"/>
    </row>
    <row r="48">
      <c r="A48" s="36"/>
      <c r="B48" s="14">
        <v>42.0</v>
      </c>
      <c r="C48" s="11" t="s">
        <v>54</v>
      </c>
      <c r="D48" s="12"/>
      <c r="E48" s="12"/>
      <c r="F48" s="12"/>
      <c r="G48" s="11" t="s">
        <v>15</v>
      </c>
      <c r="H48" s="37">
        <v>50000.0</v>
      </c>
      <c r="I48" s="38"/>
      <c r="J48" s="20"/>
      <c r="K48" s="6"/>
      <c r="L48" s="6"/>
    </row>
    <row r="49">
      <c r="A49" s="36"/>
      <c r="B49" s="14">
        <v>43.0</v>
      </c>
      <c r="C49" s="11" t="s">
        <v>55</v>
      </c>
      <c r="D49" s="12"/>
      <c r="E49" s="12"/>
      <c r="F49" s="12"/>
      <c r="G49" s="11" t="s">
        <v>15</v>
      </c>
      <c r="H49" s="37">
        <v>100000.0</v>
      </c>
      <c r="I49" s="38"/>
      <c r="J49" s="20"/>
      <c r="K49" s="6"/>
      <c r="L49" s="6"/>
    </row>
    <row r="50">
      <c r="A50" s="36"/>
      <c r="B50" s="14">
        <v>44.0</v>
      </c>
      <c r="C50" s="11" t="s">
        <v>56</v>
      </c>
      <c r="D50" s="12"/>
      <c r="E50" s="12"/>
      <c r="F50" s="12"/>
      <c r="G50" s="11" t="s">
        <v>15</v>
      </c>
      <c r="H50" s="37">
        <v>100000.0</v>
      </c>
      <c r="I50" s="38"/>
      <c r="J50" s="20"/>
      <c r="K50" s="6"/>
      <c r="L50" s="6"/>
    </row>
    <row r="51">
      <c r="A51" s="36"/>
      <c r="B51" s="14">
        <v>45.0</v>
      </c>
      <c r="C51" s="11" t="s">
        <v>57</v>
      </c>
      <c r="D51" s="12"/>
      <c r="E51" s="12"/>
      <c r="F51" s="12"/>
      <c r="G51" s="11" t="s">
        <v>15</v>
      </c>
      <c r="H51" s="37">
        <v>100000.0</v>
      </c>
      <c r="I51" s="38"/>
      <c r="J51" s="20"/>
      <c r="K51" s="6"/>
      <c r="L51" s="6"/>
    </row>
    <row r="52">
      <c r="A52" s="36"/>
      <c r="B52" s="14">
        <v>46.0</v>
      </c>
      <c r="C52" s="11" t="s">
        <v>58</v>
      </c>
      <c r="D52" s="12"/>
      <c r="E52" s="12"/>
      <c r="F52" s="12"/>
      <c r="G52" s="11" t="s">
        <v>15</v>
      </c>
      <c r="H52" s="37">
        <v>100000.0</v>
      </c>
      <c r="I52" s="38"/>
      <c r="J52" s="20"/>
      <c r="K52" s="6"/>
      <c r="L52" s="6"/>
    </row>
    <row r="53">
      <c r="A53" s="36"/>
      <c r="B53" s="14">
        <v>47.0</v>
      </c>
      <c r="C53" s="11" t="s">
        <v>59</v>
      </c>
      <c r="D53" s="12"/>
      <c r="E53" s="12"/>
      <c r="F53" s="12"/>
      <c r="G53" s="11" t="s">
        <v>15</v>
      </c>
      <c r="H53" s="37">
        <v>100000.0</v>
      </c>
      <c r="I53" s="38"/>
      <c r="J53" s="20"/>
      <c r="K53" s="6"/>
      <c r="L53" s="6"/>
    </row>
    <row r="54">
      <c r="A54" s="36"/>
      <c r="B54" s="14">
        <v>48.0</v>
      </c>
      <c r="C54" s="11" t="s">
        <v>60</v>
      </c>
      <c r="D54" s="12"/>
      <c r="E54" s="12"/>
      <c r="F54" s="12"/>
      <c r="G54" s="11" t="s">
        <v>15</v>
      </c>
      <c r="H54" s="37">
        <v>100000.0</v>
      </c>
      <c r="I54" s="38"/>
      <c r="J54" s="20"/>
      <c r="K54" s="6"/>
      <c r="L54" s="6"/>
    </row>
    <row r="55">
      <c r="A55" s="36"/>
      <c r="B55" s="14">
        <v>49.0</v>
      </c>
      <c r="C55" s="11" t="s">
        <v>61</v>
      </c>
      <c r="D55" s="12"/>
      <c r="E55" s="12"/>
      <c r="F55" s="12"/>
      <c r="G55" s="11" t="s">
        <v>15</v>
      </c>
      <c r="H55" s="37">
        <v>100000.0</v>
      </c>
      <c r="I55" s="38"/>
      <c r="J55" s="20"/>
      <c r="K55" s="6"/>
      <c r="L55" s="6"/>
    </row>
    <row r="56">
      <c r="A56" s="36"/>
      <c r="B56" s="45">
        <v>50.0</v>
      </c>
      <c r="C56" s="46" t="s">
        <v>62</v>
      </c>
      <c r="D56" s="47"/>
      <c r="E56" s="47"/>
      <c r="F56" s="47"/>
      <c r="G56" s="46" t="s">
        <v>15</v>
      </c>
      <c r="H56" s="48">
        <v>100000.0</v>
      </c>
      <c r="I56" s="49"/>
      <c r="J56" s="20"/>
      <c r="K56" s="6"/>
      <c r="L56" s="6"/>
    </row>
    <row r="57">
      <c r="A57" s="50"/>
      <c r="B57" s="51"/>
      <c r="C57" s="52"/>
      <c r="D57" s="52"/>
      <c r="E57" s="52"/>
      <c r="F57" s="52"/>
      <c r="G57" s="52"/>
      <c r="H57" s="53"/>
      <c r="I57" s="54"/>
      <c r="J57" s="20"/>
      <c r="K57" s="6"/>
      <c r="L57" s="6"/>
    </row>
    <row r="58">
      <c r="A58" s="31">
        <v>2.0</v>
      </c>
      <c r="B58" s="32" t="s">
        <v>63</v>
      </c>
      <c r="C58" s="24"/>
      <c r="D58" s="24"/>
      <c r="E58" s="24"/>
      <c r="F58" s="25"/>
      <c r="G58" s="55"/>
      <c r="H58" s="34"/>
      <c r="I58" s="35"/>
      <c r="J58" s="20"/>
      <c r="K58" s="6"/>
      <c r="L58" s="6"/>
    </row>
    <row r="59">
      <c r="A59" s="36"/>
      <c r="B59" s="14">
        <v>1.0</v>
      </c>
      <c r="C59" s="11" t="s">
        <v>64</v>
      </c>
      <c r="D59" s="12"/>
      <c r="E59" s="12"/>
      <c r="F59" s="12"/>
      <c r="G59" s="11" t="s">
        <v>15</v>
      </c>
      <c r="H59" s="37">
        <v>100000.0</v>
      </c>
      <c r="I59" s="38"/>
      <c r="J59" s="20"/>
      <c r="K59" s="6"/>
      <c r="L59" s="6"/>
    </row>
    <row r="60">
      <c r="A60" s="36"/>
      <c r="B60" s="14">
        <v>2.0</v>
      </c>
      <c r="C60" s="11" t="s">
        <v>65</v>
      </c>
      <c r="D60" s="12"/>
      <c r="E60" s="12"/>
      <c r="F60" s="12"/>
      <c r="G60" s="11" t="s">
        <v>15</v>
      </c>
      <c r="H60" s="37">
        <v>100000.0</v>
      </c>
      <c r="I60" s="38"/>
      <c r="J60" s="20"/>
      <c r="K60" s="6"/>
      <c r="L60" s="6"/>
    </row>
    <row r="61">
      <c r="A61" s="39"/>
      <c r="B61" s="40">
        <v>3.0</v>
      </c>
      <c r="C61" s="41" t="s">
        <v>36</v>
      </c>
      <c r="D61" s="42"/>
      <c r="E61" s="42"/>
      <c r="F61" s="42"/>
      <c r="G61" s="41" t="s">
        <v>15</v>
      </c>
      <c r="H61" s="43">
        <v>200000.0</v>
      </c>
      <c r="I61" s="38"/>
      <c r="J61" s="20"/>
      <c r="K61" s="44"/>
      <c r="L61" s="44"/>
    </row>
    <row r="62">
      <c r="A62" s="39"/>
      <c r="B62" s="40">
        <v>4.0</v>
      </c>
      <c r="C62" s="41" t="s">
        <v>66</v>
      </c>
      <c r="D62" s="42"/>
      <c r="E62" s="42"/>
      <c r="F62" s="42"/>
      <c r="G62" s="41" t="s">
        <v>15</v>
      </c>
      <c r="H62" s="43">
        <v>200000.0</v>
      </c>
      <c r="I62" s="38"/>
      <c r="J62" s="20"/>
      <c r="K62" s="44"/>
      <c r="L62" s="44"/>
    </row>
    <row r="63">
      <c r="A63" s="39"/>
      <c r="B63" s="40">
        <v>5.0</v>
      </c>
      <c r="C63" s="41" t="s">
        <v>67</v>
      </c>
      <c r="D63" s="42"/>
      <c r="E63" s="42"/>
      <c r="F63" s="42"/>
      <c r="G63" s="41" t="s">
        <v>15</v>
      </c>
      <c r="H63" s="43">
        <v>150000.0</v>
      </c>
      <c r="I63" s="38"/>
      <c r="J63" s="20"/>
      <c r="K63" s="56" t="s">
        <v>274</v>
      </c>
    </row>
    <row r="64">
      <c r="A64" s="36"/>
      <c r="B64" s="14">
        <v>6.0</v>
      </c>
      <c r="C64" s="11" t="s">
        <v>68</v>
      </c>
      <c r="D64" s="12"/>
      <c r="E64" s="12"/>
      <c r="F64" s="12"/>
      <c r="G64" s="11" t="s">
        <v>15</v>
      </c>
      <c r="H64" s="37">
        <v>90000.0</v>
      </c>
      <c r="I64" s="38"/>
      <c r="J64" s="20"/>
    </row>
    <row r="65">
      <c r="A65" s="36"/>
      <c r="B65" s="14">
        <v>7.0</v>
      </c>
      <c r="C65" s="11" t="s">
        <v>69</v>
      </c>
      <c r="D65" s="12"/>
      <c r="E65" s="12"/>
      <c r="F65" s="12"/>
      <c r="G65" s="11" t="s">
        <v>15</v>
      </c>
      <c r="H65" s="37">
        <v>150000.0</v>
      </c>
      <c r="I65" s="38"/>
      <c r="J65" s="20"/>
    </row>
    <row r="66">
      <c r="A66" s="36"/>
      <c r="B66" s="14">
        <v>8.0</v>
      </c>
      <c r="C66" s="11" t="s">
        <v>70</v>
      </c>
      <c r="D66" s="12"/>
      <c r="E66" s="12"/>
      <c r="F66" s="12"/>
      <c r="G66" s="11" t="s">
        <v>15</v>
      </c>
      <c r="H66" s="37">
        <v>100000.0</v>
      </c>
      <c r="I66" s="38"/>
      <c r="J66" s="20"/>
    </row>
    <row r="67">
      <c r="A67" s="36"/>
      <c r="B67" s="57"/>
      <c r="C67" s="12"/>
      <c r="D67" s="12"/>
      <c r="E67" s="12"/>
      <c r="F67" s="12"/>
      <c r="G67" s="12"/>
      <c r="H67" s="58"/>
      <c r="I67" s="38"/>
      <c r="J67" s="20"/>
      <c r="K67" s="6"/>
      <c r="L67" s="6"/>
    </row>
    <row r="68">
      <c r="A68" s="36"/>
      <c r="B68" s="11" t="s">
        <v>71</v>
      </c>
      <c r="C68" s="57"/>
      <c r="D68" s="12"/>
      <c r="E68" s="12"/>
      <c r="F68" s="12"/>
      <c r="G68" s="57"/>
      <c r="H68" s="58"/>
      <c r="I68" s="38"/>
      <c r="J68" s="20"/>
      <c r="K68" s="6"/>
      <c r="L68" s="6"/>
    </row>
    <row r="69">
      <c r="A69" s="36"/>
      <c r="B69" s="14">
        <v>1.0</v>
      </c>
      <c r="C69" s="11" t="s">
        <v>72</v>
      </c>
      <c r="D69" s="12"/>
      <c r="E69" s="12"/>
      <c r="F69" s="12"/>
      <c r="G69" s="11" t="s">
        <v>15</v>
      </c>
      <c r="H69" s="37">
        <v>100000.0</v>
      </c>
      <c r="I69" s="38"/>
      <c r="J69" s="20"/>
      <c r="K69" s="6"/>
      <c r="L69" s="6"/>
    </row>
    <row r="70">
      <c r="A70" s="36"/>
      <c r="B70" s="11" t="s">
        <v>73</v>
      </c>
      <c r="C70" s="57"/>
      <c r="D70" s="12"/>
      <c r="E70" s="12"/>
      <c r="F70" s="12"/>
      <c r="G70" s="57"/>
      <c r="H70" s="58"/>
      <c r="I70" s="38"/>
      <c r="J70" s="20"/>
      <c r="K70" s="6"/>
      <c r="L70" s="6"/>
    </row>
    <row r="71">
      <c r="A71" s="36"/>
      <c r="B71" s="14">
        <v>1.0</v>
      </c>
      <c r="C71" s="11" t="s">
        <v>74</v>
      </c>
      <c r="D71" s="12"/>
      <c r="E71" s="12"/>
      <c r="F71" s="12"/>
      <c r="G71" s="11" t="s">
        <v>15</v>
      </c>
      <c r="H71" s="37">
        <v>100000.0</v>
      </c>
      <c r="I71" s="38"/>
      <c r="J71" s="20"/>
      <c r="K71" s="6"/>
      <c r="L71" s="6"/>
    </row>
    <row r="72">
      <c r="A72" s="59"/>
      <c r="B72" s="57"/>
      <c r="C72" s="12"/>
      <c r="D72" s="12"/>
      <c r="E72" s="12"/>
      <c r="F72" s="12"/>
      <c r="G72" s="12"/>
      <c r="H72" s="58"/>
      <c r="I72" s="38"/>
      <c r="J72" s="20"/>
      <c r="K72" s="6"/>
      <c r="L72" s="6"/>
    </row>
    <row r="73">
      <c r="A73" s="60">
        <v>3.0</v>
      </c>
      <c r="B73" s="61" t="s">
        <v>75</v>
      </c>
      <c r="C73" s="57"/>
      <c r="D73" s="12"/>
      <c r="E73" s="12"/>
      <c r="F73" s="12"/>
      <c r="G73" s="57"/>
      <c r="H73" s="58"/>
      <c r="I73" s="38"/>
      <c r="J73" s="20"/>
      <c r="K73" s="6"/>
      <c r="L73" s="6"/>
    </row>
    <row r="74">
      <c r="A74" s="36"/>
      <c r="B74" s="11" t="s">
        <v>76</v>
      </c>
      <c r="C74" s="11" t="s">
        <v>77</v>
      </c>
      <c r="D74" s="12"/>
      <c r="E74" s="12"/>
      <c r="F74" s="12"/>
      <c r="G74" s="11" t="s">
        <v>15</v>
      </c>
      <c r="H74" s="37">
        <v>600000.0</v>
      </c>
      <c r="I74" s="38"/>
      <c r="J74" s="20"/>
      <c r="K74" s="6"/>
      <c r="L74" s="6"/>
    </row>
    <row r="75">
      <c r="A75" s="36"/>
      <c r="B75" s="11" t="s">
        <v>78</v>
      </c>
      <c r="C75" s="11" t="s">
        <v>79</v>
      </c>
      <c r="D75" s="12"/>
      <c r="E75" s="12"/>
      <c r="F75" s="12"/>
      <c r="G75" s="11" t="s">
        <v>15</v>
      </c>
      <c r="H75" s="37">
        <v>300000.0</v>
      </c>
      <c r="I75" s="38"/>
      <c r="J75" s="20"/>
      <c r="K75" s="6"/>
      <c r="L75" s="6"/>
    </row>
    <row r="76">
      <c r="A76" s="36"/>
      <c r="B76" s="11" t="s">
        <v>80</v>
      </c>
      <c r="C76" s="11" t="s">
        <v>81</v>
      </c>
      <c r="D76" s="12"/>
      <c r="E76" s="12"/>
      <c r="F76" s="12"/>
      <c r="G76" s="11" t="s">
        <v>15</v>
      </c>
      <c r="H76" s="37">
        <v>300000.0</v>
      </c>
      <c r="I76" s="38"/>
      <c r="J76" s="20"/>
      <c r="K76" s="6"/>
      <c r="L76" s="6"/>
    </row>
    <row r="77">
      <c r="A77" s="59"/>
      <c r="B77" s="62"/>
      <c r="C77" s="47"/>
      <c r="D77" s="47"/>
      <c r="E77" s="47"/>
      <c r="F77" s="47"/>
      <c r="G77" s="47"/>
      <c r="H77" s="63"/>
      <c r="I77" s="49"/>
      <c r="J77" s="20"/>
      <c r="K77" s="6"/>
      <c r="L77" s="6"/>
    </row>
    <row r="78">
      <c r="A78" s="31">
        <v>4.0</v>
      </c>
      <c r="B78" s="32" t="s">
        <v>82</v>
      </c>
      <c r="C78" s="24"/>
      <c r="D78" s="24"/>
      <c r="E78" s="24"/>
      <c r="F78" s="25"/>
      <c r="G78" s="33"/>
      <c r="H78" s="34"/>
      <c r="I78" s="35"/>
      <c r="J78" s="20"/>
      <c r="K78" s="6"/>
      <c r="L78" s="6"/>
    </row>
    <row r="79">
      <c r="A79" s="36"/>
      <c r="B79" s="11" t="s">
        <v>76</v>
      </c>
      <c r="C79" s="11" t="s">
        <v>83</v>
      </c>
      <c r="D79" s="57"/>
      <c r="E79" s="12"/>
      <c r="F79" s="12"/>
      <c r="G79" s="57"/>
      <c r="H79" s="58"/>
      <c r="I79" s="38"/>
      <c r="J79" s="20"/>
      <c r="K79" s="6"/>
      <c r="L79" s="6"/>
    </row>
    <row r="80">
      <c r="A80" s="36"/>
      <c r="B80" s="12"/>
      <c r="C80" s="14">
        <v>1.0</v>
      </c>
      <c r="D80" s="11" t="s">
        <v>84</v>
      </c>
      <c r="E80" s="12"/>
      <c r="F80" s="12"/>
      <c r="G80" s="11" t="s">
        <v>15</v>
      </c>
      <c r="H80" s="37">
        <v>500000.0</v>
      </c>
      <c r="I80" s="38"/>
      <c r="J80" s="20"/>
      <c r="K80" s="6"/>
      <c r="L80" s="6"/>
    </row>
    <row r="81">
      <c r="A81" s="36"/>
      <c r="B81" s="12"/>
      <c r="C81" s="14">
        <v>2.0</v>
      </c>
      <c r="D81" s="11" t="s">
        <v>85</v>
      </c>
      <c r="E81" s="12"/>
      <c r="F81" s="12"/>
      <c r="G81" s="11" t="s">
        <v>15</v>
      </c>
      <c r="H81" s="37">
        <v>150000.0</v>
      </c>
      <c r="I81" s="38"/>
      <c r="J81" s="20"/>
      <c r="K81" s="6"/>
      <c r="L81" s="6"/>
    </row>
    <row r="82">
      <c r="A82" s="36"/>
      <c r="B82" s="12"/>
      <c r="C82" s="14">
        <v>3.0</v>
      </c>
      <c r="D82" s="11" t="s">
        <v>86</v>
      </c>
      <c r="E82" s="12"/>
      <c r="F82" s="12"/>
      <c r="G82" s="11" t="s">
        <v>15</v>
      </c>
      <c r="H82" s="37">
        <v>150000.0</v>
      </c>
      <c r="I82" s="38"/>
      <c r="J82" s="20"/>
      <c r="K82" s="6"/>
      <c r="L82" s="6"/>
    </row>
    <row r="83">
      <c r="A83" s="36"/>
      <c r="B83" s="57"/>
      <c r="C83" s="57"/>
      <c r="D83" s="12"/>
      <c r="E83" s="12"/>
      <c r="F83" s="12"/>
      <c r="G83" s="12"/>
      <c r="H83" s="58"/>
      <c r="I83" s="38"/>
      <c r="J83" s="20"/>
      <c r="K83" s="6"/>
      <c r="L83" s="6"/>
    </row>
    <row r="84">
      <c r="A84" s="36"/>
      <c r="B84" s="11" t="s">
        <v>78</v>
      </c>
      <c r="C84" s="11" t="s">
        <v>87</v>
      </c>
      <c r="D84" s="57"/>
      <c r="E84" s="12"/>
      <c r="F84" s="12"/>
      <c r="G84" s="57"/>
      <c r="H84" s="58"/>
      <c r="I84" s="38"/>
      <c r="J84" s="20"/>
      <c r="K84" s="6"/>
      <c r="L84" s="6"/>
    </row>
    <row r="85">
      <c r="A85" s="36"/>
      <c r="B85" s="12"/>
      <c r="C85" s="14">
        <v>1.0</v>
      </c>
      <c r="D85" s="11" t="s">
        <v>88</v>
      </c>
      <c r="E85" s="12"/>
      <c r="F85" s="12"/>
      <c r="G85" s="11" t="s">
        <v>15</v>
      </c>
      <c r="H85" s="37">
        <v>75000.0</v>
      </c>
      <c r="I85" s="38"/>
      <c r="J85" s="20"/>
      <c r="K85" s="6"/>
      <c r="L85" s="6"/>
    </row>
    <row r="86">
      <c r="A86" s="36"/>
      <c r="B86" s="12"/>
      <c r="C86" s="14">
        <v>2.0</v>
      </c>
      <c r="D86" s="11" t="s">
        <v>89</v>
      </c>
      <c r="E86" s="12"/>
      <c r="F86" s="12"/>
      <c r="G86" s="11" t="s">
        <v>15</v>
      </c>
      <c r="H86" s="37">
        <v>75000.0</v>
      </c>
      <c r="I86" s="38"/>
      <c r="J86" s="20"/>
      <c r="K86" s="6"/>
      <c r="L86" s="6"/>
    </row>
    <row r="87">
      <c r="A87" s="36"/>
      <c r="B87" s="12"/>
      <c r="C87" s="14">
        <v>3.0</v>
      </c>
      <c r="D87" s="11" t="s">
        <v>90</v>
      </c>
      <c r="E87" s="12"/>
      <c r="F87" s="12"/>
      <c r="G87" s="11" t="s">
        <v>15</v>
      </c>
      <c r="H87" s="37">
        <v>145000.0</v>
      </c>
      <c r="I87" s="38"/>
      <c r="J87" s="20"/>
      <c r="K87" s="6"/>
      <c r="L87" s="6"/>
    </row>
    <row r="88">
      <c r="A88" s="36"/>
      <c r="B88" s="12"/>
      <c r="C88" s="14">
        <v>4.0</v>
      </c>
      <c r="D88" s="11" t="s">
        <v>91</v>
      </c>
      <c r="E88" s="12"/>
      <c r="F88" s="12"/>
      <c r="G88" s="11" t="s">
        <v>15</v>
      </c>
      <c r="H88" s="37">
        <v>110000.0</v>
      </c>
      <c r="I88" s="38"/>
      <c r="J88" s="20"/>
      <c r="K88" s="6"/>
      <c r="L88" s="6"/>
    </row>
    <row r="89">
      <c r="A89" s="36"/>
      <c r="B89" s="12"/>
      <c r="C89" s="14">
        <v>5.0</v>
      </c>
      <c r="D89" s="11" t="s">
        <v>92</v>
      </c>
      <c r="E89" s="12"/>
      <c r="F89" s="12"/>
      <c r="G89" s="11" t="s">
        <v>15</v>
      </c>
      <c r="H89" s="37">
        <v>85000.0</v>
      </c>
      <c r="I89" s="38"/>
      <c r="J89" s="20"/>
      <c r="K89" s="6"/>
      <c r="L89" s="6"/>
    </row>
    <row r="90">
      <c r="A90" s="36"/>
      <c r="B90" s="12"/>
      <c r="C90" s="14">
        <v>6.0</v>
      </c>
      <c r="D90" s="64" t="s">
        <v>93</v>
      </c>
      <c r="E90" s="65"/>
      <c r="F90" s="65"/>
      <c r="G90" s="64" t="s">
        <v>15</v>
      </c>
      <c r="H90" s="66">
        <v>200000.0</v>
      </c>
      <c r="I90" s="38"/>
      <c r="J90" s="20"/>
      <c r="K90" s="6"/>
      <c r="L90" s="6"/>
    </row>
    <row r="91">
      <c r="A91" s="36"/>
      <c r="B91" s="12"/>
      <c r="C91" s="14">
        <v>7.0</v>
      </c>
      <c r="D91" s="11" t="s">
        <v>94</v>
      </c>
      <c r="E91" s="12"/>
      <c r="F91" s="12"/>
      <c r="G91" s="11" t="s">
        <v>15</v>
      </c>
      <c r="H91" s="37">
        <v>30000.0</v>
      </c>
      <c r="I91" s="38"/>
      <c r="J91" s="20"/>
      <c r="K91" s="6"/>
      <c r="L91" s="6"/>
    </row>
    <row r="92">
      <c r="A92" s="36"/>
      <c r="B92" s="12"/>
      <c r="C92" s="14">
        <v>8.0</v>
      </c>
      <c r="D92" s="11" t="s">
        <v>95</v>
      </c>
      <c r="E92" s="12"/>
      <c r="F92" s="12"/>
      <c r="G92" s="11" t="s">
        <v>15</v>
      </c>
      <c r="H92" s="37">
        <v>60000.0</v>
      </c>
      <c r="I92" s="38"/>
      <c r="J92" s="20"/>
      <c r="K92" s="6"/>
      <c r="L92" s="6"/>
    </row>
    <row r="93">
      <c r="A93" s="36"/>
      <c r="B93" s="12"/>
      <c r="C93" s="14">
        <v>9.0</v>
      </c>
      <c r="D93" s="11" t="s">
        <v>96</v>
      </c>
      <c r="E93" s="12"/>
      <c r="F93" s="12"/>
      <c r="G93" s="11" t="s">
        <v>15</v>
      </c>
      <c r="H93" s="37">
        <v>120000.0</v>
      </c>
      <c r="I93" s="38"/>
      <c r="J93" s="20"/>
      <c r="K93" s="6"/>
      <c r="L93" s="67" t="s">
        <v>275</v>
      </c>
    </row>
    <row r="94">
      <c r="A94" s="36"/>
      <c r="B94" s="12"/>
      <c r="C94" s="10" t="s">
        <v>276</v>
      </c>
      <c r="D94" s="11" t="s">
        <v>97</v>
      </c>
      <c r="E94" s="12"/>
      <c r="F94" s="12"/>
      <c r="G94" s="11" t="s">
        <v>15</v>
      </c>
      <c r="H94" s="37">
        <v>120000.0</v>
      </c>
      <c r="I94" s="38"/>
      <c r="J94" s="20"/>
      <c r="K94" s="6"/>
      <c r="L94" s="67" t="s">
        <v>275</v>
      </c>
    </row>
    <row r="95">
      <c r="A95" s="36"/>
      <c r="B95" s="12"/>
      <c r="C95" s="10" t="s">
        <v>276</v>
      </c>
      <c r="D95" s="11" t="s">
        <v>98</v>
      </c>
      <c r="E95" s="12"/>
      <c r="F95" s="12"/>
      <c r="G95" s="11" t="s">
        <v>15</v>
      </c>
      <c r="H95" s="37">
        <v>120000.0</v>
      </c>
      <c r="I95" s="38"/>
      <c r="J95" s="20"/>
      <c r="K95" s="6"/>
      <c r="L95" s="67" t="s">
        <v>275</v>
      </c>
    </row>
    <row r="96">
      <c r="A96" s="36"/>
      <c r="B96" s="12"/>
      <c r="C96" s="10" t="s">
        <v>276</v>
      </c>
      <c r="D96" s="11" t="s">
        <v>99</v>
      </c>
      <c r="E96" s="12"/>
      <c r="F96" s="12"/>
      <c r="G96" s="11" t="s">
        <v>15</v>
      </c>
      <c r="H96" s="37">
        <v>300000.0</v>
      </c>
      <c r="I96" s="38"/>
      <c r="J96" s="20"/>
      <c r="K96" s="6"/>
      <c r="L96" s="6"/>
    </row>
    <row r="97">
      <c r="A97" s="36"/>
      <c r="B97" s="12"/>
      <c r="C97" s="10" t="s">
        <v>276</v>
      </c>
      <c r="D97" s="11" t="s">
        <v>100</v>
      </c>
      <c r="E97" s="12"/>
      <c r="F97" s="12"/>
      <c r="G97" s="11" t="s">
        <v>15</v>
      </c>
      <c r="H97" s="37">
        <v>170000.0</v>
      </c>
      <c r="I97" s="38"/>
      <c r="J97" s="20"/>
      <c r="K97" s="6"/>
      <c r="L97" s="67" t="s">
        <v>275</v>
      </c>
    </row>
    <row r="98">
      <c r="A98" s="36"/>
      <c r="B98" s="12"/>
      <c r="C98" s="10" t="s">
        <v>276</v>
      </c>
      <c r="D98" s="11" t="s">
        <v>101</v>
      </c>
      <c r="E98" s="68"/>
      <c r="F98" s="12"/>
      <c r="G98" s="11" t="s">
        <v>15</v>
      </c>
      <c r="H98" s="37">
        <v>300000.0</v>
      </c>
      <c r="I98" s="38"/>
      <c r="J98" s="20"/>
      <c r="K98" s="67" t="s">
        <v>277</v>
      </c>
      <c r="L98" s="6"/>
    </row>
    <row r="99">
      <c r="A99" s="36"/>
      <c r="B99" s="12"/>
      <c r="C99" s="10" t="s">
        <v>276</v>
      </c>
      <c r="D99" s="11" t="s">
        <v>278</v>
      </c>
      <c r="E99" s="12"/>
      <c r="F99" s="12"/>
      <c r="G99" s="11" t="s">
        <v>15</v>
      </c>
      <c r="H99" s="37">
        <v>200000.0</v>
      </c>
      <c r="I99" s="38"/>
      <c r="J99" s="20"/>
      <c r="K99" s="6"/>
      <c r="L99" s="6"/>
    </row>
    <row r="100">
      <c r="A100" s="36"/>
      <c r="B100" s="12"/>
      <c r="C100" s="10" t="s">
        <v>276</v>
      </c>
      <c r="D100" s="69" t="s">
        <v>279</v>
      </c>
      <c r="E100" s="12"/>
      <c r="F100" s="12"/>
      <c r="G100" s="11" t="s">
        <v>15</v>
      </c>
      <c r="H100" s="37">
        <v>150000.0</v>
      </c>
      <c r="I100" s="38"/>
      <c r="J100" s="20"/>
      <c r="K100" s="6"/>
      <c r="L100" s="6"/>
    </row>
    <row r="101">
      <c r="A101" s="36"/>
      <c r="B101" s="12"/>
      <c r="C101" s="10" t="s">
        <v>276</v>
      </c>
      <c r="D101" s="11" t="s">
        <v>280</v>
      </c>
      <c r="E101" s="12"/>
      <c r="F101" s="12"/>
      <c r="G101" s="11" t="s">
        <v>15</v>
      </c>
      <c r="H101" s="37">
        <v>200000.0</v>
      </c>
      <c r="I101" s="38"/>
      <c r="J101" s="20"/>
      <c r="K101" s="6"/>
      <c r="L101" s="6"/>
    </row>
    <row r="102">
      <c r="A102" s="36"/>
      <c r="B102" s="57"/>
      <c r="C102" s="57"/>
      <c r="D102" s="12"/>
      <c r="E102" s="12"/>
      <c r="F102" s="12"/>
      <c r="G102" s="12"/>
      <c r="H102" s="58"/>
      <c r="I102" s="38"/>
      <c r="J102" s="20"/>
      <c r="K102" s="6"/>
      <c r="L102" s="6"/>
    </row>
    <row r="103">
      <c r="A103" s="36"/>
      <c r="B103" s="11" t="s">
        <v>80</v>
      </c>
      <c r="C103" s="11" t="s">
        <v>105</v>
      </c>
      <c r="D103" s="57"/>
      <c r="E103" s="12"/>
      <c r="F103" s="12"/>
      <c r="G103" s="57"/>
      <c r="H103" s="58"/>
      <c r="I103" s="38"/>
      <c r="J103" s="20"/>
      <c r="K103" s="6"/>
      <c r="L103" s="6"/>
    </row>
    <row r="104">
      <c r="A104" s="36"/>
      <c r="B104" s="12"/>
      <c r="C104" s="14">
        <v>1.0</v>
      </c>
      <c r="D104" s="70" t="s">
        <v>106</v>
      </c>
      <c r="E104" s="71"/>
      <c r="F104" s="71"/>
      <c r="G104" s="11" t="s">
        <v>15</v>
      </c>
      <c r="H104" s="37">
        <v>30000.0</v>
      </c>
      <c r="I104" s="38"/>
      <c r="J104" s="20"/>
      <c r="K104" s="6"/>
      <c r="L104" s="6"/>
    </row>
    <row r="105">
      <c r="A105" s="36"/>
      <c r="B105" s="12"/>
      <c r="C105" s="14">
        <v>2.0</v>
      </c>
      <c r="D105" s="70" t="s">
        <v>107</v>
      </c>
      <c r="E105" s="71"/>
      <c r="F105" s="71"/>
      <c r="G105" s="11" t="s">
        <v>15</v>
      </c>
      <c r="H105" s="37">
        <v>25000.0</v>
      </c>
      <c r="I105" s="38"/>
      <c r="J105" s="20"/>
      <c r="K105" s="6"/>
      <c r="L105" s="6"/>
    </row>
    <row r="106">
      <c r="A106" s="36"/>
      <c r="B106" s="12"/>
      <c r="C106" s="14">
        <v>3.0</v>
      </c>
      <c r="D106" s="70" t="s">
        <v>54</v>
      </c>
      <c r="E106" s="71"/>
      <c r="F106" s="71"/>
      <c r="G106" s="11" t="s">
        <v>15</v>
      </c>
      <c r="H106" s="37">
        <v>50000.0</v>
      </c>
      <c r="I106" s="38"/>
      <c r="J106" s="20"/>
      <c r="K106" s="6"/>
      <c r="L106" s="6"/>
    </row>
    <row r="107">
      <c r="A107" s="36"/>
      <c r="B107" s="12"/>
      <c r="C107" s="14">
        <v>4.0</v>
      </c>
      <c r="D107" s="70" t="s">
        <v>53</v>
      </c>
      <c r="E107" s="71"/>
      <c r="F107" s="71"/>
      <c r="G107" s="11" t="s">
        <v>15</v>
      </c>
      <c r="H107" s="37">
        <v>50000.0</v>
      </c>
      <c r="I107" s="38"/>
      <c r="J107" s="20"/>
      <c r="K107" s="6"/>
      <c r="L107" s="6"/>
    </row>
    <row r="108">
      <c r="A108" s="36"/>
      <c r="B108" s="12"/>
      <c r="C108" s="14">
        <v>5.0</v>
      </c>
      <c r="D108" s="70" t="s">
        <v>281</v>
      </c>
      <c r="E108" s="71"/>
      <c r="F108" s="71"/>
      <c r="G108" s="11" t="s">
        <v>15</v>
      </c>
      <c r="H108" s="37">
        <v>100000.0</v>
      </c>
      <c r="I108" s="38"/>
      <c r="J108" s="20"/>
      <c r="K108" s="6"/>
      <c r="L108" s="6"/>
    </row>
    <row r="109">
      <c r="A109" s="36"/>
      <c r="B109" s="12"/>
      <c r="C109" s="14">
        <v>6.0</v>
      </c>
      <c r="D109" s="72" t="s">
        <v>109</v>
      </c>
      <c r="E109" s="73"/>
      <c r="F109" s="73"/>
      <c r="G109" s="11" t="s">
        <v>15</v>
      </c>
      <c r="H109" s="37">
        <v>30000.0</v>
      </c>
      <c r="I109" s="38"/>
      <c r="J109" s="20"/>
      <c r="K109" s="67" t="s">
        <v>282</v>
      </c>
      <c r="L109" s="6"/>
    </row>
    <row r="110">
      <c r="A110" s="36"/>
      <c r="B110" s="12"/>
      <c r="C110" s="14">
        <v>7.0</v>
      </c>
      <c r="D110" s="70" t="s">
        <v>24</v>
      </c>
      <c r="E110" s="71"/>
      <c r="F110" s="71"/>
      <c r="G110" s="11" t="s">
        <v>15</v>
      </c>
      <c r="H110" s="37">
        <v>90000.0</v>
      </c>
      <c r="I110" s="38"/>
      <c r="J110" s="20"/>
      <c r="K110" s="6"/>
      <c r="L110" s="6"/>
    </row>
    <row r="111">
      <c r="A111" s="36"/>
      <c r="B111" s="12"/>
      <c r="C111" s="14">
        <v>8.0</v>
      </c>
      <c r="D111" s="70" t="s">
        <v>23</v>
      </c>
      <c r="E111" s="71"/>
      <c r="F111" s="71"/>
      <c r="G111" s="11" t="s">
        <v>15</v>
      </c>
      <c r="H111" s="37">
        <v>90000.0</v>
      </c>
      <c r="I111" s="38"/>
      <c r="J111" s="20"/>
      <c r="K111" s="6"/>
      <c r="L111" s="6"/>
    </row>
    <row r="112">
      <c r="A112" s="36"/>
      <c r="B112" s="12"/>
      <c r="C112" s="14">
        <v>9.0</v>
      </c>
      <c r="D112" s="70" t="s">
        <v>110</v>
      </c>
      <c r="E112" s="71"/>
      <c r="F112" s="71"/>
      <c r="G112" s="11" t="s">
        <v>15</v>
      </c>
      <c r="H112" s="74">
        <v>110000.0</v>
      </c>
      <c r="I112" s="38"/>
      <c r="J112" s="20"/>
      <c r="K112" s="6"/>
      <c r="L112" s="6"/>
    </row>
    <row r="113">
      <c r="A113" s="36"/>
      <c r="B113" s="12"/>
      <c r="C113" s="10" t="s">
        <v>276</v>
      </c>
      <c r="D113" s="70" t="s">
        <v>27</v>
      </c>
      <c r="E113" s="71"/>
      <c r="F113" s="71"/>
      <c r="G113" s="11" t="s">
        <v>15</v>
      </c>
      <c r="H113" s="75">
        <v>90000.0</v>
      </c>
      <c r="I113" s="38"/>
      <c r="J113" s="20"/>
      <c r="K113" s="6"/>
      <c r="L113" s="6"/>
    </row>
    <row r="114">
      <c r="A114" s="36"/>
      <c r="B114" s="12"/>
      <c r="C114" s="10" t="s">
        <v>276</v>
      </c>
      <c r="D114" s="70" t="s">
        <v>111</v>
      </c>
      <c r="E114" s="71"/>
      <c r="F114" s="71"/>
      <c r="G114" s="11" t="s">
        <v>15</v>
      </c>
      <c r="H114" s="37">
        <v>80000.0</v>
      </c>
      <c r="I114" s="38"/>
      <c r="J114" s="20"/>
      <c r="K114" s="6"/>
      <c r="L114" s="6"/>
    </row>
    <row r="115">
      <c r="A115" s="36"/>
      <c r="B115" s="12"/>
      <c r="C115" s="10" t="s">
        <v>276</v>
      </c>
      <c r="D115" s="70" t="s">
        <v>112</v>
      </c>
      <c r="E115" s="71"/>
      <c r="F115" s="71"/>
      <c r="G115" s="11" t="s">
        <v>15</v>
      </c>
      <c r="H115" s="37">
        <v>150000.0</v>
      </c>
      <c r="I115" s="38"/>
      <c r="J115" s="20"/>
      <c r="K115" s="6"/>
      <c r="L115" s="6"/>
    </row>
    <row r="116">
      <c r="A116" s="36"/>
      <c r="B116" s="12"/>
      <c r="C116" s="10" t="s">
        <v>276</v>
      </c>
      <c r="D116" s="70" t="s">
        <v>18</v>
      </c>
      <c r="E116" s="71"/>
      <c r="F116" s="71"/>
      <c r="G116" s="11" t="s">
        <v>15</v>
      </c>
      <c r="H116" s="37">
        <v>350000.0</v>
      </c>
      <c r="I116" s="38"/>
      <c r="J116" s="20"/>
      <c r="K116" s="6"/>
      <c r="L116" s="6"/>
    </row>
    <row r="117">
      <c r="A117" s="36"/>
      <c r="B117" s="12"/>
      <c r="C117" s="10" t="s">
        <v>276</v>
      </c>
      <c r="D117" s="70" t="s">
        <v>31</v>
      </c>
      <c r="E117" s="71"/>
      <c r="F117" s="71"/>
      <c r="G117" s="11" t="s">
        <v>15</v>
      </c>
      <c r="H117" s="37">
        <v>90000.0</v>
      </c>
      <c r="I117" s="38"/>
      <c r="J117" s="20"/>
      <c r="K117" s="6"/>
      <c r="L117" s="6"/>
    </row>
    <row r="118">
      <c r="A118" s="36"/>
      <c r="B118" s="12"/>
      <c r="C118" s="10" t="s">
        <v>276</v>
      </c>
      <c r="D118" s="70" t="s">
        <v>32</v>
      </c>
      <c r="E118" s="71"/>
      <c r="F118" s="71"/>
      <c r="G118" s="11" t="s">
        <v>15</v>
      </c>
      <c r="H118" s="37">
        <v>90000.0</v>
      </c>
      <c r="I118" s="38"/>
      <c r="J118" s="20"/>
      <c r="K118" s="6"/>
      <c r="L118" s="6"/>
    </row>
    <row r="119">
      <c r="A119" s="36"/>
      <c r="B119" s="12"/>
      <c r="C119" s="10" t="s">
        <v>276</v>
      </c>
      <c r="D119" s="70" t="s">
        <v>33</v>
      </c>
      <c r="E119" s="71"/>
      <c r="F119" s="71"/>
      <c r="G119" s="11" t="s">
        <v>15</v>
      </c>
      <c r="H119" s="37">
        <v>90000.0</v>
      </c>
      <c r="I119" s="38"/>
      <c r="J119" s="20"/>
      <c r="K119" s="6"/>
      <c r="L119" s="6"/>
    </row>
    <row r="120">
      <c r="A120" s="36"/>
      <c r="B120" s="12"/>
      <c r="C120" s="10" t="s">
        <v>276</v>
      </c>
      <c r="D120" s="70" t="s">
        <v>40</v>
      </c>
      <c r="E120" s="71"/>
      <c r="F120" s="71"/>
      <c r="G120" s="11" t="s">
        <v>15</v>
      </c>
      <c r="H120" s="37">
        <v>300000.0</v>
      </c>
      <c r="I120" s="38"/>
      <c r="J120" s="20"/>
      <c r="K120" s="6"/>
      <c r="L120" s="6"/>
    </row>
    <row r="121">
      <c r="A121" s="36"/>
      <c r="B121" s="12"/>
      <c r="C121" s="10" t="s">
        <v>276</v>
      </c>
      <c r="D121" s="11" t="s">
        <v>113</v>
      </c>
      <c r="E121" s="12"/>
      <c r="F121" s="12"/>
      <c r="G121" s="57"/>
      <c r="H121" s="58"/>
      <c r="I121" s="38"/>
      <c r="J121" s="20"/>
      <c r="K121" s="6"/>
      <c r="L121" s="6"/>
    </row>
    <row r="122">
      <c r="A122" s="36"/>
      <c r="B122" s="12"/>
      <c r="C122" s="10" t="s">
        <v>276</v>
      </c>
      <c r="D122" s="11" t="s">
        <v>114</v>
      </c>
      <c r="E122" s="12"/>
      <c r="F122" s="12"/>
      <c r="G122" s="11" t="s">
        <v>15</v>
      </c>
      <c r="H122" s="37">
        <v>200000.0</v>
      </c>
      <c r="I122" s="38"/>
      <c r="J122" s="20"/>
      <c r="K122" s="6"/>
      <c r="L122" s="6"/>
    </row>
    <row r="123">
      <c r="A123" s="36"/>
      <c r="B123" s="12"/>
      <c r="C123" s="10" t="s">
        <v>276</v>
      </c>
      <c r="D123" s="11" t="s">
        <v>115</v>
      </c>
      <c r="E123" s="12"/>
      <c r="F123" s="12"/>
      <c r="G123" s="11" t="s">
        <v>15</v>
      </c>
      <c r="H123" s="37">
        <v>200000.0</v>
      </c>
      <c r="I123" s="38"/>
      <c r="J123" s="20"/>
      <c r="K123" s="6"/>
      <c r="L123" s="6"/>
    </row>
    <row r="124">
      <c r="A124" s="36"/>
      <c r="B124" s="12"/>
      <c r="C124" s="10" t="s">
        <v>276</v>
      </c>
      <c r="D124" s="11" t="s">
        <v>116</v>
      </c>
      <c r="E124" s="12"/>
      <c r="F124" s="12"/>
      <c r="G124" s="11" t="s">
        <v>15</v>
      </c>
      <c r="H124" s="37">
        <v>150000.0</v>
      </c>
      <c r="I124" s="38"/>
      <c r="J124" s="20"/>
      <c r="K124" s="6"/>
      <c r="L124" s="6"/>
    </row>
    <row r="125">
      <c r="A125" s="36"/>
      <c r="B125" s="12"/>
      <c r="C125" s="10" t="s">
        <v>276</v>
      </c>
      <c r="D125" s="11" t="s">
        <v>117</v>
      </c>
      <c r="E125" s="12"/>
      <c r="F125" s="12"/>
      <c r="G125" s="11" t="s">
        <v>15</v>
      </c>
      <c r="H125" s="37">
        <v>600000.0</v>
      </c>
      <c r="I125" s="38"/>
      <c r="J125" s="20"/>
      <c r="K125" s="6"/>
      <c r="L125" s="6"/>
    </row>
    <row r="126">
      <c r="A126" s="36"/>
      <c r="B126" s="12"/>
      <c r="C126" s="10" t="s">
        <v>276</v>
      </c>
      <c r="D126" s="76" t="s">
        <v>118</v>
      </c>
      <c r="E126" s="68"/>
      <c r="F126" s="68"/>
      <c r="G126" s="11" t="s">
        <v>15</v>
      </c>
      <c r="H126" s="37">
        <v>60000.0</v>
      </c>
      <c r="I126" s="38"/>
      <c r="J126" s="20"/>
      <c r="K126" s="67" t="s">
        <v>277</v>
      </c>
      <c r="L126" s="6"/>
    </row>
    <row r="127">
      <c r="A127" s="36"/>
      <c r="B127" s="12"/>
      <c r="C127" s="10" t="s">
        <v>276</v>
      </c>
      <c r="D127" s="77" t="s">
        <v>119</v>
      </c>
      <c r="E127" s="78"/>
      <c r="F127" s="78"/>
      <c r="G127" s="11" t="s">
        <v>15</v>
      </c>
      <c r="H127" s="37">
        <v>110000.0</v>
      </c>
      <c r="I127" s="38"/>
      <c r="J127" s="20"/>
      <c r="K127" s="6"/>
      <c r="L127" s="6"/>
    </row>
    <row r="128">
      <c r="A128" s="36"/>
      <c r="B128" s="12"/>
      <c r="C128" s="10" t="s">
        <v>276</v>
      </c>
      <c r="D128" s="77" t="s">
        <v>120</v>
      </c>
      <c r="E128" s="78"/>
      <c r="F128" s="78"/>
      <c r="G128" s="11" t="s">
        <v>15</v>
      </c>
      <c r="H128" s="37">
        <v>110000.0</v>
      </c>
      <c r="I128" s="38"/>
      <c r="J128" s="20"/>
      <c r="K128" s="67" t="s">
        <v>283</v>
      </c>
    </row>
    <row r="129">
      <c r="A129" s="36"/>
      <c r="B129" s="12"/>
      <c r="C129" s="10" t="s">
        <v>276</v>
      </c>
      <c r="D129" s="77" t="s">
        <v>121</v>
      </c>
      <c r="E129" s="78"/>
      <c r="F129" s="78"/>
      <c r="G129" s="11" t="s">
        <v>15</v>
      </c>
      <c r="H129" s="37">
        <v>130000.0</v>
      </c>
      <c r="I129" s="38"/>
      <c r="J129" s="20"/>
      <c r="K129" s="6"/>
      <c r="L129" s="6"/>
    </row>
    <row r="130">
      <c r="A130" s="36"/>
      <c r="B130" s="12"/>
      <c r="C130" s="10" t="s">
        <v>276</v>
      </c>
      <c r="D130" s="77" t="s">
        <v>122</v>
      </c>
      <c r="E130" s="78"/>
      <c r="F130" s="78"/>
      <c r="G130" s="11" t="s">
        <v>15</v>
      </c>
      <c r="H130" s="37">
        <v>150000.0</v>
      </c>
      <c r="I130" s="38"/>
      <c r="J130" s="20"/>
      <c r="K130" s="67" t="s">
        <v>283</v>
      </c>
    </row>
    <row r="131">
      <c r="A131" s="36"/>
      <c r="B131" s="12"/>
      <c r="C131" s="10" t="s">
        <v>276</v>
      </c>
      <c r="D131" s="76" t="s">
        <v>123</v>
      </c>
      <c r="E131" s="68"/>
      <c r="F131" s="68"/>
      <c r="G131" s="11" t="s">
        <v>15</v>
      </c>
      <c r="H131" s="37">
        <v>400000.0</v>
      </c>
      <c r="I131" s="38"/>
      <c r="J131" s="20"/>
      <c r="K131" s="67" t="s">
        <v>277</v>
      </c>
      <c r="L131" s="6"/>
    </row>
    <row r="132">
      <c r="A132" s="36"/>
      <c r="B132" s="12"/>
      <c r="C132" s="10" t="s">
        <v>276</v>
      </c>
      <c r="D132" s="77" t="s">
        <v>62</v>
      </c>
      <c r="E132" s="78"/>
      <c r="F132" s="78"/>
      <c r="G132" s="11" t="s">
        <v>15</v>
      </c>
      <c r="H132" s="37">
        <v>100000.0</v>
      </c>
      <c r="I132" s="38"/>
      <c r="J132" s="20"/>
      <c r="K132" s="67" t="s">
        <v>283</v>
      </c>
    </row>
    <row r="133">
      <c r="A133" s="36"/>
      <c r="B133" s="12"/>
      <c r="C133" s="10" t="s">
        <v>276</v>
      </c>
      <c r="D133" s="11" t="s">
        <v>124</v>
      </c>
      <c r="E133" s="12"/>
      <c r="F133" s="12"/>
      <c r="G133" s="57"/>
      <c r="H133" s="58"/>
      <c r="I133" s="38"/>
      <c r="J133" s="20"/>
      <c r="K133" s="6"/>
      <c r="L133" s="6"/>
    </row>
    <row r="134">
      <c r="A134" s="36"/>
      <c r="B134" s="12"/>
      <c r="C134" s="10" t="s">
        <v>276</v>
      </c>
      <c r="D134" s="70" t="s">
        <v>36</v>
      </c>
      <c r="E134" s="71"/>
      <c r="F134" s="71"/>
      <c r="G134" s="11" t="s">
        <v>15</v>
      </c>
      <c r="H134" s="43">
        <v>120000.0</v>
      </c>
      <c r="I134" s="38"/>
      <c r="J134" s="20"/>
      <c r="K134" s="67" t="s">
        <v>284</v>
      </c>
    </row>
    <row r="135">
      <c r="A135" s="36"/>
      <c r="B135" s="12"/>
      <c r="C135" s="10" t="s">
        <v>276</v>
      </c>
      <c r="D135" s="70" t="s">
        <v>33</v>
      </c>
      <c r="E135" s="71"/>
      <c r="F135" s="71"/>
      <c r="G135" s="11" t="s">
        <v>15</v>
      </c>
      <c r="H135" s="43">
        <v>120000.0</v>
      </c>
      <c r="I135" s="38"/>
      <c r="J135" s="20"/>
      <c r="K135" s="67" t="s">
        <v>284</v>
      </c>
    </row>
    <row r="136">
      <c r="A136" s="36"/>
      <c r="B136" s="12"/>
      <c r="C136" s="10" t="s">
        <v>276</v>
      </c>
      <c r="D136" s="70" t="s">
        <v>34</v>
      </c>
      <c r="E136" s="71"/>
      <c r="F136" s="71"/>
      <c r="G136" s="11" t="s">
        <v>15</v>
      </c>
      <c r="H136" s="43">
        <v>120000.0</v>
      </c>
      <c r="I136" s="38"/>
      <c r="J136" s="20"/>
      <c r="K136" s="67" t="s">
        <v>284</v>
      </c>
    </row>
    <row r="137">
      <c r="A137" s="36"/>
      <c r="B137" s="12"/>
      <c r="C137" s="10" t="s">
        <v>276</v>
      </c>
      <c r="D137" s="70" t="s">
        <v>125</v>
      </c>
      <c r="E137" s="71"/>
      <c r="F137" s="71"/>
      <c r="G137" s="11" t="s">
        <v>15</v>
      </c>
      <c r="H137" s="43">
        <v>170000.0</v>
      </c>
      <c r="I137" s="38"/>
      <c r="J137" s="20"/>
      <c r="K137" s="67" t="s">
        <v>284</v>
      </c>
    </row>
    <row r="138">
      <c r="A138" s="36"/>
      <c r="B138" s="12"/>
      <c r="C138" s="10" t="s">
        <v>276</v>
      </c>
      <c r="D138" s="76" t="s">
        <v>126</v>
      </c>
      <c r="E138" s="68"/>
      <c r="F138" s="68"/>
      <c r="G138" s="11" t="s">
        <v>15</v>
      </c>
      <c r="H138" s="37">
        <v>80000.0</v>
      </c>
      <c r="I138" s="38"/>
      <c r="J138" s="20"/>
      <c r="K138" s="67" t="s">
        <v>285</v>
      </c>
    </row>
    <row r="139">
      <c r="A139" s="36"/>
      <c r="B139" s="12"/>
      <c r="C139" s="10" t="s">
        <v>276</v>
      </c>
      <c r="D139" s="11" t="s">
        <v>127</v>
      </c>
      <c r="E139" s="12"/>
      <c r="F139" s="12"/>
      <c r="G139" s="11" t="s">
        <v>15</v>
      </c>
      <c r="H139" s="37">
        <v>80000.0</v>
      </c>
      <c r="I139" s="38"/>
      <c r="J139" s="20"/>
      <c r="K139" s="67" t="s">
        <v>286</v>
      </c>
    </row>
    <row r="140">
      <c r="A140" s="36"/>
      <c r="B140" s="12"/>
      <c r="C140" s="10" t="s">
        <v>276</v>
      </c>
      <c r="D140" s="11" t="s">
        <v>128</v>
      </c>
      <c r="E140" s="12"/>
      <c r="F140" s="12"/>
      <c r="G140" s="11" t="s">
        <v>15</v>
      </c>
      <c r="H140" s="37">
        <v>80000.0</v>
      </c>
      <c r="I140" s="38"/>
      <c r="J140" s="20"/>
      <c r="K140" s="67" t="s">
        <v>286</v>
      </c>
    </row>
    <row r="141">
      <c r="A141" s="36"/>
      <c r="B141" s="57"/>
      <c r="C141" s="57"/>
      <c r="D141" s="12"/>
      <c r="E141" s="12"/>
      <c r="F141" s="12"/>
      <c r="G141" s="12"/>
      <c r="H141" s="58"/>
      <c r="I141" s="38"/>
      <c r="J141" s="20"/>
      <c r="K141" s="6"/>
      <c r="L141" s="6"/>
    </row>
    <row r="142">
      <c r="A142" s="36"/>
      <c r="B142" s="11" t="s">
        <v>129</v>
      </c>
      <c r="C142" s="11" t="s">
        <v>130</v>
      </c>
      <c r="D142" s="57"/>
      <c r="E142" s="12"/>
      <c r="F142" s="12"/>
      <c r="G142" s="57"/>
      <c r="H142" s="58"/>
      <c r="I142" s="38"/>
      <c r="J142" s="20"/>
      <c r="K142" s="6"/>
      <c r="L142" s="6"/>
    </row>
    <row r="143">
      <c r="A143" s="36"/>
      <c r="B143" s="12"/>
      <c r="C143" s="14">
        <v>1.0</v>
      </c>
      <c r="D143" s="11" t="s">
        <v>131</v>
      </c>
      <c r="E143" s="12"/>
      <c r="F143" s="12"/>
      <c r="G143" s="11" t="s">
        <v>15</v>
      </c>
      <c r="H143" s="37">
        <v>100000.0</v>
      </c>
      <c r="I143" s="38"/>
      <c r="J143" s="20"/>
      <c r="K143" s="6"/>
      <c r="L143" s="6"/>
    </row>
    <row r="144">
      <c r="A144" s="36"/>
      <c r="B144" s="12"/>
      <c r="C144" s="14">
        <v>2.0</v>
      </c>
      <c r="D144" s="11" t="s">
        <v>132</v>
      </c>
      <c r="E144" s="12"/>
      <c r="F144" s="12"/>
      <c r="G144" s="11" t="s">
        <v>15</v>
      </c>
      <c r="H144" s="37">
        <v>150000.0</v>
      </c>
      <c r="I144" s="38"/>
      <c r="J144" s="20"/>
      <c r="K144" s="6"/>
      <c r="L144" s="6"/>
    </row>
    <row r="145">
      <c r="A145" s="36"/>
      <c r="B145" s="12"/>
      <c r="C145" s="14">
        <v>3.0</v>
      </c>
      <c r="D145" s="11" t="s">
        <v>133</v>
      </c>
      <c r="E145" s="12"/>
      <c r="F145" s="12"/>
      <c r="G145" s="11" t="s">
        <v>15</v>
      </c>
      <c r="H145" s="37">
        <v>100000.0</v>
      </c>
      <c r="I145" s="38"/>
      <c r="J145" s="20"/>
      <c r="K145" s="6"/>
      <c r="L145" s="6"/>
    </row>
    <row r="146">
      <c r="A146" s="36"/>
      <c r="B146" s="12"/>
      <c r="C146" s="14">
        <v>4.0</v>
      </c>
      <c r="D146" s="11" t="s">
        <v>134</v>
      </c>
      <c r="E146" s="12"/>
      <c r="F146" s="12"/>
      <c r="G146" s="11" t="s">
        <v>15</v>
      </c>
      <c r="H146" s="37">
        <v>120000.0</v>
      </c>
      <c r="I146" s="38"/>
      <c r="J146" s="20"/>
      <c r="K146" s="6"/>
      <c r="L146" s="6"/>
    </row>
    <row r="147">
      <c r="A147" s="36"/>
      <c r="B147" s="57"/>
      <c r="C147" s="57"/>
      <c r="D147" s="12"/>
      <c r="E147" s="12"/>
      <c r="F147" s="12"/>
      <c r="G147" s="12"/>
      <c r="H147" s="58"/>
      <c r="I147" s="38"/>
      <c r="J147" s="20"/>
      <c r="K147" s="6"/>
      <c r="L147" s="6"/>
    </row>
    <row r="148">
      <c r="A148" s="36"/>
      <c r="B148" s="11" t="s">
        <v>135</v>
      </c>
      <c r="C148" s="11" t="s">
        <v>136</v>
      </c>
      <c r="D148" s="57"/>
      <c r="E148" s="12"/>
      <c r="F148" s="12"/>
      <c r="G148" s="57"/>
      <c r="H148" s="58"/>
      <c r="I148" s="38"/>
      <c r="J148" s="20"/>
      <c r="K148" s="6"/>
      <c r="L148" s="6"/>
    </row>
    <row r="149">
      <c r="A149" s="36"/>
      <c r="B149" s="12"/>
      <c r="C149" s="14">
        <v>1.0</v>
      </c>
      <c r="D149" s="11" t="s">
        <v>137</v>
      </c>
      <c r="E149" s="12"/>
      <c r="F149" s="12"/>
      <c r="G149" s="11" t="s">
        <v>15</v>
      </c>
      <c r="H149" s="37">
        <v>100000.0</v>
      </c>
      <c r="I149" s="38"/>
      <c r="J149" s="20"/>
      <c r="K149" s="6"/>
      <c r="L149" s="6"/>
    </row>
    <row r="150">
      <c r="A150" s="36"/>
      <c r="B150" s="12"/>
      <c r="C150" s="14">
        <v>2.0</v>
      </c>
      <c r="D150" s="11" t="s">
        <v>138</v>
      </c>
      <c r="E150" s="12"/>
      <c r="F150" s="12"/>
      <c r="G150" s="11" t="s">
        <v>15</v>
      </c>
      <c r="H150" s="37">
        <v>150000.0</v>
      </c>
      <c r="I150" s="38"/>
      <c r="J150" s="20"/>
      <c r="K150" s="6"/>
      <c r="L150" s="6"/>
    </row>
    <row r="151">
      <c r="A151" s="36"/>
      <c r="B151" s="12"/>
      <c r="C151" s="14">
        <v>3.0</v>
      </c>
      <c r="D151" s="11" t="s">
        <v>139</v>
      </c>
      <c r="E151" s="12"/>
      <c r="F151" s="12"/>
      <c r="G151" s="11" t="s">
        <v>15</v>
      </c>
      <c r="H151" s="37">
        <v>100000.0</v>
      </c>
      <c r="I151" s="38"/>
      <c r="J151" s="20"/>
      <c r="K151" s="6"/>
      <c r="L151" s="6"/>
    </row>
    <row r="152">
      <c r="A152" s="36"/>
      <c r="B152" s="12"/>
      <c r="C152" s="14">
        <v>4.0</v>
      </c>
      <c r="D152" s="11" t="s">
        <v>140</v>
      </c>
      <c r="E152" s="12"/>
      <c r="F152" s="12"/>
      <c r="G152" s="11" t="s">
        <v>15</v>
      </c>
      <c r="H152" s="37">
        <v>150000.0</v>
      </c>
      <c r="I152" s="38"/>
      <c r="J152" s="20"/>
      <c r="K152" s="6"/>
      <c r="L152" s="6"/>
    </row>
    <row r="153">
      <c r="A153" s="36"/>
      <c r="B153" s="12"/>
      <c r="C153" s="14">
        <v>5.0</v>
      </c>
      <c r="D153" s="11" t="s">
        <v>141</v>
      </c>
      <c r="E153" s="12"/>
      <c r="F153" s="12"/>
      <c r="G153" s="11" t="s">
        <v>15</v>
      </c>
      <c r="H153" s="37">
        <v>150000.0</v>
      </c>
      <c r="I153" s="38"/>
      <c r="J153" s="20"/>
      <c r="K153" s="6"/>
      <c r="L153" s="6"/>
    </row>
    <row r="154">
      <c r="A154" s="36"/>
      <c r="B154" s="12"/>
      <c r="C154" s="14">
        <v>6.0</v>
      </c>
      <c r="D154" s="11" t="s">
        <v>142</v>
      </c>
      <c r="E154" s="12"/>
      <c r="F154" s="12"/>
      <c r="G154" s="11" t="s">
        <v>15</v>
      </c>
      <c r="H154" s="37">
        <v>325000.0</v>
      </c>
      <c r="I154" s="38"/>
      <c r="J154" s="20"/>
      <c r="K154" s="6"/>
      <c r="L154" s="6"/>
    </row>
    <row r="155">
      <c r="A155" s="36"/>
      <c r="B155" s="12"/>
      <c r="C155" s="14">
        <v>7.0</v>
      </c>
      <c r="D155" s="11" t="s">
        <v>143</v>
      </c>
      <c r="E155" s="12"/>
      <c r="F155" s="12"/>
      <c r="G155" s="11" t="s">
        <v>15</v>
      </c>
      <c r="H155" s="43">
        <v>150000.0</v>
      </c>
      <c r="I155" s="38"/>
      <c r="J155" s="20"/>
      <c r="K155" s="6"/>
      <c r="L155" s="6"/>
    </row>
    <row r="156">
      <c r="A156" s="36"/>
      <c r="B156" s="12"/>
      <c r="C156" s="14">
        <v>8.0</v>
      </c>
      <c r="D156" s="11" t="s">
        <v>144</v>
      </c>
      <c r="E156" s="12"/>
      <c r="F156" s="12"/>
      <c r="G156" s="11" t="s">
        <v>15</v>
      </c>
      <c r="H156" s="43">
        <v>150000.0</v>
      </c>
      <c r="I156" s="38"/>
      <c r="J156" s="20"/>
      <c r="K156" s="6"/>
      <c r="L156" s="6"/>
    </row>
    <row r="157">
      <c r="A157" s="36"/>
      <c r="B157" s="12"/>
      <c r="C157" s="14">
        <v>9.0</v>
      </c>
      <c r="D157" s="11" t="s">
        <v>145</v>
      </c>
      <c r="E157" s="12"/>
      <c r="F157" s="12"/>
      <c r="G157" s="11" t="s">
        <v>15</v>
      </c>
      <c r="H157" s="37">
        <v>300000.0</v>
      </c>
      <c r="I157" s="38"/>
      <c r="J157" s="20"/>
      <c r="K157" s="6"/>
      <c r="L157" s="6"/>
    </row>
    <row r="158">
      <c r="A158" s="36"/>
      <c r="B158" s="12"/>
      <c r="C158" s="10" t="s">
        <v>276</v>
      </c>
      <c r="D158" s="11" t="s">
        <v>146</v>
      </c>
      <c r="E158" s="12"/>
      <c r="F158" s="12"/>
      <c r="G158" s="11" t="s">
        <v>15</v>
      </c>
      <c r="H158" s="37">
        <v>200000.0</v>
      </c>
      <c r="I158" s="38"/>
      <c r="J158" s="11" t="s">
        <v>287</v>
      </c>
      <c r="K158" s="6"/>
      <c r="L158" s="6"/>
    </row>
    <row r="159">
      <c r="A159" s="36"/>
      <c r="B159" s="57"/>
      <c r="C159" s="57"/>
      <c r="D159" s="12"/>
      <c r="E159" s="12"/>
      <c r="F159" s="12"/>
      <c r="G159" s="12"/>
      <c r="H159" s="58"/>
      <c r="I159" s="38"/>
      <c r="J159" s="20"/>
      <c r="K159" s="6"/>
      <c r="L159" s="6"/>
    </row>
    <row r="160">
      <c r="A160" s="36"/>
      <c r="B160" s="11" t="s">
        <v>147</v>
      </c>
      <c r="C160" s="11" t="s">
        <v>148</v>
      </c>
      <c r="D160" s="57"/>
      <c r="E160" s="12"/>
      <c r="F160" s="12"/>
      <c r="G160" s="12"/>
      <c r="H160" s="58"/>
      <c r="I160" s="38"/>
      <c r="J160" s="20"/>
      <c r="K160" s="6"/>
      <c r="L160" s="6"/>
    </row>
    <row r="161">
      <c r="A161" s="36"/>
      <c r="B161" s="12"/>
      <c r="C161" s="14">
        <v>1.0</v>
      </c>
      <c r="D161" s="11" t="s">
        <v>149</v>
      </c>
      <c r="E161" s="57"/>
      <c r="F161" s="12"/>
      <c r="G161" s="12"/>
      <c r="H161" s="58"/>
      <c r="I161" s="38"/>
      <c r="J161" s="20"/>
      <c r="K161" s="6"/>
      <c r="L161" s="6"/>
    </row>
    <row r="162">
      <c r="A162" s="36"/>
      <c r="B162" s="12"/>
      <c r="C162" s="12"/>
      <c r="D162" s="11" t="s">
        <v>150</v>
      </c>
      <c r="E162" s="11" t="s">
        <v>151</v>
      </c>
      <c r="F162" s="12"/>
      <c r="G162" s="57"/>
      <c r="H162" s="58"/>
      <c r="I162" s="38"/>
      <c r="J162" s="20"/>
      <c r="K162" s="6"/>
      <c r="L162" s="6"/>
    </row>
    <row r="163">
      <c r="A163" s="36"/>
      <c r="B163" s="12"/>
      <c r="C163" s="12"/>
      <c r="D163" s="12"/>
      <c r="E163" s="11" t="s">
        <v>152</v>
      </c>
      <c r="F163" s="12"/>
      <c r="G163" s="11" t="s">
        <v>15</v>
      </c>
      <c r="H163" s="37">
        <v>100000.0</v>
      </c>
      <c r="I163" s="38"/>
      <c r="J163" s="20"/>
      <c r="K163" s="6"/>
      <c r="L163" s="6"/>
    </row>
    <row r="164">
      <c r="A164" s="36"/>
      <c r="B164" s="12"/>
      <c r="C164" s="12"/>
      <c r="D164" s="12"/>
      <c r="E164" s="11" t="s">
        <v>153</v>
      </c>
      <c r="F164" s="12"/>
      <c r="G164" s="11" t="s">
        <v>15</v>
      </c>
      <c r="H164" s="37">
        <v>100000.0</v>
      </c>
      <c r="I164" s="38"/>
      <c r="J164" s="20"/>
      <c r="K164" s="6"/>
      <c r="L164" s="6"/>
    </row>
    <row r="165">
      <c r="A165" s="36"/>
      <c r="B165" s="12"/>
      <c r="C165" s="12"/>
      <c r="D165" s="12"/>
      <c r="E165" s="11" t="s">
        <v>154</v>
      </c>
      <c r="F165" s="57"/>
      <c r="G165" s="57"/>
      <c r="H165" s="58"/>
      <c r="I165" s="38"/>
      <c r="J165" s="20"/>
      <c r="K165" s="6"/>
      <c r="L165" s="6"/>
    </row>
    <row r="166">
      <c r="A166" s="36"/>
      <c r="B166" s="12"/>
      <c r="C166" s="12"/>
      <c r="D166" s="12"/>
      <c r="E166" s="11" t="s">
        <v>155</v>
      </c>
      <c r="F166" s="11" t="s">
        <v>288</v>
      </c>
      <c r="G166" s="11" t="s">
        <v>15</v>
      </c>
      <c r="H166" s="37">
        <v>200000.0</v>
      </c>
      <c r="I166" s="38"/>
      <c r="J166" s="11" t="s">
        <v>287</v>
      </c>
      <c r="K166" s="6"/>
      <c r="L166" s="6"/>
    </row>
    <row r="167">
      <c r="A167" s="36"/>
      <c r="B167" s="12"/>
      <c r="C167" s="12"/>
      <c r="D167" s="12"/>
      <c r="E167" s="11" t="s">
        <v>155</v>
      </c>
      <c r="F167" s="11" t="s">
        <v>289</v>
      </c>
      <c r="G167" s="11" t="s">
        <v>15</v>
      </c>
      <c r="H167" s="37">
        <v>200000.0</v>
      </c>
      <c r="I167" s="38"/>
      <c r="J167" s="20"/>
      <c r="K167" s="6"/>
      <c r="L167" s="6"/>
    </row>
    <row r="168">
      <c r="A168" s="36"/>
      <c r="B168" s="12"/>
      <c r="C168" s="12"/>
      <c r="D168" s="12"/>
      <c r="E168" s="11" t="s">
        <v>155</v>
      </c>
      <c r="F168" s="11" t="s">
        <v>158</v>
      </c>
      <c r="G168" s="11" t="s">
        <v>15</v>
      </c>
      <c r="H168" s="37">
        <v>200000.0</v>
      </c>
      <c r="I168" s="38"/>
      <c r="J168" s="20"/>
      <c r="K168" s="6"/>
      <c r="L168" s="6"/>
    </row>
    <row r="169">
      <c r="A169" s="36"/>
      <c r="B169" s="12"/>
      <c r="C169" s="12"/>
      <c r="D169" s="12"/>
      <c r="E169" s="11" t="s">
        <v>155</v>
      </c>
      <c r="F169" s="11" t="s">
        <v>159</v>
      </c>
      <c r="G169" s="11" t="s">
        <v>15</v>
      </c>
      <c r="H169" s="37">
        <v>200000.0</v>
      </c>
      <c r="I169" s="38"/>
      <c r="J169" s="49"/>
      <c r="K169" s="46" t="s">
        <v>290</v>
      </c>
      <c r="L169" s="6"/>
    </row>
    <row r="170">
      <c r="A170" s="36"/>
      <c r="B170" s="12"/>
      <c r="C170" s="12"/>
      <c r="D170" s="12"/>
      <c r="E170" s="11" t="s">
        <v>155</v>
      </c>
      <c r="F170" s="11" t="s">
        <v>160</v>
      </c>
      <c r="G170" s="11" t="s">
        <v>15</v>
      </c>
      <c r="H170" s="37">
        <v>400000.0</v>
      </c>
      <c r="I170" s="38"/>
      <c r="J170" s="49"/>
      <c r="K170" s="46" t="s">
        <v>291</v>
      </c>
      <c r="L170" s="6"/>
    </row>
    <row r="171">
      <c r="A171" s="36"/>
      <c r="B171" s="12"/>
      <c r="C171" s="12"/>
      <c r="D171" s="12"/>
      <c r="E171" s="11" t="s">
        <v>155</v>
      </c>
      <c r="F171" s="11" t="s">
        <v>161</v>
      </c>
      <c r="G171" s="11" t="s">
        <v>15</v>
      </c>
      <c r="H171" s="37">
        <v>400000.0</v>
      </c>
      <c r="I171" s="38"/>
      <c r="J171" s="49"/>
      <c r="K171" s="46" t="s">
        <v>292</v>
      </c>
      <c r="L171" s="6"/>
    </row>
    <row r="172">
      <c r="A172" s="36"/>
      <c r="B172" s="12"/>
      <c r="C172" s="12"/>
      <c r="D172" s="12"/>
      <c r="E172" s="11" t="s">
        <v>155</v>
      </c>
      <c r="F172" s="11" t="s">
        <v>162</v>
      </c>
      <c r="G172" s="11" t="s">
        <v>15</v>
      </c>
      <c r="H172" s="37">
        <v>400000.0</v>
      </c>
      <c r="I172" s="38"/>
      <c r="J172" s="49"/>
      <c r="K172" s="46" t="s">
        <v>293</v>
      </c>
      <c r="L172" s="6"/>
    </row>
    <row r="173">
      <c r="A173" s="36"/>
      <c r="B173" s="12"/>
      <c r="C173" s="12"/>
      <c r="D173" s="12"/>
      <c r="E173" s="11" t="s">
        <v>163</v>
      </c>
      <c r="F173" s="12"/>
      <c r="G173" s="11" t="s">
        <v>15</v>
      </c>
      <c r="H173" s="37">
        <v>680000.0</v>
      </c>
      <c r="I173" s="38"/>
      <c r="J173" s="20"/>
      <c r="K173" s="6"/>
      <c r="L173" s="6"/>
    </row>
    <row r="174">
      <c r="A174" s="36"/>
      <c r="B174" s="12"/>
      <c r="C174" s="12"/>
      <c r="D174" s="12"/>
      <c r="E174" s="57"/>
      <c r="F174" s="12"/>
      <c r="G174" s="12"/>
      <c r="H174" s="58"/>
      <c r="I174" s="38"/>
      <c r="J174" s="20"/>
      <c r="K174" s="6"/>
      <c r="L174" s="6"/>
    </row>
    <row r="175">
      <c r="A175" s="36"/>
      <c r="B175" s="12"/>
      <c r="C175" s="12"/>
      <c r="D175" s="12"/>
      <c r="E175" s="11" t="s">
        <v>164</v>
      </c>
      <c r="F175" s="57"/>
      <c r="G175" s="57"/>
      <c r="H175" s="58"/>
      <c r="I175" s="38"/>
      <c r="J175" s="20"/>
      <c r="K175" s="6"/>
      <c r="L175" s="6"/>
    </row>
    <row r="176">
      <c r="A176" s="36"/>
      <c r="B176" s="12"/>
      <c r="C176" s="12"/>
      <c r="D176" s="12"/>
      <c r="E176" s="11" t="s">
        <v>155</v>
      </c>
      <c r="F176" s="11" t="s">
        <v>36</v>
      </c>
      <c r="G176" s="11" t="s">
        <v>15</v>
      </c>
      <c r="H176" s="37">
        <v>120000.0</v>
      </c>
      <c r="I176" s="38"/>
      <c r="J176" s="49"/>
      <c r="K176" s="46" t="s">
        <v>294</v>
      </c>
      <c r="L176" s="6"/>
    </row>
    <row r="177">
      <c r="A177" s="36"/>
      <c r="B177" s="12"/>
      <c r="C177" s="12"/>
      <c r="D177" s="12"/>
      <c r="E177" s="11" t="s">
        <v>155</v>
      </c>
      <c r="F177" s="11" t="s">
        <v>34</v>
      </c>
      <c r="G177" s="11" t="s">
        <v>15</v>
      </c>
      <c r="H177" s="37">
        <v>120000.0</v>
      </c>
      <c r="I177" s="38"/>
      <c r="J177" s="49"/>
      <c r="K177" s="46" t="s">
        <v>294</v>
      </c>
      <c r="L177" s="6"/>
    </row>
    <row r="178">
      <c r="A178" s="36"/>
      <c r="B178" s="12"/>
      <c r="C178" s="12"/>
      <c r="D178" s="12"/>
      <c r="E178" s="11" t="s">
        <v>155</v>
      </c>
      <c r="F178" s="11" t="s">
        <v>165</v>
      </c>
      <c r="G178" s="11" t="s">
        <v>15</v>
      </c>
      <c r="H178" s="37">
        <v>170000.0</v>
      </c>
      <c r="I178" s="38"/>
      <c r="J178" s="49"/>
      <c r="K178" s="46" t="s">
        <v>294</v>
      </c>
      <c r="L178" s="6"/>
    </row>
    <row r="179">
      <c r="A179" s="36"/>
      <c r="B179" s="12"/>
      <c r="C179" s="12"/>
      <c r="D179" s="12"/>
      <c r="E179" s="11" t="s">
        <v>155</v>
      </c>
      <c r="F179" s="11" t="s">
        <v>40</v>
      </c>
      <c r="G179" s="11" t="s">
        <v>15</v>
      </c>
      <c r="H179" s="37">
        <v>300000.0</v>
      </c>
      <c r="I179" s="38"/>
      <c r="J179" s="20"/>
      <c r="K179" s="6"/>
      <c r="L179" s="6"/>
    </row>
    <row r="180">
      <c r="A180" s="36"/>
      <c r="B180" s="12"/>
      <c r="C180" s="12"/>
      <c r="D180" s="12"/>
      <c r="E180" s="11" t="s">
        <v>166</v>
      </c>
      <c r="F180" s="12"/>
      <c r="G180" s="11" t="s">
        <v>15</v>
      </c>
      <c r="H180" s="37">
        <v>300000.0</v>
      </c>
      <c r="I180" s="38"/>
      <c r="J180" s="20"/>
      <c r="K180" s="6"/>
      <c r="L180" s="6"/>
    </row>
    <row r="181">
      <c r="A181" s="36"/>
      <c r="B181" s="12"/>
      <c r="C181" s="12"/>
      <c r="D181" s="57"/>
      <c r="E181" s="57"/>
      <c r="F181" s="12"/>
      <c r="G181" s="12"/>
      <c r="H181" s="58"/>
      <c r="I181" s="38"/>
      <c r="J181" s="20"/>
      <c r="K181" s="6"/>
      <c r="L181" s="6"/>
    </row>
    <row r="182">
      <c r="A182" s="36"/>
      <c r="B182" s="12"/>
      <c r="C182" s="12"/>
      <c r="D182" s="11" t="s">
        <v>167</v>
      </c>
      <c r="E182" s="11" t="s">
        <v>168</v>
      </c>
      <c r="F182" s="12"/>
      <c r="G182" s="57"/>
      <c r="H182" s="58"/>
      <c r="I182" s="38"/>
      <c r="J182" s="20"/>
      <c r="K182" s="6"/>
      <c r="L182" s="6"/>
    </row>
    <row r="183">
      <c r="A183" s="36"/>
      <c r="B183" s="12"/>
      <c r="C183" s="12"/>
      <c r="D183" s="12"/>
      <c r="E183" s="11" t="s">
        <v>152</v>
      </c>
      <c r="F183" s="12"/>
      <c r="G183" s="11" t="s">
        <v>15</v>
      </c>
      <c r="H183" s="37">
        <v>100000.0</v>
      </c>
      <c r="I183" s="38"/>
      <c r="J183" s="20"/>
      <c r="K183" s="6"/>
      <c r="L183" s="6"/>
    </row>
    <row r="184">
      <c r="A184" s="36"/>
      <c r="B184" s="12"/>
      <c r="C184" s="12"/>
      <c r="D184" s="12"/>
      <c r="E184" s="11" t="s">
        <v>138</v>
      </c>
      <c r="F184" s="12"/>
      <c r="G184" s="11" t="s">
        <v>15</v>
      </c>
      <c r="H184" s="37">
        <v>100000.0</v>
      </c>
      <c r="I184" s="38"/>
      <c r="J184" s="20"/>
      <c r="K184" s="6"/>
      <c r="L184" s="6"/>
    </row>
    <row r="185">
      <c r="A185" s="36"/>
      <c r="B185" s="12"/>
      <c r="C185" s="12"/>
      <c r="D185" s="12"/>
      <c r="E185" s="11" t="s">
        <v>154</v>
      </c>
      <c r="F185" s="57"/>
      <c r="G185" s="57"/>
      <c r="H185" s="58"/>
      <c r="I185" s="38"/>
      <c r="J185" s="20"/>
      <c r="K185" s="6"/>
      <c r="L185" s="6"/>
    </row>
    <row r="186">
      <c r="A186" s="36"/>
      <c r="B186" s="12"/>
      <c r="C186" s="12"/>
      <c r="D186" s="12"/>
      <c r="E186" s="11" t="s">
        <v>155</v>
      </c>
      <c r="F186" s="11" t="s">
        <v>156</v>
      </c>
      <c r="G186" s="11" t="s">
        <v>15</v>
      </c>
      <c r="H186" s="37">
        <v>200000.0</v>
      </c>
      <c r="I186" s="38"/>
      <c r="J186" s="11" t="s">
        <v>287</v>
      </c>
      <c r="K186" s="6"/>
      <c r="L186" s="6"/>
    </row>
    <row r="187">
      <c r="A187" s="36"/>
      <c r="B187" s="12"/>
      <c r="C187" s="12"/>
      <c r="D187" s="12"/>
      <c r="E187" s="11" t="s">
        <v>155</v>
      </c>
      <c r="F187" s="11" t="s">
        <v>157</v>
      </c>
      <c r="G187" s="11" t="s">
        <v>15</v>
      </c>
      <c r="H187" s="37">
        <v>200000.0</v>
      </c>
      <c r="I187" s="38"/>
      <c r="J187" s="20"/>
      <c r="K187" s="6"/>
      <c r="L187" s="6"/>
    </row>
    <row r="188">
      <c r="A188" s="36"/>
      <c r="B188" s="12"/>
      <c r="C188" s="12"/>
      <c r="D188" s="12"/>
      <c r="E188" s="11" t="s">
        <v>155</v>
      </c>
      <c r="F188" s="11" t="s">
        <v>158</v>
      </c>
      <c r="G188" s="11" t="s">
        <v>15</v>
      </c>
      <c r="H188" s="37">
        <v>200000.0</v>
      </c>
      <c r="I188" s="38"/>
      <c r="J188" s="20"/>
      <c r="K188" s="6"/>
      <c r="L188" s="6"/>
    </row>
    <row r="189">
      <c r="A189" s="36"/>
      <c r="B189" s="12"/>
      <c r="C189" s="12"/>
      <c r="D189" s="12"/>
      <c r="E189" s="11" t="s">
        <v>155</v>
      </c>
      <c r="F189" s="11" t="s">
        <v>159</v>
      </c>
      <c r="G189" s="11" t="s">
        <v>15</v>
      </c>
      <c r="H189" s="37">
        <v>200000.0</v>
      </c>
      <c r="I189" s="38"/>
      <c r="J189" s="20"/>
      <c r="K189" s="6"/>
      <c r="L189" s="6"/>
    </row>
    <row r="190">
      <c r="A190" s="36"/>
      <c r="B190" s="12"/>
      <c r="C190" s="12"/>
      <c r="D190" s="12"/>
      <c r="E190" s="11" t="s">
        <v>155</v>
      </c>
      <c r="F190" s="11" t="s">
        <v>160</v>
      </c>
      <c r="G190" s="11" t="s">
        <v>15</v>
      </c>
      <c r="H190" s="37">
        <v>400000.0</v>
      </c>
      <c r="I190" s="38"/>
      <c r="J190" s="20"/>
      <c r="K190" s="6"/>
      <c r="L190" s="6"/>
    </row>
    <row r="191">
      <c r="A191" s="36"/>
      <c r="B191" s="12"/>
      <c r="C191" s="12"/>
      <c r="D191" s="12"/>
      <c r="E191" s="11" t="s">
        <v>155</v>
      </c>
      <c r="F191" s="11" t="s">
        <v>161</v>
      </c>
      <c r="G191" s="11" t="s">
        <v>15</v>
      </c>
      <c r="H191" s="37">
        <v>400000.0</v>
      </c>
      <c r="I191" s="38"/>
      <c r="J191" s="20"/>
      <c r="K191" s="6"/>
      <c r="L191" s="6"/>
    </row>
    <row r="192">
      <c r="A192" s="36"/>
      <c r="B192" s="12"/>
      <c r="C192" s="12"/>
      <c r="D192" s="12"/>
      <c r="E192" s="11" t="s">
        <v>155</v>
      </c>
      <c r="F192" s="11" t="s">
        <v>162</v>
      </c>
      <c r="G192" s="11" t="s">
        <v>15</v>
      </c>
      <c r="H192" s="37">
        <v>400000.0</v>
      </c>
      <c r="I192" s="38"/>
      <c r="J192" s="20"/>
      <c r="K192" s="6"/>
      <c r="L192" s="6"/>
    </row>
    <row r="193">
      <c r="A193" s="36"/>
      <c r="B193" s="12"/>
      <c r="C193" s="12"/>
      <c r="D193" s="12"/>
      <c r="E193" s="11" t="s">
        <v>163</v>
      </c>
      <c r="F193" s="12"/>
      <c r="G193" s="11" t="s">
        <v>15</v>
      </c>
      <c r="H193" s="37">
        <v>680000.0</v>
      </c>
      <c r="I193" s="38"/>
      <c r="J193" s="20"/>
      <c r="K193" s="6"/>
      <c r="L193" s="6"/>
    </row>
    <row r="194">
      <c r="A194" s="36"/>
      <c r="B194" s="12"/>
      <c r="C194" s="12"/>
      <c r="D194" s="12"/>
      <c r="E194" s="57"/>
      <c r="F194" s="12"/>
      <c r="G194" s="12"/>
      <c r="H194" s="58"/>
      <c r="I194" s="38"/>
      <c r="J194" s="20"/>
      <c r="K194" s="6"/>
      <c r="L194" s="6"/>
    </row>
    <row r="195">
      <c r="A195" s="36"/>
      <c r="B195" s="12"/>
      <c r="C195" s="12"/>
      <c r="D195" s="12"/>
      <c r="E195" s="11" t="s">
        <v>164</v>
      </c>
      <c r="F195" s="57"/>
      <c r="G195" s="57"/>
      <c r="H195" s="58"/>
      <c r="I195" s="38"/>
      <c r="J195" s="20"/>
      <c r="K195" s="6"/>
      <c r="L195" s="6"/>
    </row>
    <row r="196">
      <c r="A196" s="36"/>
      <c r="B196" s="12"/>
      <c r="C196" s="12"/>
      <c r="D196" s="12"/>
      <c r="E196" s="11" t="s">
        <v>155</v>
      </c>
      <c r="F196" s="11" t="s">
        <v>36</v>
      </c>
      <c r="G196" s="11" t="s">
        <v>15</v>
      </c>
      <c r="H196" s="37">
        <v>120000.0</v>
      </c>
      <c r="I196" s="38"/>
      <c r="J196" s="20"/>
      <c r="K196" s="6"/>
      <c r="L196" s="6"/>
    </row>
    <row r="197">
      <c r="A197" s="36"/>
      <c r="B197" s="12"/>
      <c r="C197" s="12"/>
      <c r="D197" s="12"/>
      <c r="E197" s="11" t="s">
        <v>155</v>
      </c>
      <c r="F197" s="11" t="s">
        <v>34</v>
      </c>
      <c r="G197" s="11" t="s">
        <v>15</v>
      </c>
      <c r="H197" s="37">
        <v>120000.0</v>
      </c>
      <c r="I197" s="38"/>
      <c r="J197" s="20"/>
      <c r="K197" s="6"/>
      <c r="L197" s="6"/>
    </row>
    <row r="198">
      <c r="A198" s="36"/>
      <c r="B198" s="12"/>
      <c r="C198" s="12"/>
      <c r="D198" s="12"/>
      <c r="E198" s="11" t="s">
        <v>155</v>
      </c>
      <c r="F198" s="11" t="s">
        <v>165</v>
      </c>
      <c r="G198" s="11" t="s">
        <v>15</v>
      </c>
      <c r="H198" s="37">
        <v>170000.0</v>
      </c>
      <c r="I198" s="38"/>
      <c r="J198" s="20"/>
      <c r="K198" s="6"/>
      <c r="L198" s="6"/>
    </row>
    <row r="199">
      <c r="A199" s="36"/>
      <c r="B199" s="12"/>
      <c r="C199" s="12"/>
      <c r="D199" s="12"/>
      <c r="E199" s="11" t="s">
        <v>155</v>
      </c>
      <c r="F199" s="11" t="s">
        <v>40</v>
      </c>
      <c r="G199" s="11" t="s">
        <v>15</v>
      </c>
      <c r="H199" s="37">
        <v>300000.0</v>
      </c>
      <c r="I199" s="38"/>
      <c r="J199" s="20"/>
      <c r="K199" s="6"/>
      <c r="L199" s="6"/>
    </row>
    <row r="200">
      <c r="A200" s="36"/>
      <c r="B200" s="12"/>
      <c r="C200" s="12"/>
      <c r="D200" s="57"/>
      <c r="E200" s="11" t="s">
        <v>166</v>
      </c>
      <c r="F200" s="12"/>
      <c r="G200" s="11" t="s">
        <v>15</v>
      </c>
      <c r="H200" s="37">
        <v>300000.0</v>
      </c>
      <c r="I200" s="38"/>
      <c r="J200" s="20"/>
      <c r="K200" s="6"/>
      <c r="L200" s="6"/>
    </row>
    <row r="201">
      <c r="A201" s="36"/>
      <c r="B201" s="12"/>
      <c r="C201" s="12"/>
      <c r="D201" s="12"/>
      <c r="E201" s="57"/>
      <c r="F201" s="12"/>
      <c r="G201" s="57"/>
      <c r="H201" s="58"/>
      <c r="I201" s="38"/>
      <c r="J201" s="20"/>
      <c r="K201" s="6"/>
      <c r="L201" s="6"/>
    </row>
    <row r="202">
      <c r="A202" s="36"/>
      <c r="B202" s="12"/>
      <c r="C202" s="12"/>
      <c r="D202" s="11" t="s">
        <v>169</v>
      </c>
      <c r="E202" s="11" t="s">
        <v>170</v>
      </c>
      <c r="F202" s="12"/>
      <c r="G202" s="57"/>
      <c r="H202" s="58"/>
      <c r="I202" s="38"/>
      <c r="J202" s="20"/>
      <c r="K202" s="6"/>
      <c r="L202" s="6"/>
    </row>
    <row r="203">
      <c r="A203" s="36"/>
      <c r="B203" s="12"/>
      <c r="C203" s="12"/>
      <c r="D203" s="12"/>
      <c r="E203" s="11" t="s">
        <v>152</v>
      </c>
      <c r="F203" s="12"/>
      <c r="G203" s="11" t="s">
        <v>15</v>
      </c>
      <c r="H203" s="37">
        <v>100000.0</v>
      </c>
      <c r="I203" s="38"/>
      <c r="J203" s="20"/>
      <c r="K203" s="6"/>
      <c r="L203" s="6"/>
    </row>
    <row r="204">
      <c r="A204" s="36"/>
      <c r="B204" s="12"/>
      <c r="C204" s="12"/>
      <c r="D204" s="12"/>
      <c r="E204" s="11" t="s">
        <v>138</v>
      </c>
      <c r="F204" s="12"/>
      <c r="G204" s="11" t="s">
        <v>15</v>
      </c>
      <c r="H204" s="37">
        <v>100000.0</v>
      </c>
      <c r="I204" s="38"/>
      <c r="J204" s="20"/>
      <c r="K204" s="6"/>
      <c r="L204" s="6"/>
    </row>
    <row r="205">
      <c r="A205" s="36"/>
      <c r="B205" s="12"/>
      <c r="C205" s="12"/>
      <c r="D205" s="12"/>
      <c r="E205" s="11" t="s">
        <v>171</v>
      </c>
      <c r="F205" s="57"/>
      <c r="G205" s="11" t="s">
        <v>15</v>
      </c>
      <c r="H205" s="37">
        <v>30000.0</v>
      </c>
      <c r="I205" s="38"/>
      <c r="J205" s="20"/>
      <c r="K205" s="6"/>
      <c r="L205" s="6"/>
    </row>
    <row r="206">
      <c r="A206" s="36"/>
      <c r="B206" s="12"/>
      <c r="C206" s="12"/>
      <c r="D206" s="12"/>
      <c r="E206" s="11" t="s">
        <v>154</v>
      </c>
      <c r="F206" s="57"/>
      <c r="G206" s="57"/>
      <c r="H206" s="58"/>
      <c r="I206" s="38"/>
      <c r="J206" s="20"/>
      <c r="K206" s="6"/>
      <c r="L206" s="6"/>
    </row>
    <row r="207">
      <c r="A207" s="36"/>
      <c r="B207" s="12"/>
      <c r="C207" s="12"/>
      <c r="D207" s="11"/>
      <c r="E207" s="11" t="s">
        <v>155</v>
      </c>
      <c r="F207" s="11" t="s">
        <v>156</v>
      </c>
      <c r="G207" s="11" t="s">
        <v>15</v>
      </c>
      <c r="H207" s="37">
        <v>200000.0</v>
      </c>
      <c r="I207" s="38"/>
      <c r="J207" s="11" t="s">
        <v>287</v>
      </c>
      <c r="K207" s="6"/>
      <c r="L207" s="6"/>
    </row>
    <row r="208">
      <c r="A208" s="36"/>
      <c r="B208" s="12"/>
      <c r="C208" s="12"/>
      <c r="D208" s="12"/>
      <c r="E208" s="11" t="s">
        <v>155</v>
      </c>
      <c r="F208" s="11" t="s">
        <v>157</v>
      </c>
      <c r="G208" s="11" t="s">
        <v>15</v>
      </c>
      <c r="H208" s="37">
        <v>200000.0</v>
      </c>
      <c r="I208" s="38"/>
      <c r="J208" s="20"/>
      <c r="K208" s="6"/>
      <c r="L208" s="6"/>
    </row>
    <row r="209">
      <c r="A209" s="36"/>
      <c r="B209" s="12"/>
      <c r="C209" s="12"/>
      <c r="D209" s="12"/>
      <c r="E209" s="11" t="s">
        <v>155</v>
      </c>
      <c r="F209" s="11" t="s">
        <v>158</v>
      </c>
      <c r="G209" s="11" t="s">
        <v>15</v>
      </c>
      <c r="H209" s="37">
        <v>200000.0</v>
      </c>
      <c r="I209" s="38"/>
      <c r="J209" s="20"/>
      <c r="K209" s="6"/>
      <c r="L209" s="6"/>
    </row>
    <row r="210">
      <c r="A210" s="36"/>
      <c r="B210" s="12"/>
      <c r="C210" s="12"/>
      <c r="D210" s="12"/>
      <c r="E210" s="11" t="s">
        <v>155</v>
      </c>
      <c r="F210" s="11" t="s">
        <v>159</v>
      </c>
      <c r="G210" s="11" t="s">
        <v>15</v>
      </c>
      <c r="H210" s="37">
        <v>200000.0</v>
      </c>
      <c r="I210" s="38"/>
      <c r="J210" s="20"/>
      <c r="K210" s="6"/>
      <c r="L210" s="6"/>
    </row>
    <row r="211">
      <c r="A211" s="36"/>
      <c r="B211" s="12"/>
      <c r="C211" s="12"/>
      <c r="D211" s="12"/>
      <c r="E211" s="11" t="s">
        <v>155</v>
      </c>
      <c r="F211" s="11" t="s">
        <v>160</v>
      </c>
      <c r="G211" s="11" t="s">
        <v>15</v>
      </c>
      <c r="H211" s="37">
        <v>400000.0</v>
      </c>
      <c r="I211" s="38"/>
      <c r="J211" s="20"/>
      <c r="K211" s="6"/>
      <c r="L211" s="6"/>
    </row>
    <row r="212">
      <c r="A212" s="36"/>
      <c r="B212" s="12"/>
      <c r="C212" s="12"/>
      <c r="D212" s="12"/>
      <c r="E212" s="11" t="s">
        <v>155</v>
      </c>
      <c r="F212" s="11" t="s">
        <v>161</v>
      </c>
      <c r="G212" s="11" t="s">
        <v>15</v>
      </c>
      <c r="H212" s="37">
        <v>400000.0</v>
      </c>
      <c r="I212" s="38"/>
      <c r="J212" s="20"/>
      <c r="K212" s="6"/>
      <c r="L212" s="6"/>
    </row>
    <row r="213">
      <c r="A213" s="36"/>
      <c r="B213" s="12"/>
      <c r="C213" s="12"/>
      <c r="D213" s="12"/>
      <c r="E213" s="11" t="s">
        <v>155</v>
      </c>
      <c r="F213" s="11" t="s">
        <v>162</v>
      </c>
      <c r="G213" s="11" t="s">
        <v>15</v>
      </c>
      <c r="H213" s="37">
        <v>400000.0</v>
      </c>
      <c r="I213" s="38"/>
      <c r="J213" s="20"/>
      <c r="K213" s="6"/>
      <c r="L213" s="6"/>
    </row>
    <row r="214">
      <c r="A214" s="36"/>
      <c r="B214" s="12"/>
      <c r="C214" s="12"/>
      <c r="D214" s="12"/>
      <c r="E214" s="11" t="s">
        <v>163</v>
      </c>
      <c r="F214" s="12"/>
      <c r="G214" s="11" t="s">
        <v>15</v>
      </c>
      <c r="H214" s="37">
        <v>680000.0</v>
      </c>
      <c r="I214" s="38"/>
      <c r="J214" s="20"/>
      <c r="K214" s="6"/>
      <c r="L214" s="6"/>
    </row>
    <row r="215">
      <c r="A215" s="36"/>
      <c r="B215" s="12"/>
      <c r="C215" s="12"/>
      <c r="D215" s="12"/>
      <c r="E215" s="57"/>
      <c r="F215" s="57"/>
      <c r="G215" s="57"/>
      <c r="H215" s="58"/>
      <c r="I215" s="38"/>
      <c r="J215" s="20"/>
      <c r="K215" s="6"/>
      <c r="L215" s="6"/>
    </row>
    <row r="216">
      <c r="A216" s="36"/>
      <c r="B216" s="12"/>
      <c r="C216" s="12"/>
      <c r="D216" s="12"/>
      <c r="E216" s="11" t="s">
        <v>164</v>
      </c>
      <c r="F216" s="57"/>
      <c r="G216" s="57"/>
      <c r="H216" s="58"/>
      <c r="I216" s="38"/>
      <c r="J216" s="20"/>
      <c r="K216" s="6"/>
      <c r="L216" s="6"/>
    </row>
    <row r="217">
      <c r="A217" s="36"/>
      <c r="B217" s="12"/>
      <c r="C217" s="12"/>
      <c r="D217" s="12"/>
      <c r="E217" s="11" t="s">
        <v>155</v>
      </c>
      <c r="F217" s="11" t="s">
        <v>36</v>
      </c>
      <c r="G217" s="11" t="s">
        <v>15</v>
      </c>
      <c r="H217" s="37">
        <v>120000.0</v>
      </c>
      <c r="I217" s="38"/>
      <c r="J217" s="20"/>
      <c r="K217" s="6"/>
      <c r="L217" s="6"/>
    </row>
    <row r="218">
      <c r="A218" s="36"/>
      <c r="B218" s="12"/>
      <c r="C218" s="12"/>
      <c r="D218" s="12"/>
      <c r="E218" s="11" t="s">
        <v>155</v>
      </c>
      <c r="F218" s="11" t="s">
        <v>34</v>
      </c>
      <c r="G218" s="11" t="s">
        <v>15</v>
      </c>
      <c r="H218" s="37">
        <v>120000.0</v>
      </c>
      <c r="I218" s="38"/>
      <c r="J218" s="20"/>
      <c r="K218" s="6"/>
      <c r="L218" s="6"/>
    </row>
    <row r="219">
      <c r="A219" s="36"/>
      <c r="B219" s="12"/>
      <c r="C219" s="12"/>
      <c r="D219" s="12"/>
      <c r="E219" s="11" t="s">
        <v>155</v>
      </c>
      <c r="F219" s="11" t="s">
        <v>165</v>
      </c>
      <c r="G219" s="11" t="s">
        <v>15</v>
      </c>
      <c r="H219" s="37">
        <v>170000.0</v>
      </c>
      <c r="I219" s="38"/>
      <c r="J219" s="20"/>
      <c r="K219" s="6"/>
      <c r="L219" s="6"/>
    </row>
    <row r="220">
      <c r="A220" s="36"/>
      <c r="B220" s="12"/>
      <c r="C220" s="12"/>
      <c r="D220" s="57"/>
      <c r="E220" s="11" t="s">
        <v>155</v>
      </c>
      <c r="F220" s="11" t="s">
        <v>40</v>
      </c>
      <c r="G220" s="11" t="s">
        <v>15</v>
      </c>
      <c r="H220" s="37">
        <v>300000.0</v>
      </c>
      <c r="I220" s="38"/>
      <c r="J220" s="20"/>
      <c r="K220" s="6"/>
      <c r="L220" s="6"/>
    </row>
    <row r="221">
      <c r="A221" s="36"/>
      <c r="B221" s="12"/>
      <c r="C221" s="12"/>
      <c r="D221" s="12"/>
      <c r="E221" s="11" t="s">
        <v>166</v>
      </c>
      <c r="F221" s="12"/>
      <c r="G221" s="11" t="s">
        <v>15</v>
      </c>
      <c r="H221" s="37">
        <v>300000.0</v>
      </c>
      <c r="I221" s="38"/>
      <c r="J221" s="20"/>
      <c r="K221" s="6"/>
      <c r="L221" s="6"/>
    </row>
    <row r="222">
      <c r="A222" s="36"/>
      <c r="B222" s="12"/>
      <c r="C222" s="12"/>
      <c r="D222" s="11" t="s">
        <v>172</v>
      </c>
      <c r="E222" s="11" t="s">
        <v>173</v>
      </c>
      <c r="F222" s="12"/>
      <c r="G222" s="57"/>
      <c r="H222" s="58"/>
      <c r="I222" s="38"/>
      <c r="J222" s="20"/>
      <c r="K222" s="6"/>
      <c r="L222" s="6"/>
    </row>
    <row r="223">
      <c r="A223" s="36"/>
      <c r="B223" s="12"/>
      <c r="C223" s="12"/>
      <c r="D223" s="12"/>
      <c r="E223" s="11" t="s">
        <v>152</v>
      </c>
      <c r="F223" s="12"/>
      <c r="G223" s="11" t="s">
        <v>15</v>
      </c>
      <c r="H223" s="37">
        <v>100000.0</v>
      </c>
      <c r="I223" s="38"/>
      <c r="J223" s="20"/>
      <c r="K223" s="6"/>
      <c r="L223" s="6"/>
    </row>
    <row r="224">
      <c r="A224" s="36"/>
      <c r="B224" s="12"/>
      <c r="C224" s="12"/>
      <c r="D224" s="12"/>
      <c r="E224" s="11" t="s">
        <v>138</v>
      </c>
      <c r="F224" s="12"/>
      <c r="G224" s="11" t="s">
        <v>15</v>
      </c>
      <c r="H224" s="37">
        <v>100000.0</v>
      </c>
      <c r="I224" s="38"/>
      <c r="J224" s="20"/>
      <c r="K224" s="6"/>
      <c r="L224" s="6"/>
    </row>
    <row r="225">
      <c r="A225" s="36"/>
      <c r="B225" s="12"/>
      <c r="C225" s="12"/>
      <c r="D225" s="12"/>
      <c r="E225" s="11" t="s">
        <v>174</v>
      </c>
      <c r="F225" s="12"/>
      <c r="G225" s="11" t="s">
        <v>15</v>
      </c>
      <c r="H225" s="37">
        <v>30000.0</v>
      </c>
      <c r="I225" s="38"/>
      <c r="J225" s="20"/>
      <c r="K225" s="6"/>
      <c r="L225" s="6"/>
    </row>
    <row r="226">
      <c r="A226" s="36"/>
      <c r="B226" s="12"/>
      <c r="C226" s="12"/>
      <c r="D226" s="12"/>
      <c r="E226" s="11" t="s">
        <v>171</v>
      </c>
      <c r="F226" s="57"/>
      <c r="G226" s="11" t="s">
        <v>15</v>
      </c>
      <c r="H226" s="37">
        <v>30000.0</v>
      </c>
      <c r="I226" s="38"/>
      <c r="J226" s="20"/>
      <c r="K226" s="6"/>
      <c r="L226" s="6"/>
    </row>
    <row r="227">
      <c r="A227" s="36"/>
      <c r="B227" s="12"/>
      <c r="C227" s="12"/>
      <c r="D227" s="12"/>
      <c r="E227" s="11" t="s">
        <v>154</v>
      </c>
      <c r="F227" s="57"/>
      <c r="G227" s="57"/>
      <c r="H227" s="58"/>
      <c r="I227" s="38"/>
      <c r="J227" s="20"/>
      <c r="K227" s="6"/>
      <c r="L227" s="6"/>
    </row>
    <row r="228">
      <c r="A228" s="36"/>
      <c r="B228" s="12"/>
      <c r="C228" s="12"/>
      <c r="D228" s="12"/>
      <c r="E228" s="11" t="s">
        <v>155</v>
      </c>
      <c r="F228" s="11" t="s">
        <v>156</v>
      </c>
      <c r="G228" s="11" t="s">
        <v>15</v>
      </c>
      <c r="H228" s="37">
        <v>200000.0</v>
      </c>
      <c r="I228" s="38"/>
      <c r="J228" s="11" t="s">
        <v>287</v>
      </c>
      <c r="K228" s="6"/>
      <c r="L228" s="6"/>
    </row>
    <row r="229">
      <c r="A229" s="36"/>
      <c r="B229" s="12"/>
      <c r="C229" s="12"/>
      <c r="D229" s="12"/>
      <c r="E229" s="11" t="s">
        <v>155</v>
      </c>
      <c r="F229" s="11" t="s">
        <v>157</v>
      </c>
      <c r="G229" s="11" t="s">
        <v>15</v>
      </c>
      <c r="H229" s="37">
        <v>200000.0</v>
      </c>
      <c r="I229" s="38"/>
      <c r="J229" s="20"/>
      <c r="K229" s="6"/>
      <c r="L229" s="6"/>
    </row>
    <row r="230">
      <c r="A230" s="36"/>
      <c r="B230" s="12"/>
      <c r="C230" s="12"/>
      <c r="D230" s="12"/>
      <c r="E230" s="11" t="s">
        <v>155</v>
      </c>
      <c r="F230" s="11" t="s">
        <v>158</v>
      </c>
      <c r="G230" s="11" t="s">
        <v>15</v>
      </c>
      <c r="H230" s="37">
        <v>200000.0</v>
      </c>
      <c r="I230" s="38"/>
      <c r="J230" s="20"/>
      <c r="K230" s="6"/>
      <c r="L230" s="6"/>
    </row>
    <row r="231">
      <c r="A231" s="36"/>
      <c r="B231" s="12"/>
      <c r="C231" s="12"/>
      <c r="D231" s="12"/>
      <c r="E231" s="11" t="s">
        <v>155</v>
      </c>
      <c r="F231" s="11" t="s">
        <v>159</v>
      </c>
      <c r="G231" s="11" t="s">
        <v>15</v>
      </c>
      <c r="H231" s="37">
        <v>200000.0</v>
      </c>
      <c r="I231" s="38"/>
      <c r="J231" s="20"/>
      <c r="K231" s="6"/>
      <c r="L231" s="6"/>
    </row>
    <row r="232">
      <c r="A232" s="36"/>
      <c r="B232" s="12"/>
      <c r="C232" s="12"/>
      <c r="D232" s="12"/>
      <c r="E232" s="11" t="s">
        <v>155</v>
      </c>
      <c r="F232" s="11" t="s">
        <v>160</v>
      </c>
      <c r="G232" s="11" t="s">
        <v>15</v>
      </c>
      <c r="H232" s="37">
        <v>400000.0</v>
      </c>
      <c r="I232" s="38"/>
      <c r="J232" s="20"/>
      <c r="K232" s="6"/>
      <c r="L232" s="6"/>
    </row>
    <row r="233">
      <c r="A233" s="36"/>
      <c r="B233" s="12"/>
      <c r="C233" s="12"/>
      <c r="D233" s="12"/>
      <c r="E233" s="11" t="s">
        <v>155</v>
      </c>
      <c r="F233" s="11" t="s">
        <v>161</v>
      </c>
      <c r="G233" s="11" t="s">
        <v>15</v>
      </c>
      <c r="H233" s="37">
        <v>400000.0</v>
      </c>
      <c r="I233" s="38"/>
      <c r="J233" s="20"/>
      <c r="K233" s="6"/>
      <c r="L233" s="6"/>
    </row>
    <row r="234">
      <c r="A234" s="36"/>
      <c r="B234" s="12"/>
      <c r="C234" s="12"/>
      <c r="D234" s="12"/>
      <c r="E234" s="11" t="s">
        <v>155</v>
      </c>
      <c r="F234" s="11" t="s">
        <v>162</v>
      </c>
      <c r="G234" s="11" t="s">
        <v>15</v>
      </c>
      <c r="H234" s="37">
        <v>400000.0</v>
      </c>
      <c r="I234" s="38"/>
      <c r="J234" s="20"/>
      <c r="K234" s="6"/>
      <c r="L234" s="6"/>
    </row>
    <row r="235">
      <c r="A235" s="36"/>
      <c r="B235" s="12"/>
      <c r="C235" s="12"/>
      <c r="D235" s="12"/>
      <c r="E235" s="11" t="s">
        <v>163</v>
      </c>
      <c r="F235" s="12"/>
      <c r="G235" s="11" t="s">
        <v>15</v>
      </c>
      <c r="H235" s="37">
        <v>680000.0</v>
      </c>
      <c r="I235" s="38"/>
      <c r="J235" s="20"/>
      <c r="K235" s="6"/>
      <c r="L235" s="6"/>
    </row>
    <row r="236">
      <c r="A236" s="36"/>
      <c r="B236" s="12"/>
      <c r="C236" s="12"/>
      <c r="D236" s="12"/>
      <c r="E236" s="57"/>
      <c r="F236" s="57"/>
      <c r="G236" s="57"/>
      <c r="H236" s="58"/>
      <c r="I236" s="38"/>
      <c r="J236" s="20"/>
      <c r="K236" s="6"/>
      <c r="L236" s="6"/>
    </row>
    <row r="237">
      <c r="A237" s="36"/>
      <c r="B237" s="12"/>
      <c r="C237" s="12"/>
      <c r="D237" s="12"/>
      <c r="E237" s="11" t="s">
        <v>164</v>
      </c>
      <c r="F237" s="57"/>
      <c r="G237" s="57"/>
      <c r="H237" s="58"/>
      <c r="I237" s="38"/>
      <c r="J237" s="20"/>
      <c r="K237" s="6"/>
      <c r="L237" s="6"/>
    </row>
    <row r="238">
      <c r="A238" s="36"/>
      <c r="B238" s="12"/>
      <c r="C238" s="12"/>
      <c r="D238" s="12"/>
      <c r="E238" s="11" t="s">
        <v>155</v>
      </c>
      <c r="F238" s="11" t="s">
        <v>36</v>
      </c>
      <c r="G238" s="11" t="s">
        <v>15</v>
      </c>
      <c r="H238" s="37">
        <v>120000.0</v>
      </c>
      <c r="I238" s="38"/>
      <c r="J238" s="20"/>
      <c r="K238" s="6"/>
      <c r="L238" s="6"/>
    </row>
    <row r="239">
      <c r="A239" s="36"/>
      <c r="B239" s="12"/>
      <c r="C239" s="12"/>
      <c r="D239" s="12"/>
      <c r="E239" s="11" t="s">
        <v>155</v>
      </c>
      <c r="F239" s="11" t="s">
        <v>34</v>
      </c>
      <c r="G239" s="11" t="s">
        <v>15</v>
      </c>
      <c r="H239" s="37">
        <v>120000.0</v>
      </c>
      <c r="I239" s="38"/>
      <c r="J239" s="20"/>
      <c r="K239" s="6"/>
      <c r="L239" s="6"/>
    </row>
    <row r="240">
      <c r="A240" s="36"/>
      <c r="B240" s="12"/>
      <c r="C240" s="12"/>
      <c r="D240" s="12"/>
      <c r="E240" s="11" t="s">
        <v>155</v>
      </c>
      <c r="F240" s="11" t="s">
        <v>165</v>
      </c>
      <c r="G240" s="11" t="s">
        <v>15</v>
      </c>
      <c r="H240" s="37">
        <v>170000.0</v>
      </c>
      <c r="I240" s="38"/>
      <c r="J240" s="20"/>
      <c r="K240" s="6"/>
      <c r="L240" s="6"/>
    </row>
    <row r="241">
      <c r="A241" s="36"/>
      <c r="B241" s="12"/>
      <c r="C241" s="12"/>
      <c r="D241" s="12"/>
      <c r="E241" s="11" t="s">
        <v>155</v>
      </c>
      <c r="F241" s="11" t="s">
        <v>40</v>
      </c>
      <c r="G241" s="11" t="s">
        <v>15</v>
      </c>
      <c r="H241" s="37">
        <v>300000.0</v>
      </c>
      <c r="I241" s="38"/>
      <c r="J241" s="20"/>
      <c r="K241" s="6"/>
      <c r="L241" s="6"/>
    </row>
    <row r="242">
      <c r="A242" s="36"/>
      <c r="B242" s="12"/>
      <c r="C242" s="12"/>
      <c r="D242" s="12"/>
      <c r="E242" s="11" t="s">
        <v>175</v>
      </c>
      <c r="F242" s="12"/>
      <c r="G242" s="11" t="s">
        <v>15</v>
      </c>
      <c r="H242" s="37">
        <v>300000.0</v>
      </c>
      <c r="I242" s="38"/>
      <c r="J242" s="20"/>
      <c r="K242" s="6"/>
      <c r="L242" s="6"/>
    </row>
    <row r="243">
      <c r="A243" s="36"/>
      <c r="B243" s="12"/>
      <c r="C243" s="57"/>
      <c r="D243" s="57"/>
      <c r="E243" s="11" t="s">
        <v>166</v>
      </c>
      <c r="F243" s="12"/>
      <c r="G243" s="11" t="s">
        <v>15</v>
      </c>
      <c r="H243" s="37">
        <v>300000.0</v>
      </c>
      <c r="I243" s="38"/>
      <c r="J243" s="20"/>
      <c r="K243" s="6"/>
      <c r="L243" s="6"/>
    </row>
    <row r="244">
      <c r="A244" s="36"/>
      <c r="B244" s="12"/>
      <c r="C244" s="12"/>
      <c r="D244" s="57"/>
      <c r="E244" s="57"/>
      <c r="F244" s="12"/>
      <c r="G244" s="12"/>
      <c r="H244" s="58"/>
      <c r="I244" s="38"/>
      <c r="J244" s="20"/>
      <c r="K244" s="6"/>
      <c r="L244" s="6"/>
    </row>
    <row r="245">
      <c r="A245" s="36"/>
      <c r="B245" s="12"/>
      <c r="C245" s="14">
        <v>2.0</v>
      </c>
      <c r="D245" s="11" t="s">
        <v>176</v>
      </c>
      <c r="E245" s="57"/>
      <c r="F245" s="12"/>
      <c r="G245" s="57"/>
      <c r="H245" s="58"/>
      <c r="I245" s="38"/>
      <c r="J245" s="20"/>
      <c r="K245" s="6"/>
      <c r="L245" s="6"/>
    </row>
    <row r="246">
      <c r="A246" s="36"/>
      <c r="B246" s="12"/>
      <c r="C246" s="12"/>
      <c r="D246" s="11" t="s">
        <v>150</v>
      </c>
      <c r="E246" s="11" t="s">
        <v>177</v>
      </c>
      <c r="F246" s="12"/>
      <c r="G246" s="57"/>
      <c r="H246" s="58"/>
      <c r="I246" s="38"/>
      <c r="J246" s="20"/>
      <c r="K246" s="6"/>
      <c r="L246" s="6"/>
    </row>
    <row r="247">
      <c r="A247" s="36"/>
      <c r="B247" s="12"/>
      <c r="C247" s="12"/>
      <c r="D247" s="12"/>
      <c r="E247" s="11" t="s">
        <v>178</v>
      </c>
      <c r="F247" s="12"/>
      <c r="G247" s="11" t="s">
        <v>15</v>
      </c>
      <c r="H247" s="37">
        <v>100000.0</v>
      </c>
      <c r="I247" s="38"/>
      <c r="J247" s="20"/>
      <c r="K247" s="6"/>
      <c r="L247" s="6"/>
    </row>
    <row r="248">
      <c r="A248" s="36"/>
      <c r="B248" s="12"/>
      <c r="C248" s="12"/>
      <c r="D248" s="12"/>
      <c r="E248" s="11" t="s">
        <v>179</v>
      </c>
      <c r="F248" s="57"/>
      <c r="G248" s="11" t="s">
        <v>15</v>
      </c>
      <c r="H248" s="37">
        <v>30000.0</v>
      </c>
      <c r="I248" s="38"/>
      <c r="J248" s="20"/>
      <c r="K248" s="6"/>
      <c r="L248" s="6"/>
    </row>
    <row r="249">
      <c r="A249" s="36"/>
      <c r="B249" s="12"/>
      <c r="C249" s="12"/>
      <c r="D249" s="12"/>
      <c r="E249" s="11" t="s">
        <v>154</v>
      </c>
      <c r="F249" s="57"/>
      <c r="G249" s="57"/>
      <c r="H249" s="58"/>
      <c r="I249" s="38"/>
      <c r="J249" s="20"/>
      <c r="K249" s="6"/>
      <c r="L249" s="6"/>
    </row>
    <row r="250">
      <c r="A250" s="36"/>
      <c r="B250" s="12"/>
      <c r="C250" s="12"/>
      <c r="D250" s="12"/>
      <c r="E250" s="11" t="s">
        <v>155</v>
      </c>
      <c r="F250" s="11" t="s">
        <v>156</v>
      </c>
      <c r="G250" s="11" t="s">
        <v>15</v>
      </c>
      <c r="H250" s="37">
        <v>200000.0</v>
      </c>
      <c r="I250" s="38"/>
      <c r="J250" s="20"/>
      <c r="K250" s="6"/>
      <c r="L250" s="6"/>
    </row>
    <row r="251">
      <c r="A251" s="36"/>
      <c r="B251" s="12"/>
      <c r="C251" s="12"/>
      <c r="D251" s="12"/>
      <c r="E251" s="11" t="s">
        <v>155</v>
      </c>
      <c r="F251" s="11" t="s">
        <v>157</v>
      </c>
      <c r="G251" s="11" t="s">
        <v>15</v>
      </c>
      <c r="H251" s="37">
        <v>200000.0</v>
      </c>
      <c r="I251" s="38"/>
      <c r="J251" s="20"/>
      <c r="K251" s="6"/>
      <c r="L251" s="6"/>
    </row>
    <row r="252">
      <c r="A252" s="36"/>
      <c r="B252" s="12"/>
      <c r="C252" s="12"/>
      <c r="D252" s="12"/>
      <c r="E252" s="11" t="s">
        <v>155</v>
      </c>
      <c r="F252" s="11" t="s">
        <v>117</v>
      </c>
      <c r="G252" s="11" t="s">
        <v>15</v>
      </c>
      <c r="H252" s="37">
        <v>400000.0</v>
      </c>
      <c r="I252" s="38"/>
      <c r="J252" s="20"/>
      <c r="K252" s="6"/>
      <c r="L252" s="6"/>
    </row>
    <row r="253">
      <c r="A253" s="36"/>
      <c r="B253" s="12"/>
      <c r="C253" s="12"/>
      <c r="D253" s="12"/>
      <c r="E253" s="11" t="s">
        <v>155</v>
      </c>
      <c r="F253" s="11" t="s">
        <v>180</v>
      </c>
      <c r="G253" s="11" t="s">
        <v>15</v>
      </c>
      <c r="H253" s="37">
        <v>400000.0</v>
      </c>
      <c r="I253" s="38"/>
      <c r="J253" s="20"/>
      <c r="K253" s="6"/>
      <c r="L253" s="6"/>
    </row>
    <row r="254">
      <c r="A254" s="36"/>
      <c r="B254" s="12"/>
      <c r="C254" s="12"/>
      <c r="D254" s="12"/>
      <c r="E254" s="11" t="s">
        <v>166</v>
      </c>
      <c r="F254" s="12"/>
      <c r="G254" s="11" t="s">
        <v>15</v>
      </c>
      <c r="H254" s="37">
        <v>300000.0</v>
      </c>
      <c r="I254" s="38"/>
      <c r="J254" s="20"/>
      <c r="K254" s="6"/>
      <c r="L254" s="6"/>
    </row>
    <row r="255">
      <c r="A255" s="36"/>
      <c r="B255" s="12"/>
      <c r="C255" s="12"/>
      <c r="D255" s="57"/>
      <c r="E255" s="11" t="s">
        <v>175</v>
      </c>
      <c r="F255" s="12"/>
      <c r="G255" s="11" t="s">
        <v>15</v>
      </c>
      <c r="H255" s="37">
        <v>300000.0</v>
      </c>
      <c r="I255" s="38"/>
      <c r="J255" s="20"/>
      <c r="K255" s="6"/>
      <c r="L255" s="6"/>
    </row>
    <row r="256">
      <c r="A256" s="36"/>
      <c r="B256" s="12"/>
      <c r="C256" s="12"/>
      <c r="D256" s="12"/>
      <c r="E256" s="57"/>
      <c r="F256" s="12"/>
      <c r="G256" s="57"/>
      <c r="H256" s="58"/>
      <c r="I256" s="38"/>
      <c r="J256" s="20"/>
      <c r="K256" s="6"/>
      <c r="L256" s="6"/>
    </row>
    <row r="257">
      <c r="A257" s="36"/>
      <c r="B257" s="12"/>
      <c r="C257" s="12"/>
      <c r="D257" s="11" t="s">
        <v>167</v>
      </c>
      <c r="E257" s="11" t="s">
        <v>181</v>
      </c>
      <c r="F257" s="12"/>
      <c r="G257" s="12"/>
      <c r="H257" s="58"/>
      <c r="I257" s="38"/>
      <c r="J257" s="20"/>
      <c r="K257" s="6"/>
      <c r="L257" s="6"/>
    </row>
    <row r="258">
      <c r="A258" s="36"/>
      <c r="B258" s="12"/>
      <c r="C258" s="12"/>
      <c r="D258" s="12"/>
      <c r="E258" s="11" t="s">
        <v>178</v>
      </c>
      <c r="F258" s="57"/>
      <c r="G258" s="11" t="s">
        <v>15</v>
      </c>
      <c r="H258" s="37">
        <v>100000.0</v>
      </c>
      <c r="I258" s="38"/>
      <c r="J258" s="20"/>
      <c r="K258" s="6"/>
      <c r="L258" s="6"/>
    </row>
    <row r="259">
      <c r="A259" s="36"/>
      <c r="B259" s="12"/>
      <c r="C259" s="12"/>
      <c r="D259" s="12"/>
      <c r="E259" s="11" t="s">
        <v>154</v>
      </c>
      <c r="F259" s="57"/>
      <c r="G259" s="57"/>
      <c r="H259" s="58"/>
      <c r="I259" s="38"/>
      <c r="J259" s="20"/>
      <c r="K259" s="6"/>
      <c r="L259" s="6"/>
    </row>
    <row r="260">
      <c r="A260" s="36"/>
      <c r="B260" s="12"/>
      <c r="C260" s="12"/>
      <c r="D260" s="12"/>
      <c r="E260" s="11" t="s">
        <v>155</v>
      </c>
      <c r="F260" s="11" t="s">
        <v>156</v>
      </c>
      <c r="G260" s="11" t="s">
        <v>15</v>
      </c>
      <c r="H260" s="37">
        <v>200000.0</v>
      </c>
      <c r="I260" s="38"/>
      <c r="J260" s="11" t="s">
        <v>287</v>
      </c>
      <c r="K260" s="6"/>
      <c r="L260" s="6"/>
    </row>
    <row r="261">
      <c r="A261" s="36"/>
      <c r="B261" s="12"/>
      <c r="C261" s="12"/>
      <c r="D261" s="12"/>
      <c r="E261" s="11" t="s">
        <v>155</v>
      </c>
      <c r="F261" s="11" t="s">
        <v>157</v>
      </c>
      <c r="G261" s="11" t="s">
        <v>15</v>
      </c>
      <c r="H261" s="37">
        <v>200000.0</v>
      </c>
      <c r="I261" s="38"/>
      <c r="J261" s="20"/>
      <c r="K261" s="6"/>
      <c r="L261" s="6"/>
    </row>
    <row r="262">
      <c r="A262" s="36"/>
      <c r="B262" s="12"/>
      <c r="C262" s="12"/>
      <c r="D262" s="12"/>
      <c r="E262" s="11" t="s">
        <v>155</v>
      </c>
      <c r="F262" s="11" t="s">
        <v>117</v>
      </c>
      <c r="G262" s="11" t="s">
        <v>15</v>
      </c>
      <c r="H262" s="37">
        <v>400000.0</v>
      </c>
      <c r="I262" s="38"/>
      <c r="J262" s="20"/>
      <c r="K262" s="6"/>
      <c r="L262" s="6"/>
    </row>
    <row r="263">
      <c r="A263" s="36"/>
      <c r="B263" s="12"/>
      <c r="C263" s="12"/>
      <c r="D263" s="12"/>
      <c r="E263" s="11" t="s">
        <v>155</v>
      </c>
      <c r="F263" s="11" t="s">
        <v>180</v>
      </c>
      <c r="G263" s="11" t="s">
        <v>15</v>
      </c>
      <c r="H263" s="37">
        <v>400000.0</v>
      </c>
      <c r="I263" s="38"/>
      <c r="J263" s="20"/>
      <c r="K263" s="6"/>
      <c r="L263" s="6"/>
    </row>
    <row r="264">
      <c r="A264" s="36"/>
      <c r="B264" s="12"/>
      <c r="C264" s="12"/>
      <c r="D264" s="12"/>
      <c r="E264" s="11" t="s">
        <v>166</v>
      </c>
      <c r="F264" s="12"/>
      <c r="G264" s="11" t="s">
        <v>15</v>
      </c>
      <c r="H264" s="37">
        <v>300000.0</v>
      </c>
      <c r="I264" s="38"/>
      <c r="J264" s="20"/>
      <c r="K264" s="6"/>
      <c r="L264" s="6"/>
    </row>
    <row r="265">
      <c r="A265" s="36"/>
      <c r="B265" s="12"/>
      <c r="C265" s="12"/>
      <c r="D265" s="57"/>
      <c r="E265" s="11" t="s">
        <v>175</v>
      </c>
      <c r="F265" s="12"/>
      <c r="G265" s="11" t="s">
        <v>15</v>
      </c>
      <c r="H265" s="37">
        <v>300000.0</v>
      </c>
      <c r="I265" s="38"/>
      <c r="J265" s="20"/>
      <c r="K265" s="6"/>
      <c r="L265" s="6"/>
    </row>
    <row r="266">
      <c r="A266" s="36"/>
      <c r="B266" s="12"/>
      <c r="C266" s="12"/>
      <c r="D266" s="12"/>
      <c r="E266" s="57"/>
      <c r="F266" s="12"/>
      <c r="G266" s="57"/>
      <c r="H266" s="58"/>
      <c r="I266" s="38"/>
      <c r="J266" s="20"/>
      <c r="K266" s="6"/>
      <c r="L266" s="6"/>
    </row>
    <row r="267">
      <c r="A267" s="36"/>
      <c r="B267" s="12"/>
      <c r="C267" s="12"/>
      <c r="D267" s="11" t="s">
        <v>169</v>
      </c>
      <c r="E267" s="11" t="s">
        <v>182</v>
      </c>
      <c r="F267" s="12"/>
      <c r="G267" s="57"/>
      <c r="H267" s="58"/>
      <c r="I267" s="38"/>
      <c r="J267" s="20"/>
      <c r="K267" s="6"/>
      <c r="L267" s="6"/>
    </row>
    <row r="268">
      <c r="A268" s="36"/>
      <c r="B268" s="12"/>
      <c r="C268" s="12"/>
      <c r="D268" s="12"/>
      <c r="E268" s="11" t="s">
        <v>178</v>
      </c>
      <c r="F268" s="12"/>
      <c r="G268" s="11" t="s">
        <v>15</v>
      </c>
      <c r="H268" s="37">
        <v>100000.0</v>
      </c>
      <c r="I268" s="38"/>
      <c r="J268" s="20"/>
      <c r="K268" s="6"/>
      <c r="L268" s="6"/>
    </row>
    <row r="269">
      <c r="A269" s="36"/>
      <c r="B269" s="12"/>
      <c r="C269" s="12"/>
      <c r="D269" s="12"/>
      <c r="E269" s="11" t="s">
        <v>138</v>
      </c>
      <c r="F269" s="12"/>
      <c r="G269" s="11" t="s">
        <v>15</v>
      </c>
      <c r="H269" s="37">
        <v>100000.0</v>
      </c>
      <c r="I269" s="38"/>
      <c r="J269" s="20"/>
      <c r="K269" s="6"/>
      <c r="L269" s="6"/>
    </row>
    <row r="270">
      <c r="A270" s="36"/>
      <c r="B270" s="12"/>
      <c r="C270" s="12"/>
      <c r="D270" s="12"/>
      <c r="E270" s="11" t="s">
        <v>174</v>
      </c>
      <c r="F270" s="12"/>
      <c r="G270" s="11" t="s">
        <v>15</v>
      </c>
      <c r="H270" s="37">
        <v>30000.0</v>
      </c>
      <c r="I270" s="38"/>
      <c r="J270" s="20"/>
      <c r="K270" s="6"/>
      <c r="L270" s="6"/>
    </row>
    <row r="271">
      <c r="A271" s="36"/>
      <c r="B271" s="12"/>
      <c r="C271" s="12"/>
      <c r="D271" s="12"/>
      <c r="E271" s="11" t="s">
        <v>171</v>
      </c>
      <c r="F271" s="57"/>
      <c r="G271" s="11" t="s">
        <v>15</v>
      </c>
      <c r="H271" s="37">
        <v>25000.0</v>
      </c>
      <c r="I271" s="38"/>
      <c r="J271" s="20"/>
      <c r="K271" s="6"/>
      <c r="L271" s="6"/>
    </row>
    <row r="272">
      <c r="A272" s="36"/>
      <c r="B272" s="12"/>
      <c r="C272" s="12"/>
      <c r="D272" s="12"/>
      <c r="E272" s="11" t="s">
        <v>154</v>
      </c>
      <c r="F272" s="57"/>
      <c r="G272" s="57"/>
      <c r="H272" s="58"/>
      <c r="I272" s="38"/>
      <c r="J272" s="20"/>
      <c r="K272" s="6"/>
      <c r="L272" s="6"/>
    </row>
    <row r="273">
      <c r="A273" s="36"/>
      <c r="B273" s="12"/>
      <c r="C273" s="12"/>
      <c r="D273" s="12"/>
      <c r="E273" s="11" t="s">
        <v>155</v>
      </c>
      <c r="F273" s="11" t="s">
        <v>156</v>
      </c>
      <c r="G273" s="11" t="s">
        <v>15</v>
      </c>
      <c r="H273" s="37">
        <v>200000.0</v>
      </c>
      <c r="I273" s="38"/>
      <c r="J273" s="11" t="s">
        <v>287</v>
      </c>
      <c r="K273" s="6"/>
      <c r="L273" s="6"/>
    </row>
    <row r="274">
      <c r="A274" s="36"/>
      <c r="B274" s="12"/>
      <c r="C274" s="12"/>
      <c r="D274" s="12"/>
      <c r="E274" s="11" t="s">
        <v>155</v>
      </c>
      <c r="F274" s="11" t="s">
        <v>157</v>
      </c>
      <c r="G274" s="11" t="s">
        <v>15</v>
      </c>
      <c r="H274" s="37">
        <v>200000.0</v>
      </c>
      <c r="I274" s="38"/>
      <c r="J274" s="20"/>
      <c r="K274" s="6"/>
      <c r="L274" s="6"/>
    </row>
    <row r="275">
      <c r="A275" s="36"/>
      <c r="B275" s="12"/>
      <c r="C275" s="12"/>
      <c r="D275" s="12"/>
      <c r="E275" s="11" t="s">
        <v>166</v>
      </c>
      <c r="F275" s="12"/>
      <c r="G275" s="11" t="s">
        <v>15</v>
      </c>
      <c r="H275" s="37">
        <v>300000.0</v>
      </c>
      <c r="I275" s="38"/>
      <c r="J275" s="20"/>
      <c r="K275" s="6"/>
      <c r="L275" s="6"/>
    </row>
    <row r="276">
      <c r="A276" s="59"/>
      <c r="B276" s="57"/>
      <c r="C276" s="12"/>
      <c r="D276" s="12"/>
      <c r="E276" s="11" t="s">
        <v>175</v>
      </c>
      <c r="F276" s="12"/>
      <c r="G276" s="11" t="s">
        <v>15</v>
      </c>
      <c r="H276" s="37">
        <v>300000.0</v>
      </c>
      <c r="I276" s="38"/>
      <c r="J276" s="20"/>
      <c r="K276" s="6"/>
      <c r="L276" s="6"/>
    </row>
    <row r="277">
      <c r="A277" s="36"/>
      <c r="B277" s="62"/>
      <c r="C277" s="62"/>
      <c r="D277" s="47"/>
      <c r="E277" s="47"/>
      <c r="F277" s="47"/>
      <c r="G277" s="62"/>
      <c r="H277" s="63"/>
      <c r="I277" s="49"/>
      <c r="J277" s="20"/>
      <c r="K277" s="6"/>
      <c r="L277" s="6"/>
    </row>
    <row r="278">
      <c r="A278" s="31">
        <v>5.0</v>
      </c>
      <c r="B278" s="32" t="s">
        <v>183</v>
      </c>
      <c r="C278" s="24"/>
      <c r="D278" s="24"/>
      <c r="E278" s="24"/>
      <c r="F278" s="25"/>
      <c r="G278" s="55"/>
      <c r="H278" s="34"/>
      <c r="I278" s="35"/>
      <c r="J278" s="20"/>
      <c r="K278" s="6"/>
      <c r="L278" s="6"/>
    </row>
    <row r="279">
      <c r="A279" s="36"/>
      <c r="B279" s="14">
        <v>1.0</v>
      </c>
      <c r="C279" s="11" t="s">
        <v>295</v>
      </c>
      <c r="D279" s="12"/>
      <c r="E279" s="12"/>
      <c r="F279" s="12"/>
      <c r="G279" s="11" t="s">
        <v>15</v>
      </c>
      <c r="H279" s="79">
        <v>200000.0</v>
      </c>
      <c r="I279" s="38"/>
      <c r="J279" s="20"/>
      <c r="K279" s="6"/>
      <c r="L279" s="6"/>
    </row>
    <row r="280">
      <c r="A280" s="36"/>
      <c r="B280" s="57"/>
      <c r="C280" s="11" t="s">
        <v>296</v>
      </c>
      <c r="D280" s="12"/>
      <c r="E280" s="12"/>
      <c r="F280" s="12"/>
      <c r="G280" s="11" t="s">
        <v>15</v>
      </c>
      <c r="H280" s="79">
        <v>150000.0</v>
      </c>
      <c r="I280" s="38"/>
      <c r="J280" s="20"/>
      <c r="K280" s="6"/>
      <c r="L280" s="6"/>
    </row>
    <row r="281">
      <c r="A281" s="36"/>
      <c r="B281" s="14">
        <v>2.0</v>
      </c>
      <c r="C281" s="64" t="s">
        <v>297</v>
      </c>
      <c r="D281" s="65"/>
      <c r="E281" s="65"/>
      <c r="F281" s="65"/>
      <c r="G281" s="64" t="s">
        <v>298</v>
      </c>
      <c r="H281" s="66">
        <v>200000.0</v>
      </c>
      <c r="I281" s="38"/>
      <c r="J281" s="20"/>
      <c r="K281" s="6"/>
      <c r="L281" s="6"/>
    </row>
    <row r="282">
      <c r="A282" s="36"/>
      <c r="B282" s="57"/>
      <c r="C282" s="64" t="s">
        <v>299</v>
      </c>
      <c r="D282" s="65"/>
      <c r="E282" s="65"/>
      <c r="F282" s="65"/>
      <c r="G282" s="64" t="s">
        <v>298</v>
      </c>
      <c r="H282" s="66">
        <v>150000.0</v>
      </c>
      <c r="I282" s="38"/>
      <c r="J282" s="20"/>
      <c r="K282" s="6"/>
      <c r="L282" s="6"/>
    </row>
    <row r="283">
      <c r="A283" s="36"/>
      <c r="B283" s="14">
        <v>3.0</v>
      </c>
      <c r="C283" s="64" t="s">
        <v>300</v>
      </c>
      <c r="D283" s="65"/>
      <c r="E283" s="65"/>
      <c r="F283" s="65"/>
      <c r="G283" s="64" t="s">
        <v>15</v>
      </c>
      <c r="H283" s="66">
        <v>150000.0</v>
      </c>
      <c r="I283" s="38"/>
      <c r="J283" s="20"/>
      <c r="K283" s="6"/>
      <c r="L283" s="6"/>
    </row>
    <row r="284">
      <c r="A284" s="36"/>
      <c r="B284" s="14">
        <v>4.0</v>
      </c>
      <c r="C284" s="11" t="s">
        <v>186</v>
      </c>
      <c r="D284" s="12"/>
      <c r="E284" s="12"/>
      <c r="F284" s="12"/>
      <c r="G284" s="11" t="s">
        <v>15</v>
      </c>
      <c r="H284" s="80">
        <v>100000.0</v>
      </c>
      <c r="I284" s="38"/>
      <c r="J284" s="20"/>
      <c r="K284" s="6"/>
      <c r="L284" s="6"/>
    </row>
    <row r="285">
      <c r="A285" s="36"/>
      <c r="B285" s="14">
        <v>5.0</v>
      </c>
      <c r="C285" s="11" t="s">
        <v>187</v>
      </c>
      <c r="D285" s="12"/>
      <c r="E285" s="12"/>
      <c r="F285" s="12"/>
      <c r="G285" s="11" t="s">
        <v>15</v>
      </c>
      <c r="H285" s="37">
        <v>150000.0</v>
      </c>
      <c r="I285" s="38"/>
      <c r="J285" s="20"/>
      <c r="K285" s="6"/>
      <c r="L285" s="6"/>
    </row>
    <row r="286">
      <c r="A286" s="36"/>
      <c r="B286" s="57"/>
      <c r="C286" s="11" t="s">
        <v>187</v>
      </c>
      <c r="D286" s="12"/>
      <c r="E286" s="12"/>
      <c r="F286" s="12"/>
      <c r="G286" s="11" t="s">
        <v>15</v>
      </c>
      <c r="H286" s="37">
        <v>100000.0</v>
      </c>
      <c r="I286" s="81" t="s">
        <v>301</v>
      </c>
      <c r="J286" s="20"/>
      <c r="K286" s="6"/>
      <c r="L286" s="6"/>
    </row>
    <row r="287">
      <c r="A287" s="36"/>
      <c r="B287" s="14">
        <v>6.0</v>
      </c>
      <c r="C287" s="11" t="s">
        <v>188</v>
      </c>
      <c r="D287" s="12"/>
      <c r="E287" s="12"/>
      <c r="F287" s="12"/>
      <c r="G287" s="11" t="s">
        <v>15</v>
      </c>
      <c r="H287" s="37">
        <v>150000.0</v>
      </c>
      <c r="I287" s="12"/>
      <c r="J287" s="6"/>
      <c r="K287" s="6"/>
      <c r="L287" s="6"/>
    </row>
    <row r="288">
      <c r="A288" s="36"/>
      <c r="B288" s="57"/>
      <c r="C288" s="11" t="s">
        <v>188</v>
      </c>
      <c r="D288" s="12"/>
      <c r="E288" s="12"/>
      <c r="F288" s="12"/>
      <c r="G288" s="11" t="s">
        <v>15</v>
      </c>
      <c r="H288" s="37">
        <v>100000.0</v>
      </c>
      <c r="I288" s="81" t="s">
        <v>301</v>
      </c>
      <c r="J288" s="20"/>
      <c r="K288" s="6"/>
      <c r="L288" s="6"/>
    </row>
    <row r="289">
      <c r="A289" s="36"/>
      <c r="B289" s="14">
        <v>7.0</v>
      </c>
      <c r="C289" s="11" t="s">
        <v>189</v>
      </c>
      <c r="D289" s="12"/>
      <c r="E289" s="12"/>
      <c r="F289" s="12"/>
      <c r="G289" s="11" t="s">
        <v>302</v>
      </c>
      <c r="H289" s="37">
        <v>300000.0</v>
      </c>
      <c r="I289" s="12"/>
      <c r="J289" s="6"/>
      <c r="K289" s="6"/>
      <c r="L289" s="6"/>
    </row>
    <row r="290">
      <c r="A290" s="36"/>
      <c r="B290" s="57"/>
      <c r="C290" s="11" t="s">
        <v>189</v>
      </c>
      <c r="D290" s="12"/>
      <c r="E290" s="12"/>
      <c r="F290" s="12"/>
      <c r="G290" s="11" t="s">
        <v>302</v>
      </c>
      <c r="H290" s="37">
        <v>200000.0</v>
      </c>
      <c r="I290" s="81" t="s">
        <v>301</v>
      </c>
      <c r="J290" s="20"/>
      <c r="K290" s="6"/>
      <c r="L290" s="6"/>
    </row>
    <row r="291">
      <c r="A291" s="36"/>
      <c r="B291" s="14">
        <v>8.0</v>
      </c>
      <c r="C291" s="11" t="s">
        <v>191</v>
      </c>
      <c r="D291" s="12"/>
      <c r="E291" s="12"/>
      <c r="F291" s="12"/>
      <c r="G291" s="11" t="s">
        <v>302</v>
      </c>
      <c r="H291" s="37">
        <v>300000.0</v>
      </c>
      <c r="I291" s="12"/>
      <c r="J291" s="6"/>
      <c r="K291" s="6"/>
      <c r="L291" s="6"/>
    </row>
    <row r="292">
      <c r="A292" s="36"/>
      <c r="B292" s="57"/>
      <c r="C292" s="11" t="s">
        <v>191</v>
      </c>
      <c r="D292" s="12"/>
      <c r="E292" s="12"/>
      <c r="F292" s="12"/>
      <c r="G292" s="11" t="s">
        <v>302</v>
      </c>
      <c r="H292" s="37">
        <v>200000.0</v>
      </c>
      <c r="I292" s="81" t="s">
        <v>301</v>
      </c>
      <c r="J292" s="20"/>
      <c r="K292" s="6"/>
      <c r="L292" s="6"/>
    </row>
    <row r="293">
      <c r="A293" s="36"/>
      <c r="B293" s="82">
        <v>9.0</v>
      </c>
      <c r="C293" s="83" t="s">
        <v>192</v>
      </c>
      <c r="D293" s="84"/>
      <c r="E293" s="84"/>
      <c r="F293" s="84"/>
      <c r="G293" s="83" t="s">
        <v>298</v>
      </c>
      <c r="H293" s="74">
        <v>200000.0</v>
      </c>
      <c r="I293" s="84"/>
      <c r="J293" s="85"/>
      <c r="K293" s="6"/>
      <c r="L293" s="6"/>
    </row>
    <row r="294">
      <c r="A294" s="36"/>
      <c r="B294" s="86"/>
      <c r="C294" s="83" t="s">
        <v>192</v>
      </c>
      <c r="D294" s="84"/>
      <c r="E294" s="84"/>
      <c r="F294" s="84"/>
      <c r="G294" s="83" t="s">
        <v>298</v>
      </c>
      <c r="H294" s="74">
        <v>150000.0</v>
      </c>
      <c r="I294" s="83" t="s">
        <v>301</v>
      </c>
      <c r="J294" s="85"/>
      <c r="K294" s="6"/>
      <c r="L294" s="6"/>
    </row>
    <row r="295">
      <c r="A295" s="36"/>
      <c r="B295" s="14">
        <v>10.0</v>
      </c>
      <c r="C295" s="11" t="s">
        <v>303</v>
      </c>
      <c r="D295" s="57"/>
      <c r="E295" s="12"/>
      <c r="F295" s="12"/>
      <c r="G295" s="11" t="s">
        <v>298</v>
      </c>
      <c r="H295" s="37">
        <v>200000.0</v>
      </c>
      <c r="I295" s="12"/>
      <c r="J295" s="6"/>
      <c r="K295" s="6"/>
      <c r="L295" s="6"/>
    </row>
    <row r="296">
      <c r="A296" s="36"/>
      <c r="B296" s="12"/>
      <c r="C296" s="11" t="s">
        <v>303</v>
      </c>
      <c r="D296" s="57"/>
      <c r="E296" s="12"/>
      <c r="F296" s="12"/>
      <c r="G296" s="11" t="s">
        <v>298</v>
      </c>
      <c r="H296" s="37">
        <v>150000.0</v>
      </c>
      <c r="I296" s="81" t="s">
        <v>301</v>
      </c>
      <c r="J296" s="20"/>
      <c r="K296" s="6"/>
      <c r="L296" s="6"/>
    </row>
    <row r="297">
      <c r="A297" s="36"/>
      <c r="B297" s="14">
        <v>11.0</v>
      </c>
      <c r="C297" s="64" t="s">
        <v>304</v>
      </c>
      <c r="D297" s="87"/>
      <c r="E297" s="65"/>
      <c r="F297" s="65"/>
      <c r="G297" s="64" t="s">
        <v>298</v>
      </c>
      <c r="H297" s="66">
        <v>300000.0</v>
      </c>
      <c r="I297" s="12"/>
      <c r="J297" s="6"/>
      <c r="K297" s="6"/>
      <c r="L297" s="6"/>
    </row>
    <row r="298">
      <c r="A298" s="36"/>
      <c r="B298" s="88">
        <v>12.0</v>
      </c>
      <c r="C298" s="64" t="s">
        <v>305</v>
      </c>
      <c r="D298" s="87"/>
      <c r="E298" s="65"/>
      <c r="F298" s="65"/>
      <c r="G298" s="64" t="s">
        <v>298</v>
      </c>
      <c r="H298" s="66">
        <v>150000.0</v>
      </c>
      <c r="I298" s="38"/>
      <c r="J298" s="20"/>
      <c r="K298" s="6"/>
      <c r="L298" s="6"/>
    </row>
    <row r="299">
      <c r="A299" s="36"/>
      <c r="B299" s="14">
        <v>13.0</v>
      </c>
      <c r="C299" s="64" t="s">
        <v>306</v>
      </c>
      <c r="D299" s="87"/>
      <c r="E299" s="65"/>
      <c r="F299" s="65"/>
      <c r="G299" s="64" t="s">
        <v>298</v>
      </c>
      <c r="H299" s="66">
        <v>110000.0</v>
      </c>
      <c r="I299" s="38"/>
      <c r="J299" s="20"/>
      <c r="K299" s="6"/>
      <c r="L299" s="6"/>
    </row>
    <row r="300">
      <c r="A300" s="36"/>
      <c r="B300" s="14">
        <v>14.0</v>
      </c>
      <c r="C300" s="64" t="s">
        <v>307</v>
      </c>
      <c r="D300" s="87"/>
      <c r="E300" s="65"/>
      <c r="F300" s="65"/>
      <c r="G300" s="64" t="s">
        <v>298</v>
      </c>
      <c r="H300" s="66">
        <v>110000.0</v>
      </c>
      <c r="I300" s="38"/>
      <c r="J300" s="20"/>
      <c r="K300" s="6"/>
      <c r="L300" s="6"/>
    </row>
    <row r="301">
      <c r="A301" s="36"/>
      <c r="B301" s="14">
        <v>15.0</v>
      </c>
      <c r="C301" s="64" t="s">
        <v>308</v>
      </c>
      <c r="D301" s="87"/>
      <c r="E301" s="65"/>
      <c r="F301" s="65"/>
      <c r="G301" s="64" t="s">
        <v>298</v>
      </c>
      <c r="H301" s="66">
        <v>300000.0</v>
      </c>
      <c r="I301" s="38"/>
      <c r="J301" s="20"/>
      <c r="K301" s="6"/>
      <c r="L301" s="6"/>
    </row>
    <row r="302">
      <c r="A302" s="36"/>
      <c r="B302" s="14">
        <v>16.0</v>
      </c>
      <c r="C302" s="64" t="s">
        <v>309</v>
      </c>
      <c r="D302" s="65"/>
      <c r="E302" s="65"/>
      <c r="F302" s="65"/>
      <c r="G302" s="64" t="s">
        <v>298</v>
      </c>
      <c r="H302" s="66">
        <v>250000.0</v>
      </c>
      <c r="I302" s="38"/>
      <c r="J302" s="20"/>
      <c r="K302" s="6"/>
      <c r="L302" s="6"/>
    </row>
    <row r="303">
      <c r="A303" s="36"/>
      <c r="B303" s="14">
        <v>17.0</v>
      </c>
      <c r="C303" s="64" t="s">
        <v>310</v>
      </c>
      <c r="D303" s="65"/>
      <c r="E303" s="65"/>
      <c r="F303" s="65"/>
      <c r="G303" s="64" t="s">
        <v>298</v>
      </c>
      <c r="H303" s="66">
        <v>120000.0</v>
      </c>
      <c r="I303" s="89"/>
      <c r="J303" s="20"/>
      <c r="K303" s="6"/>
      <c r="L303" s="6"/>
    </row>
    <row r="304">
      <c r="A304" s="36"/>
      <c r="B304" s="14">
        <v>18.0</v>
      </c>
      <c r="C304" s="11" t="s">
        <v>311</v>
      </c>
      <c r="D304" s="12"/>
      <c r="E304" s="12"/>
      <c r="F304" s="12"/>
      <c r="G304" s="11" t="s">
        <v>15</v>
      </c>
      <c r="H304" s="43">
        <v>100000.0</v>
      </c>
      <c r="I304" s="42"/>
      <c r="J304" s="44"/>
      <c r="K304" s="6"/>
      <c r="L304" s="6"/>
    </row>
    <row r="305">
      <c r="A305" s="36"/>
      <c r="B305" s="57"/>
      <c r="C305" s="11" t="s">
        <v>311</v>
      </c>
      <c r="D305" s="12"/>
      <c r="E305" s="12"/>
      <c r="F305" s="12"/>
      <c r="G305" s="11" t="s">
        <v>15</v>
      </c>
      <c r="H305" s="43">
        <v>60000.0</v>
      </c>
      <c r="I305" s="41" t="s">
        <v>301</v>
      </c>
      <c r="J305" s="44"/>
      <c r="K305" s="6"/>
      <c r="L305" s="6"/>
    </row>
    <row r="306">
      <c r="A306" s="36"/>
      <c r="B306" s="14">
        <v>19.0</v>
      </c>
      <c r="C306" s="11" t="s">
        <v>197</v>
      </c>
      <c r="D306" s="12"/>
      <c r="E306" s="12"/>
      <c r="F306" s="12"/>
      <c r="G306" s="11" t="s">
        <v>15</v>
      </c>
      <c r="H306" s="43">
        <v>500000.0</v>
      </c>
      <c r="I306" s="90"/>
      <c r="J306" s="44"/>
      <c r="K306" s="6"/>
      <c r="L306" s="6"/>
    </row>
    <row r="307">
      <c r="A307" s="36"/>
      <c r="B307" s="57"/>
      <c r="C307" s="11" t="s">
        <v>197</v>
      </c>
      <c r="D307" s="12"/>
      <c r="E307" s="12"/>
      <c r="F307" s="12"/>
      <c r="G307" s="11" t="s">
        <v>15</v>
      </c>
      <c r="H307" s="43">
        <v>400000.0</v>
      </c>
      <c r="I307" s="41" t="s">
        <v>301</v>
      </c>
      <c r="J307" s="44"/>
      <c r="K307" s="6"/>
      <c r="L307" s="6"/>
    </row>
    <row r="308">
      <c r="A308" s="36"/>
      <c r="B308" s="14">
        <v>20.0</v>
      </c>
      <c r="C308" s="11" t="s">
        <v>221</v>
      </c>
      <c r="D308" s="12"/>
      <c r="E308" s="12"/>
      <c r="F308" s="12"/>
      <c r="G308" s="11" t="s">
        <v>15</v>
      </c>
      <c r="H308" s="43">
        <v>100000.0</v>
      </c>
      <c r="I308" s="42"/>
      <c r="J308" s="44"/>
      <c r="K308" s="6"/>
      <c r="L308" s="6"/>
    </row>
    <row r="309">
      <c r="A309" s="36"/>
      <c r="B309" s="57"/>
      <c r="C309" s="11" t="s">
        <v>221</v>
      </c>
      <c r="D309" s="12"/>
      <c r="E309" s="12"/>
      <c r="F309" s="12"/>
      <c r="G309" s="11" t="s">
        <v>15</v>
      </c>
      <c r="H309" s="43">
        <v>60000.0</v>
      </c>
      <c r="I309" s="41" t="s">
        <v>301</v>
      </c>
      <c r="J309" s="44"/>
      <c r="K309" s="6"/>
      <c r="L309" s="6"/>
    </row>
    <row r="310">
      <c r="A310" s="36"/>
      <c r="B310" s="14">
        <v>21.0</v>
      </c>
      <c r="C310" s="11" t="s">
        <v>198</v>
      </c>
      <c r="D310" s="12"/>
      <c r="E310" s="12"/>
      <c r="F310" s="12"/>
      <c r="G310" s="11" t="s">
        <v>15</v>
      </c>
      <c r="H310" s="37">
        <v>60000.0</v>
      </c>
      <c r="I310" s="57"/>
      <c r="J310" s="6"/>
      <c r="K310" s="6"/>
      <c r="L310" s="6"/>
    </row>
    <row r="311">
      <c r="A311" s="36"/>
      <c r="B311" s="57"/>
      <c r="C311" s="11" t="s">
        <v>198</v>
      </c>
      <c r="D311" s="12"/>
      <c r="E311" s="12"/>
      <c r="F311" s="12"/>
      <c r="G311" s="11" t="s">
        <v>15</v>
      </c>
      <c r="H311" s="37">
        <v>50000.0</v>
      </c>
      <c r="I311" s="81" t="s">
        <v>301</v>
      </c>
      <c r="J311" s="20"/>
      <c r="K311" s="6"/>
      <c r="L311" s="6"/>
    </row>
    <row r="312">
      <c r="A312" s="36"/>
      <c r="B312" s="14">
        <v>22.0</v>
      </c>
      <c r="C312" s="11" t="s">
        <v>199</v>
      </c>
      <c r="D312" s="12"/>
      <c r="E312" s="12"/>
      <c r="F312" s="12"/>
      <c r="G312" s="11" t="s">
        <v>15</v>
      </c>
      <c r="H312" s="37">
        <v>25000.0</v>
      </c>
      <c r="I312" s="12"/>
      <c r="J312" s="6"/>
      <c r="K312" s="6"/>
      <c r="L312" s="6"/>
    </row>
    <row r="313">
      <c r="A313" s="59"/>
      <c r="B313" s="57"/>
      <c r="C313" s="11" t="s">
        <v>199</v>
      </c>
      <c r="D313" s="12"/>
      <c r="E313" s="12"/>
      <c r="F313" s="12"/>
      <c r="G313" s="11" t="s">
        <v>15</v>
      </c>
      <c r="H313" s="37">
        <v>5000.0</v>
      </c>
      <c r="I313" s="81" t="s">
        <v>301</v>
      </c>
      <c r="J313" s="20"/>
      <c r="K313" s="6"/>
      <c r="L313" s="6"/>
    </row>
    <row r="314">
      <c r="A314" s="36"/>
      <c r="B314" s="14">
        <v>23.0</v>
      </c>
      <c r="C314" s="11" t="s">
        <v>200</v>
      </c>
      <c r="D314" s="12"/>
      <c r="E314" s="12"/>
      <c r="F314" s="12"/>
      <c r="G314" s="11" t="s">
        <v>15</v>
      </c>
      <c r="H314" s="37">
        <v>300000.0</v>
      </c>
      <c r="I314" s="42"/>
      <c r="J314" s="44"/>
      <c r="K314" s="6"/>
      <c r="L314" s="6"/>
    </row>
    <row r="315">
      <c r="A315" s="36"/>
      <c r="B315" s="12"/>
      <c r="C315" s="11" t="s">
        <v>200</v>
      </c>
      <c r="D315" s="57"/>
      <c r="E315" s="12"/>
      <c r="F315" s="12"/>
      <c r="G315" s="11" t="s">
        <v>15</v>
      </c>
      <c r="H315" s="37">
        <v>200000.0</v>
      </c>
      <c r="I315" s="81" t="s">
        <v>301</v>
      </c>
      <c r="J315" s="20"/>
      <c r="K315" s="6"/>
      <c r="L315" s="6"/>
    </row>
    <row r="316">
      <c r="A316" s="36"/>
      <c r="B316" s="14">
        <v>24.0</v>
      </c>
      <c r="C316" s="11" t="s">
        <v>201</v>
      </c>
      <c r="D316" s="57"/>
      <c r="E316" s="12"/>
      <c r="F316" s="12"/>
      <c r="G316" s="11" t="s">
        <v>15</v>
      </c>
      <c r="H316" s="58"/>
      <c r="I316" s="12"/>
      <c r="J316" s="6"/>
      <c r="K316" s="6"/>
      <c r="L316" s="6"/>
    </row>
    <row r="317">
      <c r="A317" s="36"/>
      <c r="B317" s="12"/>
      <c r="C317" s="11" t="s">
        <v>202</v>
      </c>
      <c r="D317" s="11" t="s">
        <v>203</v>
      </c>
      <c r="E317" s="12"/>
      <c r="F317" s="12"/>
      <c r="G317" s="11" t="s">
        <v>15</v>
      </c>
      <c r="H317" s="37">
        <v>300000.0</v>
      </c>
      <c r="I317" s="12"/>
      <c r="J317" s="6"/>
      <c r="K317" s="6"/>
      <c r="L317" s="6"/>
    </row>
    <row r="318">
      <c r="A318" s="36"/>
      <c r="B318" s="12"/>
      <c r="C318" s="57"/>
      <c r="D318" s="11" t="s">
        <v>203</v>
      </c>
      <c r="E318" s="12"/>
      <c r="F318" s="12"/>
      <c r="G318" s="11" t="s">
        <v>15</v>
      </c>
      <c r="H318" s="37">
        <v>200000.0</v>
      </c>
      <c r="I318" s="81" t="s">
        <v>301</v>
      </c>
      <c r="J318" s="20"/>
      <c r="K318" s="6"/>
      <c r="L318" s="6"/>
    </row>
    <row r="319">
      <c r="A319" s="36"/>
      <c r="B319" s="12"/>
      <c r="C319" s="11" t="s">
        <v>204</v>
      </c>
      <c r="D319" s="11" t="s">
        <v>205</v>
      </c>
      <c r="E319" s="12"/>
      <c r="F319" s="12"/>
      <c r="G319" s="11" t="s">
        <v>15</v>
      </c>
      <c r="H319" s="37">
        <v>300000.0</v>
      </c>
      <c r="I319" s="12"/>
      <c r="J319" s="6"/>
      <c r="K319" s="6"/>
      <c r="L319" s="6"/>
    </row>
    <row r="320">
      <c r="A320" s="36"/>
      <c r="B320" s="12"/>
      <c r="C320" s="57"/>
      <c r="D320" s="11" t="s">
        <v>205</v>
      </c>
      <c r="E320" s="12"/>
      <c r="F320" s="12"/>
      <c r="G320" s="11" t="s">
        <v>15</v>
      </c>
      <c r="H320" s="37">
        <v>200000.0</v>
      </c>
      <c r="I320" s="81" t="s">
        <v>301</v>
      </c>
      <c r="J320" s="20"/>
      <c r="K320" s="6"/>
      <c r="L320" s="6"/>
    </row>
    <row r="321">
      <c r="A321" s="36"/>
      <c r="B321" s="57"/>
      <c r="C321" s="11" t="s">
        <v>206</v>
      </c>
      <c r="D321" s="11" t="s">
        <v>207</v>
      </c>
      <c r="E321" s="12"/>
      <c r="F321" s="12"/>
      <c r="G321" s="11" t="s">
        <v>15</v>
      </c>
      <c r="H321" s="37">
        <v>600000.0</v>
      </c>
      <c r="I321" s="42"/>
      <c r="J321" s="44"/>
      <c r="K321" s="6"/>
      <c r="L321" s="6"/>
    </row>
    <row r="322">
      <c r="A322" s="36"/>
      <c r="B322" s="12"/>
      <c r="C322" s="57"/>
      <c r="D322" s="11" t="s">
        <v>207</v>
      </c>
      <c r="E322" s="12"/>
      <c r="F322" s="12"/>
      <c r="G322" s="11" t="s">
        <v>15</v>
      </c>
      <c r="H322" s="37">
        <v>500000.0</v>
      </c>
      <c r="I322" s="81" t="s">
        <v>301</v>
      </c>
      <c r="J322" s="20"/>
      <c r="K322" s="6"/>
      <c r="L322" s="6"/>
    </row>
    <row r="323">
      <c r="A323" s="36"/>
      <c r="B323" s="14">
        <v>25.0</v>
      </c>
      <c r="C323" s="11" t="s">
        <v>216</v>
      </c>
      <c r="D323" s="57"/>
      <c r="E323" s="12"/>
      <c r="F323" s="12"/>
      <c r="G323" s="11" t="s">
        <v>15</v>
      </c>
      <c r="H323" s="37">
        <v>100000.0</v>
      </c>
      <c r="I323" s="12"/>
      <c r="J323" s="6"/>
      <c r="K323" s="6"/>
      <c r="L323" s="6"/>
    </row>
    <row r="324">
      <c r="A324" s="36"/>
      <c r="B324" s="12"/>
      <c r="C324" s="11" t="s">
        <v>216</v>
      </c>
      <c r="D324" s="57"/>
      <c r="E324" s="12"/>
      <c r="F324" s="12"/>
      <c r="G324" s="11" t="s">
        <v>15</v>
      </c>
      <c r="H324" s="37">
        <v>50000.0</v>
      </c>
      <c r="I324" s="81" t="s">
        <v>301</v>
      </c>
      <c r="J324" s="20"/>
      <c r="K324" s="6"/>
      <c r="L324" s="6"/>
    </row>
    <row r="325">
      <c r="A325" s="36"/>
      <c r="B325" s="14">
        <v>26.0</v>
      </c>
      <c r="C325" s="11" t="s">
        <v>217</v>
      </c>
      <c r="D325" s="57"/>
      <c r="E325" s="12"/>
      <c r="F325" s="11" t="s">
        <v>312</v>
      </c>
      <c r="G325" s="11" t="s">
        <v>218</v>
      </c>
      <c r="H325" s="37">
        <v>300000.0</v>
      </c>
      <c r="I325" s="12"/>
      <c r="J325" s="6"/>
      <c r="K325" s="6"/>
      <c r="L325" s="6"/>
    </row>
    <row r="326">
      <c r="A326" s="36"/>
      <c r="B326" s="12"/>
      <c r="C326" s="11" t="s">
        <v>217</v>
      </c>
      <c r="D326" s="57"/>
      <c r="E326" s="12"/>
      <c r="F326" s="11" t="s">
        <v>312</v>
      </c>
      <c r="G326" s="11" t="s">
        <v>218</v>
      </c>
      <c r="H326" s="37">
        <v>150000.0</v>
      </c>
      <c r="I326" s="81" t="s">
        <v>301</v>
      </c>
      <c r="J326" s="20"/>
      <c r="K326" s="6"/>
      <c r="L326" s="6"/>
    </row>
    <row r="327">
      <c r="A327" s="36"/>
      <c r="B327" s="57"/>
      <c r="C327" s="11" t="s">
        <v>217</v>
      </c>
      <c r="D327" s="12"/>
      <c r="E327" s="12"/>
      <c r="F327" s="11" t="s">
        <v>312</v>
      </c>
      <c r="G327" s="11" t="s">
        <v>220</v>
      </c>
      <c r="H327" s="37">
        <v>200000.0</v>
      </c>
      <c r="I327" s="42"/>
      <c r="J327" s="44"/>
      <c r="K327" s="6"/>
      <c r="L327" s="6"/>
    </row>
    <row r="328">
      <c r="A328" s="36"/>
      <c r="B328" s="57"/>
      <c r="C328" s="11" t="s">
        <v>217</v>
      </c>
      <c r="D328" s="12"/>
      <c r="E328" s="12"/>
      <c r="F328" s="11" t="s">
        <v>312</v>
      </c>
      <c r="G328" s="11" t="s">
        <v>220</v>
      </c>
      <c r="H328" s="37">
        <v>100000.0</v>
      </c>
      <c r="I328" s="81" t="s">
        <v>301</v>
      </c>
      <c r="J328" s="20"/>
      <c r="K328" s="6"/>
      <c r="L328" s="6"/>
    </row>
    <row r="329">
      <c r="A329" s="36"/>
      <c r="B329" s="14">
        <v>27.0</v>
      </c>
      <c r="C329" s="11" t="s">
        <v>222</v>
      </c>
      <c r="D329" s="12"/>
      <c r="E329" s="12"/>
      <c r="F329" s="12"/>
      <c r="G329" s="11" t="s">
        <v>298</v>
      </c>
      <c r="H329" s="37">
        <v>75000.0</v>
      </c>
      <c r="I329" s="12"/>
      <c r="J329" s="6"/>
      <c r="K329" s="6"/>
      <c r="L329" s="6"/>
    </row>
    <row r="330">
      <c r="A330" s="59"/>
      <c r="B330" s="57"/>
      <c r="C330" s="11" t="s">
        <v>222</v>
      </c>
      <c r="D330" s="12"/>
      <c r="E330" s="12"/>
      <c r="F330" s="12"/>
      <c r="G330" s="11" t="s">
        <v>298</v>
      </c>
      <c r="H330" s="37">
        <v>50000.0</v>
      </c>
      <c r="I330" s="81" t="s">
        <v>301</v>
      </c>
      <c r="J330" s="20"/>
      <c r="K330" s="6"/>
      <c r="L330" s="6"/>
    </row>
    <row r="331">
      <c r="A331" s="36"/>
      <c r="B331" s="14">
        <v>28.0</v>
      </c>
      <c r="C331" s="11" t="s">
        <v>223</v>
      </c>
      <c r="D331" s="12"/>
      <c r="E331" s="12"/>
      <c r="F331" s="12"/>
      <c r="G331" s="11" t="s">
        <v>298</v>
      </c>
      <c r="H331" s="37">
        <v>60000.0</v>
      </c>
      <c r="I331" s="12"/>
      <c r="J331" s="6"/>
      <c r="K331" s="6"/>
      <c r="L331" s="6"/>
    </row>
    <row r="332">
      <c r="A332" s="36"/>
      <c r="B332" s="12"/>
      <c r="C332" s="11" t="s">
        <v>223</v>
      </c>
      <c r="D332" s="12"/>
      <c r="E332" s="12"/>
      <c r="F332" s="12"/>
      <c r="G332" s="11" t="s">
        <v>298</v>
      </c>
      <c r="H332" s="37">
        <v>50000.0</v>
      </c>
      <c r="I332" s="81" t="s">
        <v>301</v>
      </c>
      <c r="J332" s="20"/>
      <c r="K332" s="6"/>
      <c r="L332" s="6"/>
    </row>
    <row r="333">
      <c r="A333" s="36"/>
      <c r="B333" s="14">
        <v>29.0</v>
      </c>
      <c r="C333" s="11" t="s">
        <v>226</v>
      </c>
      <c r="D333" s="12"/>
      <c r="E333" s="12"/>
      <c r="F333" s="12"/>
      <c r="G333" s="11" t="s">
        <v>298</v>
      </c>
      <c r="H333" s="37">
        <v>25000.0</v>
      </c>
      <c r="I333" s="42"/>
      <c r="J333" s="44"/>
      <c r="K333" s="6"/>
      <c r="L333" s="6"/>
    </row>
    <row r="334">
      <c r="A334" s="36"/>
      <c r="B334" s="57"/>
      <c r="C334" s="11" t="s">
        <v>226</v>
      </c>
      <c r="D334" s="12"/>
      <c r="E334" s="12"/>
      <c r="F334" s="12"/>
      <c r="G334" s="11" t="s">
        <v>298</v>
      </c>
      <c r="H334" s="37">
        <v>10000.0</v>
      </c>
      <c r="I334" s="81" t="s">
        <v>301</v>
      </c>
      <c r="J334" s="20"/>
      <c r="K334" s="6"/>
      <c r="L334" s="6"/>
    </row>
    <row r="335">
      <c r="A335" s="36"/>
      <c r="B335" s="14">
        <v>30.0</v>
      </c>
      <c r="C335" s="11" t="s">
        <v>313</v>
      </c>
      <c r="D335" s="12"/>
      <c r="E335" s="12"/>
      <c r="F335" s="12"/>
      <c r="G335" s="11" t="s">
        <v>298</v>
      </c>
      <c r="H335" s="37">
        <v>120000.0</v>
      </c>
      <c r="I335" s="12"/>
      <c r="J335" s="6"/>
      <c r="K335" s="6"/>
      <c r="L335" s="6"/>
    </row>
    <row r="336">
      <c r="A336" s="59"/>
      <c r="B336" s="57"/>
      <c r="C336" s="11" t="s">
        <v>313</v>
      </c>
      <c r="D336" s="12"/>
      <c r="E336" s="12"/>
      <c r="F336" s="12"/>
      <c r="G336" s="11" t="s">
        <v>298</v>
      </c>
      <c r="H336" s="37">
        <v>100000.0</v>
      </c>
      <c r="I336" s="81" t="s">
        <v>301</v>
      </c>
      <c r="J336" s="20"/>
      <c r="K336" s="6"/>
      <c r="L336" s="6"/>
    </row>
    <row r="337">
      <c r="A337" s="36"/>
      <c r="B337" s="14">
        <v>31.0</v>
      </c>
      <c r="C337" s="11" t="s">
        <v>314</v>
      </c>
      <c r="D337" s="12"/>
      <c r="E337" s="12"/>
      <c r="F337" s="12"/>
      <c r="G337" s="11" t="s">
        <v>298</v>
      </c>
      <c r="H337" s="37">
        <v>300000.0</v>
      </c>
      <c r="I337" s="42"/>
      <c r="J337" s="44"/>
      <c r="K337" s="6"/>
      <c r="L337" s="6"/>
    </row>
    <row r="338">
      <c r="A338" s="36"/>
      <c r="B338" s="57"/>
      <c r="C338" s="67" t="s">
        <v>314</v>
      </c>
      <c r="D338" s="91"/>
      <c r="E338" s="12"/>
      <c r="F338" s="12"/>
      <c r="G338" s="11" t="s">
        <v>298</v>
      </c>
      <c r="H338" s="37">
        <v>200000.0</v>
      </c>
      <c r="I338" s="81" t="s">
        <v>301</v>
      </c>
      <c r="J338" s="20"/>
      <c r="K338" s="6"/>
      <c r="L338" s="6"/>
    </row>
    <row r="339">
      <c r="A339" s="36"/>
      <c r="B339" s="14">
        <v>32.0</v>
      </c>
      <c r="C339" s="67" t="s">
        <v>315</v>
      </c>
      <c r="D339" s="91"/>
      <c r="E339" s="12"/>
      <c r="F339" s="12"/>
      <c r="G339" s="41" t="s">
        <v>316</v>
      </c>
      <c r="H339" s="43">
        <v>1000.0</v>
      </c>
      <c r="I339" s="38"/>
      <c r="J339" s="20"/>
      <c r="K339" s="6"/>
      <c r="L339" s="6"/>
    </row>
    <row r="340">
      <c r="A340" s="59"/>
      <c r="B340" s="14">
        <v>33.0</v>
      </c>
      <c r="C340" s="67" t="s">
        <v>317</v>
      </c>
      <c r="D340" s="91"/>
      <c r="E340" s="12"/>
      <c r="F340" s="12"/>
      <c r="G340" s="11" t="s">
        <v>316</v>
      </c>
      <c r="H340" s="37">
        <v>2000.0</v>
      </c>
      <c r="I340" s="38"/>
      <c r="J340" s="20"/>
      <c r="K340" s="6"/>
      <c r="L340" s="6"/>
    </row>
    <row r="341">
      <c r="A341" s="36"/>
      <c r="B341" s="14">
        <v>34.0</v>
      </c>
      <c r="C341" s="67" t="s">
        <v>318</v>
      </c>
      <c r="D341" s="91"/>
      <c r="E341" s="12"/>
      <c r="F341" s="12"/>
      <c r="G341" s="11" t="s">
        <v>316</v>
      </c>
      <c r="H341" s="37">
        <v>4000.0</v>
      </c>
      <c r="I341" s="38"/>
      <c r="J341" s="20"/>
      <c r="K341" s="6"/>
      <c r="L341" s="6"/>
    </row>
    <row r="342">
      <c r="A342" s="36"/>
      <c r="B342" s="14">
        <v>35.0</v>
      </c>
      <c r="C342" s="67" t="s">
        <v>319</v>
      </c>
      <c r="D342" s="91"/>
      <c r="E342" s="12"/>
      <c r="F342" s="12"/>
      <c r="G342" s="11" t="s">
        <v>316</v>
      </c>
      <c r="H342" s="37">
        <v>1000.0</v>
      </c>
      <c r="I342" s="38"/>
      <c r="J342" s="20"/>
      <c r="K342" s="6"/>
      <c r="L342" s="6"/>
    </row>
    <row r="343">
      <c r="A343" s="36"/>
      <c r="B343" s="14">
        <v>36.0</v>
      </c>
      <c r="C343" s="67" t="s">
        <v>320</v>
      </c>
      <c r="D343" s="91"/>
      <c r="E343" s="12"/>
      <c r="F343" s="12"/>
      <c r="G343" s="11" t="s">
        <v>316</v>
      </c>
      <c r="H343" s="37">
        <v>10000.0</v>
      </c>
      <c r="I343" s="38"/>
      <c r="J343" s="20"/>
      <c r="K343" s="6"/>
      <c r="L343" s="6"/>
    </row>
    <row r="344">
      <c r="A344" s="36"/>
      <c r="B344" s="14">
        <v>37.0</v>
      </c>
      <c r="C344" s="67" t="s">
        <v>321</v>
      </c>
      <c r="D344" s="91"/>
      <c r="E344" s="12"/>
      <c r="F344" s="12"/>
      <c r="G344" s="11" t="s">
        <v>316</v>
      </c>
      <c r="H344" s="37">
        <v>10000.0</v>
      </c>
      <c r="I344" s="38"/>
      <c r="J344" s="20"/>
      <c r="K344" s="6"/>
      <c r="L344" s="6"/>
    </row>
    <row r="345">
      <c r="A345" s="36"/>
      <c r="B345" s="14">
        <v>38.0</v>
      </c>
      <c r="C345" s="67" t="s">
        <v>322</v>
      </c>
      <c r="D345" s="91"/>
      <c r="E345" s="12"/>
      <c r="F345" s="12"/>
      <c r="G345" s="11" t="s">
        <v>316</v>
      </c>
      <c r="H345" s="37">
        <v>2000.0</v>
      </c>
      <c r="I345" s="38"/>
      <c r="J345" s="20"/>
      <c r="K345" s="6"/>
      <c r="L345" s="6"/>
    </row>
    <row r="346">
      <c r="A346" s="36"/>
      <c r="B346" s="14">
        <v>39.0</v>
      </c>
      <c r="C346" s="67" t="s">
        <v>323</v>
      </c>
      <c r="D346" s="91"/>
      <c r="E346" s="12"/>
      <c r="F346" s="12"/>
      <c r="G346" s="11" t="s">
        <v>316</v>
      </c>
      <c r="H346" s="37">
        <v>2000.0</v>
      </c>
      <c r="I346" s="38"/>
      <c r="J346" s="20"/>
      <c r="K346" s="6"/>
      <c r="L346" s="6"/>
    </row>
    <row r="347">
      <c r="A347" s="36"/>
      <c r="B347" s="14">
        <v>40.0</v>
      </c>
      <c r="C347" s="67" t="s">
        <v>324</v>
      </c>
      <c r="D347" s="91"/>
      <c r="E347" s="12"/>
      <c r="F347" s="12"/>
      <c r="G347" s="11" t="s">
        <v>325</v>
      </c>
      <c r="H347" s="37">
        <v>100000.0</v>
      </c>
      <c r="I347" s="38"/>
      <c r="J347" s="20"/>
      <c r="K347" s="6"/>
      <c r="L347" s="6"/>
    </row>
    <row r="348">
      <c r="A348" s="36"/>
      <c r="B348" s="14">
        <v>41.0</v>
      </c>
      <c r="C348" s="67" t="s">
        <v>326</v>
      </c>
      <c r="D348" s="91"/>
      <c r="E348" s="12"/>
      <c r="F348" s="12"/>
      <c r="G348" s="11" t="s">
        <v>325</v>
      </c>
      <c r="H348" s="37">
        <v>100000.0</v>
      </c>
      <c r="I348" s="38"/>
      <c r="J348" s="20"/>
      <c r="K348" s="6"/>
      <c r="L348" s="6"/>
    </row>
    <row r="349">
      <c r="A349" s="36"/>
      <c r="B349" s="14">
        <v>42.0</v>
      </c>
      <c r="C349" s="67" t="s">
        <v>327</v>
      </c>
      <c r="D349" s="91"/>
      <c r="E349" s="12"/>
      <c r="F349" s="12"/>
      <c r="G349" s="11" t="s">
        <v>316</v>
      </c>
      <c r="H349" s="37">
        <v>20000.0</v>
      </c>
      <c r="I349" s="38"/>
      <c r="J349" s="20"/>
      <c r="K349" s="6"/>
      <c r="L349" s="6"/>
    </row>
    <row r="350">
      <c r="A350" s="36"/>
      <c r="B350" s="14">
        <v>43.0</v>
      </c>
      <c r="C350" s="67" t="s">
        <v>328</v>
      </c>
      <c r="D350" s="91"/>
      <c r="E350" s="12"/>
      <c r="F350" s="12"/>
      <c r="G350" s="11" t="s">
        <v>329</v>
      </c>
      <c r="H350" s="37">
        <v>400000.0</v>
      </c>
      <c r="I350" s="38"/>
      <c r="J350" s="20"/>
      <c r="K350" s="6"/>
      <c r="L350" s="6"/>
    </row>
    <row r="351">
      <c r="A351" s="36"/>
      <c r="B351" s="57"/>
      <c r="C351" s="67" t="s">
        <v>328</v>
      </c>
      <c r="D351" s="91"/>
      <c r="E351" s="12"/>
      <c r="F351" s="12"/>
      <c r="G351" s="11" t="s">
        <v>329</v>
      </c>
      <c r="H351" s="37">
        <v>350000.0</v>
      </c>
      <c r="I351" s="81" t="s">
        <v>301</v>
      </c>
      <c r="J351" s="20"/>
      <c r="K351" s="6"/>
      <c r="L351" s="6"/>
    </row>
    <row r="352">
      <c r="A352" s="36"/>
      <c r="B352" s="14">
        <v>44.0</v>
      </c>
      <c r="C352" s="67" t="s">
        <v>330</v>
      </c>
      <c r="D352" s="91"/>
      <c r="E352" s="12"/>
      <c r="F352" s="12"/>
      <c r="G352" s="11" t="s">
        <v>316</v>
      </c>
      <c r="H352" s="37">
        <v>2000.0</v>
      </c>
      <c r="I352" s="38"/>
      <c r="J352" s="20"/>
      <c r="K352" s="6"/>
      <c r="L352" s="6"/>
    </row>
    <row r="353">
      <c r="A353" s="36"/>
      <c r="B353" s="14">
        <v>45.0</v>
      </c>
      <c r="C353" s="67" t="s">
        <v>331</v>
      </c>
      <c r="D353" s="91"/>
      <c r="E353" s="12"/>
      <c r="F353" s="12"/>
      <c r="G353" s="11" t="s">
        <v>316</v>
      </c>
      <c r="H353" s="37">
        <v>2000.0</v>
      </c>
      <c r="I353" s="38"/>
      <c r="J353" s="20"/>
      <c r="K353" s="6"/>
      <c r="L353" s="6"/>
    </row>
    <row r="354">
      <c r="A354" s="36"/>
      <c r="B354" s="14">
        <v>46.0</v>
      </c>
      <c r="C354" s="67" t="s">
        <v>332</v>
      </c>
      <c r="D354" s="91"/>
      <c r="E354" s="12"/>
      <c r="F354" s="12"/>
      <c r="G354" s="11" t="s">
        <v>333</v>
      </c>
      <c r="H354" s="37">
        <v>2000.0</v>
      </c>
      <c r="I354" s="38"/>
      <c r="J354" s="20"/>
      <c r="K354" s="6"/>
      <c r="L354" s="6"/>
    </row>
    <row r="355">
      <c r="A355" s="36"/>
      <c r="B355" s="14">
        <v>47.0</v>
      </c>
      <c r="C355" s="92" t="s">
        <v>334</v>
      </c>
      <c r="D355" s="91"/>
      <c r="E355" s="12"/>
      <c r="F355" s="12"/>
      <c r="G355" s="11" t="s">
        <v>335</v>
      </c>
      <c r="H355" s="37">
        <v>20000.0</v>
      </c>
      <c r="I355" s="38"/>
      <c r="J355" s="20"/>
      <c r="K355" s="6"/>
      <c r="L355" s="6"/>
    </row>
    <row r="356">
      <c r="A356" s="36"/>
      <c r="B356" s="45">
        <v>48.0</v>
      </c>
      <c r="C356" s="92" t="s">
        <v>336</v>
      </c>
      <c r="D356" s="47"/>
      <c r="E356" s="47"/>
      <c r="F356" s="47"/>
      <c r="G356" s="46" t="s">
        <v>298</v>
      </c>
      <c r="H356" s="37">
        <v>100000.0</v>
      </c>
      <c r="I356" s="81" t="s">
        <v>301</v>
      </c>
      <c r="J356" s="20"/>
      <c r="K356" s="6"/>
      <c r="L356" s="6"/>
    </row>
    <row r="357">
      <c r="A357" s="36"/>
      <c r="B357" s="47"/>
      <c r="C357" s="93"/>
      <c r="D357" s="47"/>
      <c r="E357" s="47"/>
      <c r="F357" s="47"/>
      <c r="G357" s="47"/>
      <c r="H357" s="63"/>
      <c r="I357" s="49"/>
      <c r="J357" s="20"/>
      <c r="K357" s="6"/>
      <c r="L357" s="6"/>
    </row>
    <row r="358">
      <c r="A358" s="31">
        <v>6.0</v>
      </c>
      <c r="B358" s="32" t="s">
        <v>229</v>
      </c>
      <c r="C358" s="24"/>
      <c r="D358" s="24"/>
      <c r="E358" s="24"/>
      <c r="F358" s="24"/>
      <c r="G358" s="33"/>
      <c r="H358" s="34"/>
      <c r="I358" s="35"/>
      <c r="J358" s="20"/>
      <c r="K358" s="6"/>
      <c r="L358" s="6"/>
    </row>
    <row r="359">
      <c r="A359" s="36"/>
      <c r="B359" s="11" t="s">
        <v>76</v>
      </c>
      <c r="C359" s="11" t="s">
        <v>230</v>
      </c>
      <c r="D359" s="12"/>
      <c r="E359" s="12"/>
      <c r="F359" s="12"/>
      <c r="G359" s="12"/>
      <c r="H359" s="58"/>
      <c r="I359" s="38"/>
      <c r="J359" s="20"/>
      <c r="K359" s="6"/>
      <c r="L359" s="6"/>
    </row>
    <row r="360">
      <c r="A360" s="36"/>
      <c r="B360" s="12"/>
      <c r="C360" s="14">
        <v>1.0</v>
      </c>
      <c r="D360" s="11" t="s">
        <v>231</v>
      </c>
      <c r="E360" s="12"/>
      <c r="F360" s="12"/>
      <c r="G360" s="11" t="s">
        <v>232</v>
      </c>
      <c r="H360" s="37">
        <v>200000.0</v>
      </c>
      <c r="I360" s="38"/>
      <c r="J360" s="20"/>
      <c r="K360" s="6"/>
      <c r="L360" s="6"/>
    </row>
    <row r="361">
      <c r="A361" s="36"/>
      <c r="B361" s="12"/>
      <c r="C361" s="14">
        <v>2.0</v>
      </c>
      <c r="D361" s="11" t="s">
        <v>233</v>
      </c>
      <c r="E361" s="12"/>
      <c r="F361" s="12"/>
      <c r="G361" s="11" t="s">
        <v>232</v>
      </c>
      <c r="H361" s="37">
        <v>200000.0</v>
      </c>
      <c r="I361" s="38"/>
      <c r="J361" s="20"/>
      <c r="K361" s="6"/>
      <c r="L361" s="6"/>
    </row>
    <row r="362">
      <c r="A362" s="36"/>
      <c r="B362" s="12"/>
      <c r="C362" s="14">
        <v>3.0</v>
      </c>
      <c r="D362" s="11" t="s">
        <v>234</v>
      </c>
      <c r="E362" s="12"/>
      <c r="F362" s="12"/>
      <c r="G362" s="11" t="s">
        <v>232</v>
      </c>
      <c r="H362" s="37">
        <v>200000.0</v>
      </c>
      <c r="I362" s="38"/>
      <c r="J362" s="20"/>
      <c r="K362" s="6"/>
      <c r="L362" s="6"/>
    </row>
    <row r="363">
      <c r="A363" s="36"/>
      <c r="B363" s="12"/>
      <c r="C363" s="14">
        <v>4.0</v>
      </c>
      <c r="D363" s="11" t="s">
        <v>235</v>
      </c>
      <c r="E363" s="12"/>
      <c r="F363" s="12"/>
      <c r="G363" s="11" t="s">
        <v>232</v>
      </c>
      <c r="H363" s="37">
        <v>200000.0</v>
      </c>
      <c r="I363" s="38"/>
      <c r="J363" s="20"/>
      <c r="K363" s="6"/>
      <c r="L363" s="6"/>
    </row>
    <row r="364">
      <c r="A364" s="36"/>
      <c r="B364" s="12"/>
      <c r="C364" s="14">
        <v>5.0</v>
      </c>
      <c r="D364" s="11" t="s">
        <v>236</v>
      </c>
      <c r="E364" s="12"/>
      <c r="F364" s="12"/>
      <c r="G364" s="11" t="s">
        <v>232</v>
      </c>
      <c r="H364" s="37">
        <v>300000.0</v>
      </c>
      <c r="I364" s="38"/>
      <c r="J364" s="20"/>
      <c r="K364" s="6"/>
      <c r="L364" s="6"/>
    </row>
    <row r="365">
      <c r="A365" s="36"/>
      <c r="B365" s="12"/>
      <c r="C365" s="14">
        <v>6.0</v>
      </c>
      <c r="D365" s="11" t="s">
        <v>237</v>
      </c>
      <c r="E365" s="12"/>
      <c r="F365" s="12"/>
      <c r="G365" s="11" t="s">
        <v>232</v>
      </c>
      <c r="H365" s="37">
        <v>300000.0</v>
      </c>
      <c r="I365" s="38"/>
      <c r="J365" s="20"/>
      <c r="K365" s="6"/>
      <c r="L365" s="6"/>
    </row>
    <row r="366">
      <c r="A366" s="36"/>
      <c r="B366" s="11" t="s">
        <v>78</v>
      </c>
      <c r="C366" s="11" t="s">
        <v>238</v>
      </c>
      <c r="D366" s="12"/>
      <c r="E366" s="12"/>
      <c r="F366" s="12"/>
      <c r="G366" s="12"/>
      <c r="H366" s="58"/>
      <c r="I366" s="38"/>
      <c r="J366" s="20"/>
      <c r="K366" s="6"/>
      <c r="L366" s="6"/>
    </row>
    <row r="367">
      <c r="A367" s="36"/>
      <c r="B367" s="12"/>
      <c r="C367" s="11" t="s">
        <v>150</v>
      </c>
      <c r="D367" s="11" t="s">
        <v>239</v>
      </c>
      <c r="E367" s="12"/>
      <c r="F367" s="12"/>
      <c r="G367" s="11" t="s">
        <v>232</v>
      </c>
      <c r="H367" s="37">
        <v>200000.0</v>
      </c>
      <c r="I367" s="38"/>
      <c r="J367" s="20"/>
      <c r="K367" s="6"/>
      <c r="L367" s="6"/>
    </row>
    <row r="368">
      <c r="A368" s="36"/>
      <c r="B368" s="12"/>
      <c r="C368" s="11" t="s">
        <v>167</v>
      </c>
      <c r="D368" s="11" t="s">
        <v>240</v>
      </c>
      <c r="E368" s="12"/>
      <c r="F368" s="12"/>
      <c r="G368" s="11" t="s">
        <v>232</v>
      </c>
      <c r="H368" s="37">
        <v>200000.0</v>
      </c>
      <c r="I368" s="38"/>
      <c r="J368" s="20"/>
      <c r="K368" s="6"/>
      <c r="L368" s="6"/>
    </row>
    <row r="369">
      <c r="A369" s="36"/>
      <c r="B369" s="12"/>
      <c r="C369" s="11" t="s">
        <v>169</v>
      </c>
      <c r="D369" s="11" t="s">
        <v>241</v>
      </c>
      <c r="E369" s="12"/>
      <c r="F369" s="12"/>
      <c r="G369" s="11" t="s">
        <v>232</v>
      </c>
      <c r="H369" s="37">
        <v>200000.0</v>
      </c>
      <c r="I369" s="38"/>
      <c r="J369" s="20"/>
      <c r="K369" s="6"/>
      <c r="L369" s="6"/>
    </row>
    <row r="370">
      <c r="A370" s="36"/>
      <c r="B370" s="12"/>
      <c r="C370" s="11" t="s">
        <v>172</v>
      </c>
      <c r="D370" s="11" t="s">
        <v>242</v>
      </c>
      <c r="E370" s="12"/>
      <c r="F370" s="12"/>
      <c r="G370" s="11" t="s">
        <v>232</v>
      </c>
      <c r="H370" s="37">
        <v>200000.0</v>
      </c>
      <c r="I370" s="38"/>
      <c r="J370" s="20"/>
      <c r="K370" s="6"/>
      <c r="L370" s="6"/>
    </row>
    <row r="371">
      <c r="A371" s="36"/>
      <c r="B371" s="12"/>
      <c r="C371" s="11" t="s">
        <v>243</v>
      </c>
      <c r="D371" s="11" t="s">
        <v>244</v>
      </c>
      <c r="E371" s="12"/>
      <c r="F371" s="12"/>
      <c r="G371" s="11" t="s">
        <v>232</v>
      </c>
      <c r="H371" s="37">
        <v>200000.0</v>
      </c>
      <c r="I371" s="38"/>
      <c r="J371" s="20"/>
      <c r="K371" s="6"/>
      <c r="L371" s="6"/>
    </row>
    <row r="372">
      <c r="A372" s="36"/>
      <c r="B372" s="11" t="s">
        <v>80</v>
      </c>
      <c r="C372" s="11" t="s">
        <v>245</v>
      </c>
      <c r="D372" s="12"/>
      <c r="E372" s="12"/>
      <c r="F372" s="12"/>
      <c r="G372" s="11" t="s">
        <v>232</v>
      </c>
      <c r="H372" s="37">
        <v>200000.0</v>
      </c>
      <c r="I372" s="38"/>
      <c r="J372" s="20"/>
      <c r="K372" s="6"/>
      <c r="L372" s="6"/>
    </row>
    <row r="373">
      <c r="A373" s="36"/>
      <c r="B373" s="11" t="s">
        <v>129</v>
      </c>
      <c r="C373" s="11" t="s">
        <v>246</v>
      </c>
      <c r="D373" s="12"/>
      <c r="E373" s="12"/>
      <c r="F373" s="12"/>
      <c r="G373" s="11" t="s">
        <v>232</v>
      </c>
      <c r="H373" s="37">
        <v>200000.0</v>
      </c>
      <c r="I373" s="38"/>
      <c r="J373" s="20"/>
      <c r="K373" s="6"/>
      <c r="L373" s="6"/>
    </row>
    <row r="374">
      <c r="A374" s="36"/>
      <c r="B374" s="47"/>
      <c r="C374" s="47"/>
      <c r="D374" s="47"/>
      <c r="E374" s="47"/>
      <c r="F374" s="47"/>
      <c r="G374" s="47"/>
      <c r="H374" s="63"/>
      <c r="I374" s="49"/>
      <c r="J374" s="20"/>
      <c r="K374" s="6"/>
      <c r="L374" s="6"/>
    </row>
    <row r="375">
      <c r="A375" s="31">
        <v>7.0</v>
      </c>
      <c r="B375" s="32" t="s">
        <v>247</v>
      </c>
      <c r="C375" s="24"/>
      <c r="D375" s="24"/>
      <c r="E375" s="24"/>
      <c r="F375" s="24"/>
      <c r="G375" s="33"/>
      <c r="H375" s="34"/>
      <c r="I375" s="35"/>
      <c r="J375" s="20"/>
      <c r="K375" s="6"/>
      <c r="L375" s="6"/>
    </row>
    <row r="376">
      <c r="A376" s="36"/>
      <c r="B376" s="11" t="s">
        <v>76</v>
      </c>
      <c r="C376" s="94" t="s">
        <v>337</v>
      </c>
      <c r="D376" s="24"/>
      <c r="E376" s="24"/>
      <c r="F376" s="25"/>
      <c r="G376" s="95" t="s">
        <v>249</v>
      </c>
      <c r="H376" s="96">
        <v>750000.0</v>
      </c>
      <c r="I376" s="38"/>
      <c r="J376" s="20"/>
      <c r="K376" s="6"/>
      <c r="L376" s="6"/>
    </row>
    <row r="377">
      <c r="A377" s="36"/>
      <c r="B377" s="11" t="s">
        <v>80</v>
      </c>
      <c r="C377" s="94" t="s">
        <v>338</v>
      </c>
      <c r="D377" s="24"/>
      <c r="E377" s="24"/>
      <c r="F377" s="25"/>
      <c r="G377" s="95" t="s">
        <v>249</v>
      </c>
      <c r="H377" s="96">
        <v>850000.0</v>
      </c>
      <c r="I377" s="38"/>
      <c r="J377" s="20"/>
      <c r="K377" s="6"/>
      <c r="L377" s="6"/>
    </row>
    <row r="378">
      <c r="A378" s="36"/>
      <c r="B378" s="95" t="s">
        <v>78</v>
      </c>
      <c r="C378" s="95" t="s">
        <v>339</v>
      </c>
      <c r="D378" s="97"/>
      <c r="E378" s="97"/>
      <c r="F378" s="12"/>
      <c r="G378" s="97"/>
      <c r="H378" s="98" t="s">
        <v>340</v>
      </c>
      <c r="I378" s="38"/>
      <c r="J378" s="20"/>
      <c r="K378" s="6"/>
      <c r="L378" s="6"/>
    </row>
    <row r="379">
      <c r="A379" s="36"/>
      <c r="B379" s="46" t="s">
        <v>80</v>
      </c>
      <c r="C379" s="46" t="s">
        <v>341</v>
      </c>
      <c r="D379" s="47"/>
      <c r="E379" s="47"/>
      <c r="F379" s="47"/>
      <c r="G379" s="99"/>
      <c r="H379" s="100">
        <v>1400000.0</v>
      </c>
      <c r="I379" s="49"/>
      <c r="J379" s="20"/>
      <c r="K379" s="6"/>
      <c r="L379" s="6"/>
    </row>
    <row r="380">
      <c r="A380" s="36"/>
      <c r="B380" s="101" t="s">
        <v>129</v>
      </c>
      <c r="C380" s="101" t="s">
        <v>342</v>
      </c>
      <c r="D380" s="93"/>
      <c r="E380" s="93"/>
      <c r="F380" s="93"/>
      <c r="G380" s="102"/>
      <c r="H380" s="103">
        <v>1750000.0</v>
      </c>
      <c r="I380" s="54"/>
      <c r="J380" s="20"/>
      <c r="K380" s="6"/>
      <c r="L380" s="6"/>
    </row>
    <row r="381">
      <c r="A381" s="36"/>
      <c r="B381" s="104" t="s">
        <v>135</v>
      </c>
      <c r="C381" s="105" t="s">
        <v>343</v>
      </c>
      <c r="D381" s="93"/>
      <c r="E381" s="93"/>
      <c r="F381" s="93"/>
      <c r="G381" s="102"/>
      <c r="H381" s="106" t="s">
        <v>340</v>
      </c>
      <c r="I381" s="54"/>
      <c r="J381" s="20"/>
      <c r="K381" s="6"/>
      <c r="L381" s="6"/>
    </row>
    <row r="382">
      <c r="A382" s="36"/>
      <c r="B382" s="93"/>
      <c r="C382" s="47"/>
      <c r="D382" s="93"/>
      <c r="E382" s="93"/>
      <c r="F382" s="93"/>
      <c r="G382" s="102"/>
      <c r="H382" s="107"/>
      <c r="I382" s="54"/>
      <c r="J382" s="20"/>
      <c r="K382" s="6"/>
      <c r="L382" s="6"/>
    </row>
    <row r="383">
      <c r="A383" s="31">
        <v>8.0</v>
      </c>
      <c r="B383" s="32" t="s">
        <v>253</v>
      </c>
      <c r="C383" s="24"/>
      <c r="D383" s="24"/>
      <c r="E383" s="24"/>
      <c r="F383" s="24"/>
      <c r="G383" s="33"/>
      <c r="H383" s="34"/>
      <c r="I383" s="35"/>
      <c r="J383" s="20"/>
      <c r="K383" s="6"/>
      <c r="L383" s="6"/>
    </row>
    <row r="384">
      <c r="A384" s="36"/>
      <c r="B384" s="11" t="s">
        <v>76</v>
      </c>
      <c r="C384" s="11" t="s">
        <v>254</v>
      </c>
      <c r="D384" s="12"/>
      <c r="E384" s="12"/>
      <c r="F384" s="12"/>
      <c r="G384" s="11" t="s">
        <v>344</v>
      </c>
      <c r="H384" s="80">
        <v>1500000.0</v>
      </c>
      <c r="I384" s="38"/>
      <c r="J384" s="20"/>
      <c r="K384" s="6"/>
      <c r="L384" s="6"/>
    </row>
    <row r="385">
      <c r="A385" s="36"/>
      <c r="B385" s="11" t="s">
        <v>78</v>
      </c>
      <c r="C385" s="11" t="s">
        <v>256</v>
      </c>
      <c r="D385" s="12"/>
      <c r="E385" s="12"/>
      <c r="F385" s="12"/>
      <c r="G385" s="11" t="s">
        <v>344</v>
      </c>
      <c r="H385" s="80">
        <v>750000.0</v>
      </c>
      <c r="I385" s="38"/>
      <c r="J385" s="20"/>
      <c r="K385" s="6"/>
      <c r="L385" s="6"/>
    </row>
    <row r="386">
      <c r="A386" s="108"/>
      <c r="B386" s="109" t="s">
        <v>80</v>
      </c>
      <c r="C386" s="109" t="s">
        <v>345</v>
      </c>
      <c r="D386" s="99"/>
      <c r="E386" s="99"/>
      <c r="F386" s="99"/>
      <c r="G386" s="109" t="s">
        <v>346</v>
      </c>
      <c r="H386" s="110">
        <v>700000.0</v>
      </c>
      <c r="I386" s="111" t="s">
        <v>347</v>
      </c>
      <c r="J386" s="112"/>
      <c r="K386" s="30"/>
      <c r="L386" s="30"/>
    </row>
    <row r="387">
      <c r="A387" s="108"/>
      <c r="B387" s="104" t="s">
        <v>129</v>
      </c>
      <c r="C387" s="104" t="s">
        <v>348</v>
      </c>
      <c r="D387" s="102"/>
      <c r="E387" s="102"/>
      <c r="F387" s="102"/>
      <c r="G387" s="104" t="s">
        <v>349</v>
      </c>
      <c r="H387" s="113">
        <v>500000.0</v>
      </c>
      <c r="I387" s="114" t="s">
        <v>347</v>
      </c>
      <c r="J387" s="112"/>
      <c r="K387" s="30"/>
      <c r="L387" s="30"/>
    </row>
    <row r="388">
      <c r="A388" s="36"/>
      <c r="B388" s="93"/>
      <c r="C388" s="93"/>
      <c r="D388" s="93"/>
      <c r="E388" s="93"/>
      <c r="F388" s="93"/>
      <c r="G388" s="93"/>
      <c r="H388" s="115"/>
      <c r="I388" s="54"/>
      <c r="J388" s="20"/>
      <c r="K388" s="6"/>
      <c r="L388" s="6"/>
    </row>
    <row r="389">
      <c r="A389" s="31">
        <v>9.0</v>
      </c>
      <c r="B389" s="32" t="s">
        <v>257</v>
      </c>
      <c r="C389" s="24"/>
      <c r="D389" s="24"/>
      <c r="E389" s="24"/>
      <c r="F389" s="24"/>
      <c r="G389" s="33"/>
      <c r="H389" s="34"/>
      <c r="I389" s="35"/>
      <c r="J389" s="20"/>
      <c r="K389" s="6"/>
      <c r="L389" s="6"/>
    </row>
    <row r="390">
      <c r="A390" s="36"/>
      <c r="B390" s="14">
        <v>1.0</v>
      </c>
      <c r="C390" s="11" t="s">
        <v>258</v>
      </c>
      <c r="D390" s="12"/>
      <c r="E390" s="12"/>
      <c r="F390" s="12"/>
      <c r="G390" s="11" t="s">
        <v>259</v>
      </c>
      <c r="H390" s="37">
        <v>200000.0</v>
      </c>
      <c r="I390" s="11" t="s">
        <v>350</v>
      </c>
      <c r="J390" s="6"/>
      <c r="K390" s="6"/>
      <c r="L390" s="6"/>
    </row>
    <row r="391">
      <c r="A391" s="36"/>
      <c r="B391" s="14">
        <v>2.0</v>
      </c>
      <c r="C391" s="11" t="s">
        <v>260</v>
      </c>
      <c r="D391" s="12"/>
      <c r="E391" s="12"/>
      <c r="F391" s="12"/>
      <c r="G391" s="11" t="s">
        <v>259</v>
      </c>
      <c r="H391" s="37">
        <v>2000000.0</v>
      </c>
      <c r="I391" s="11" t="s">
        <v>350</v>
      </c>
      <c r="J391" s="6"/>
      <c r="K391" s="6"/>
      <c r="L391" s="6"/>
    </row>
    <row r="392">
      <c r="A392" s="36"/>
      <c r="B392" s="14">
        <v>3.0</v>
      </c>
      <c r="C392" s="116" t="s">
        <v>261</v>
      </c>
      <c r="D392" s="117"/>
      <c r="E392" s="117"/>
      <c r="F392" s="12"/>
      <c r="G392" s="11" t="s">
        <v>259</v>
      </c>
      <c r="H392" s="37">
        <v>3000000.0</v>
      </c>
      <c r="I392" s="11" t="s">
        <v>350</v>
      </c>
      <c r="J392" s="6"/>
      <c r="K392" s="6"/>
      <c r="L392" s="6"/>
    </row>
    <row r="393">
      <c r="A393" s="36"/>
      <c r="B393" s="14">
        <v>4.0</v>
      </c>
      <c r="C393" s="11" t="s">
        <v>262</v>
      </c>
      <c r="D393" s="12"/>
      <c r="E393" s="12"/>
      <c r="F393" s="12"/>
      <c r="G393" s="11" t="s">
        <v>259</v>
      </c>
      <c r="H393" s="37">
        <v>300000.0</v>
      </c>
      <c r="I393" s="11" t="s">
        <v>350</v>
      </c>
      <c r="J393" s="6"/>
      <c r="K393" s="6"/>
      <c r="L393" s="6"/>
    </row>
    <row r="394">
      <c r="A394" s="36"/>
      <c r="B394" s="14">
        <v>5.0</v>
      </c>
      <c r="C394" s="11" t="s">
        <v>263</v>
      </c>
      <c r="D394" s="12"/>
      <c r="E394" s="12"/>
      <c r="F394" s="12"/>
      <c r="G394" s="11" t="s">
        <v>259</v>
      </c>
      <c r="H394" s="37">
        <v>200000.0</v>
      </c>
      <c r="I394" s="11" t="s">
        <v>350</v>
      </c>
      <c r="J394" s="6"/>
      <c r="K394" s="6"/>
      <c r="L394" s="6"/>
    </row>
    <row r="395">
      <c r="A395" s="36"/>
      <c r="B395" s="14">
        <v>6.0</v>
      </c>
      <c r="C395" s="11" t="s">
        <v>264</v>
      </c>
      <c r="D395" s="12"/>
      <c r="E395" s="12"/>
      <c r="F395" s="12"/>
      <c r="G395" s="11" t="s">
        <v>259</v>
      </c>
      <c r="H395" s="37">
        <v>200000.0</v>
      </c>
      <c r="I395" s="11" t="s">
        <v>350</v>
      </c>
      <c r="J395" s="6"/>
      <c r="K395" s="6"/>
      <c r="L395" s="6"/>
    </row>
    <row r="396">
      <c r="A396" s="36"/>
      <c r="B396" s="14">
        <v>7.0</v>
      </c>
      <c r="C396" s="11" t="s">
        <v>265</v>
      </c>
      <c r="D396" s="12"/>
      <c r="E396" s="12"/>
      <c r="F396" s="12"/>
      <c r="G396" s="11" t="s">
        <v>259</v>
      </c>
      <c r="H396" s="37">
        <v>200000.0</v>
      </c>
      <c r="I396" s="11" t="s">
        <v>350</v>
      </c>
      <c r="J396" s="6"/>
      <c r="K396" s="6"/>
      <c r="L396" s="6"/>
    </row>
    <row r="397">
      <c r="A397" s="36"/>
      <c r="B397" s="14">
        <v>8.0</v>
      </c>
      <c r="C397" s="11" t="s">
        <v>266</v>
      </c>
      <c r="D397" s="12"/>
      <c r="E397" s="12"/>
      <c r="F397" s="12"/>
      <c r="G397" s="11" t="s">
        <v>259</v>
      </c>
      <c r="H397" s="37">
        <v>200000.0</v>
      </c>
      <c r="I397" s="11" t="s">
        <v>350</v>
      </c>
      <c r="J397" s="6"/>
      <c r="K397" s="6"/>
      <c r="L397" s="6"/>
    </row>
    <row r="398">
      <c r="A398" s="36"/>
      <c r="B398" s="14">
        <v>9.0</v>
      </c>
      <c r="C398" s="11" t="s">
        <v>267</v>
      </c>
      <c r="D398" s="12"/>
      <c r="E398" s="12"/>
      <c r="F398" s="12"/>
      <c r="G398" s="11" t="s">
        <v>259</v>
      </c>
      <c r="H398" s="37">
        <v>600000.0</v>
      </c>
      <c r="I398" s="11" t="s">
        <v>350</v>
      </c>
      <c r="J398" s="6"/>
      <c r="K398" s="6"/>
      <c r="L398" s="6"/>
    </row>
    <row r="399">
      <c r="A399" s="36"/>
      <c r="B399" s="14">
        <v>10.0</v>
      </c>
      <c r="C399" s="11" t="s">
        <v>268</v>
      </c>
      <c r="D399" s="12"/>
      <c r="E399" s="12"/>
      <c r="F399" s="12"/>
      <c r="G399" s="11" t="s">
        <v>259</v>
      </c>
      <c r="H399" s="37">
        <v>600000.0</v>
      </c>
      <c r="I399" s="11" t="s">
        <v>350</v>
      </c>
      <c r="J399" s="6"/>
      <c r="K399" s="6"/>
      <c r="L399" s="6"/>
    </row>
    <row r="400">
      <c r="A400" s="36"/>
      <c r="B400" s="14">
        <v>11.0</v>
      </c>
      <c r="C400" s="11" t="s">
        <v>269</v>
      </c>
      <c r="D400" s="12"/>
      <c r="E400" s="12"/>
      <c r="F400" s="12"/>
      <c r="G400" s="11" t="s">
        <v>259</v>
      </c>
      <c r="H400" s="37">
        <v>600000.0</v>
      </c>
      <c r="I400" s="11" t="s">
        <v>350</v>
      </c>
      <c r="J400" s="6"/>
      <c r="K400" s="6"/>
      <c r="L400" s="6"/>
    </row>
    <row r="401">
      <c r="A401" s="36"/>
      <c r="B401" s="14">
        <v>12.0</v>
      </c>
      <c r="C401" s="11" t="s">
        <v>351</v>
      </c>
      <c r="D401" s="12"/>
      <c r="E401" s="12"/>
      <c r="F401" s="12"/>
      <c r="G401" s="11" t="s">
        <v>259</v>
      </c>
      <c r="H401" s="37">
        <v>750000.0</v>
      </c>
      <c r="I401" s="38"/>
      <c r="J401" s="20"/>
      <c r="K401" s="6"/>
      <c r="L401" s="6"/>
    </row>
    <row r="402">
      <c r="A402" s="118" t="s">
        <v>352</v>
      </c>
      <c r="D402" s="6"/>
      <c r="E402" s="6"/>
      <c r="F402" s="6"/>
      <c r="G402" s="6"/>
      <c r="H402" s="21"/>
      <c r="I402" s="20"/>
      <c r="J402" s="20"/>
      <c r="K402" s="6"/>
      <c r="L402" s="6"/>
    </row>
    <row r="403">
      <c r="A403" s="5"/>
      <c r="B403" s="67" t="s">
        <v>76</v>
      </c>
      <c r="C403" s="67" t="s">
        <v>353</v>
      </c>
      <c r="G403" s="6"/>
      <c r="H403" s="21"/>
      <c r="I403" s="20"/>
      <c r="J403" s="20"/>
      <c r="K403" s="6"/>
      <c r="L403" s="6"/>
    </row>
    <row r="404">
      <c r="A404" s="5"/>
      <c r="B404" s="67" t="s">
        <v>78</v>
      </c>
      <c r="C404" s="67" t="s">
        <v>354</v>
      </c>
      <c r="H404" s="21"/>
      <c r="I404" s="20"/>
      <c r="J404" s="20"/>
      <c r="K404" s="6"/>
      <c r="L404" s="6"/>
    </row>
    <row r="405">
      <c r="A405" s="5"/>
      <c r="B405" s="67" t="s">
        <v>80</v>
      </c>
      <c r="C405" s="119" t="s">
        <v>355</v>
      </c>
      <c r="H405" s="21"/>
      <c r="I405" s="20"/>
      <c r="J405" s="20"/>
      <c r="K405" s="6"/>
      <c r="L405" s="6"/>
    </row>
    <row r="406">
      <c r="A406" s="5"/>
      <c r="B406" s="6"/>
      <c r="C406" s="67" t="s">
        <v>150</v>
      </c>
      <c r="D406" s="67" t="s">
        <v>356</v>
      </c>
      <c r="G406" s="6"/>
      <c r="H406" s="21"/>
      <c r="I406" s="20"/>
      <c r="J406" s="20"/>
      <c r="K406" s="6"/>
      <c r="L406" s="6"/>
    </row>
    <row r="407">
      <c r="A407" s="5"/>
      <c r="B407" s="6"/>
      <c r="C407" s="67" t="s">
        <v>204</v>
      </c>
      <c r="D407" s="67" t="s">
        <v>357</v>
      </c>
      <c r="G407" s="6"/>
      <c r="H407" s="21"/>
      <c r="I407" s="20"/>
      <c r="J407" s="20"/>
      <c r="K407" s="6"/>
      <c r="L407" s="6"/>
    </row>
    <row r="408">
      <c r="A408" s="5"/>
      <c r="B408" s="6"/>
      <c r="C408" s="67" t="s">
        <v>206</v>
      </c>
      <c r="D408" s="119" t="s">
        <v>358</v>
      </c>
      <c r="F408" s="6"/>
      <c r="G408" s="6"/>
      <c r="H408" s="21"/>
      <c r="I408" s="20"/>
      <c r="J408" s="20"/>
      <c r="K408" s="6"/>
      <c r="L408" s="6"/>
    </row>
    <row r="409">
      <c r="A409" s="5"/>
      <c r="B409" s="6"/>
      <c r="C409" s="67" t="s">
        <v>208</v>
      </c>
      <c r="D409" s="67" t="s">
        <v>359</v>
      </c>
      <c r="G409" s="6"/>
      <c r="H409" s="21"/>
      <c r="I409" s="20"/>
      <c r="J409" s="20"/>
      <c r="K409" s="6"/>
      <c r="L409" s="6"/>
    </row>
    <row r="410">
      <c r="A410" s="5"/>
      <c r="B410" s="6"/>
      <c r="C410" s="67" t="s">
        <v>210</v>
      </c>
      <c r="D410" s="67" t="s">
        <v>360</v>
      </c>
      <c r="H410" s="21"/>
      <c r="I410" s="20"/>
      <c r="J410" s="20"/>
      <c r="K410" s="6"/>
      <c r="L410" s="6"/>
    </row>
    <row r="411">
      <c r="A411" s="5"/>
      <c r="B411" s="6"/>
      <c r="C411" s="67" t="s">
        <v>212</v>
      </c>
      <c r="D411" s="119" t="s">
        <v>361</v>
      </c>
      <c r="G411" s="6"/>
      <c r="H411" s="21"/>
      <c r="I411" s="20"/>
      <c r="J411" s="20"/>
      <c r="K411" s="6"/>
      <c r="L411" s="6"/>
    </row>
    <row r="412">
      <c r="A412" s="5"/>
      <c r="B412" s="6"/>
      <c r="C412" s="67" t="s">
        <v>214</v>
      </c>
      <c r="D412" s="119" t="s">
        <v>362</v>
      </c>
      <c r="G412" s="6"/>
      <c r="H412" s="21"/>
      <c r="I412" s="20"/>
      <c r="J412" s="20"/>
      <c r="K412" s="6"/>
      <c r="L412" s="6"/>
    </row>
    <row r="413">
      <c r="A413" s="5"/>
      <c r="B413" s="6"/>
      <c r="C413" s="67" t="s">
        <v>363</v>
      </c>
      <c r="D413" s="67" t="s">
        <v>364</v>
      </c>
      <c r="G413" s="6"/>
      <c r="H413" s="21"/>
      <c r="I413" s="20"/>
      <c r="J413" s="20"/>
      <c r="K413" s="6"/>
      <c r="L413" s="6"/>
    </row>
    <row r="414">
      <c r="A414" s="5"/>
      <c r="B414" s="67" t="s">
        <v>129</v>
      </c>
      <c r="C414" s="67" t="s">
        <v>365</v>
      </c>
      <c r="H414" s="21"/>
      <c r="I414" s="20"/>
      <c r="J414" s="20"/>
      <c r="K414" s="6"/>
      <c r="L414" s="6"/>
    </row>
    <row r="415">
      <c r="A415" s="5"/>
      <c r="B415" s="67" t="s">
        <v>135</v>
      </c>
      <c r="C415" s="67" t="s">
        <v>366</v>
      </c>
      <c r="H415" s="21"/>
      <c r="I415" s="20"/>
      <c r="J415" s="20"/>
      <c r="K415" s="6"/>
      <c r="L415" s="6"/>
    </row>
    <row r="416">
      <c r="A416" s="18"/>
      <c r="H416" s="120"/>
    </row>
    <row r="417">
      <c r="A417" s="18"/>
      <c r="H417" s="120"/>
    </row>
    <row r="418">
      <c r="A418" s="18"/>
      <c r="H418" s="120"/>
    </row>
    <row r="419">
      <c r="A419" s="18"/>
      <c r="H419" s="120"/>
    </row>
    <row r="420">
      <c r="A420" s="18"/>
      <c r="H420" s="120"/>
    </row>
    <row r="421">
      <c r="A421" s="18"/>
      <c r="H421" s="120"/>
    </row>
    <row r="422">
      <c r="A422" s="18"/>
      <c r="H422" s="120"/>
    </row>
    <row r="423">
      <c r="A423" s="18"/>
      <c r="H423" s="120"/>
    </row>
    <row r="424">
      <c r="A424" s="18"/>
      <c r="H424" s="120"/>
    </row>
    <row r="425">
      <c r="A425" s="18"/>
      <c r="H425" s="120"/>
    </row>
    <row r="426">
      <c r="A426" s="18"/>
      <c r="H426" s="120"/>
    </row>
    <row r="427">
      <c r="A427" s="18"/>
      <c r="H427" s="120"/>
    </row>
    <row r="428">
      <c r="A428" s="18"/>
      <c r="H428" s="120"/>
    </row>
    <row r="429">
      <c r="A429" s="18"/>
      <c r="H429" s="120"/>
    </row>
    <row r="430">
      <c r="A430" s="18"/>
      <c r="H430" s="120"/>
    </row>
    <row r="431">
      <c r="A431" s="18"/>
      <c r="H431" s="120"/>
    </row>
    <row r="432">
      <c r="A432" s="18"/>
      <c r="H432" s="120"/>
    </row>
    <row r="433">
      <c r="A433" s="18"/>
      <c r="H433" s="120"/>
    </row>
    <row r="434">
      <c r="A434" s="18"/>
      <c r="H434" s="120"/>
    </row>
    <row r="435">
      <c r="A435" s="18"/>
      <c r="H435" s="120"/>
    </row>
    <row r="436">
      <c r="A436" s="18"/>
      <c r="H436" s="120"/>
    </row>
    <row r="437">
      <c r="A437" s="18"/>
      <c r="H437" s="120"/>
    </row>
    <row r="438">
      <c r="A438" s="18"/>
      <c r="H438" s="120"/>
    </row>
    <row r="439">
      <c r="A439" s="18"/>
      <c r="H439" s="120"/>
    </row>
    <row r="440">
      <c r="A440" s="18"/>
      <c r="H440" s="120"/>
    </row>
    <row r="441">
      <c r="A441" s="18"/>
      <c r="H441" s="120"/>
    </row>
    <row r="442">
      <c r="A442" s="18"/>
      <c r="H442" s="120"/>
    </row>
    <row r="443">
      <c r="A443" s="18"/>
      <c r="H443" s="120"/>
    </row>
    <row r="444">
      <c r="A444" s="18"/>
      <c r="H444" s="120"/>
    </row>
    <row r="445">
      <c r="A445" s="18"/>
      <c r="H445" s="120"/>
    </row>
    <row r="446">
      <c r="A446" s="18"/>
      <c r="H446" s="120"/>
    </row>
    <row r="447">
      <c r="A447" s="18"/>
      <c r="H447" s="120"/>
    </row>
    <row r="448">
      <c r="A448" s="18"/>
      <c r="H448" s="120"/>
    </row>
    <row r="449">
      <c r="A449" s="18"/>
      <c r="H449" s="120"/>
    </row>
    <row r="450">
      <c r="A450" s="18"/>
      <c r="H450" s="120"/>
    </row>
    <row r="451">
      <c r="A451" s="18"/>
      <c r="H451" s="120"/>
    </row>
    <row r="452">
      <c r="A452" s="18"/>
      <c r="H452" s="120"/>
    </row>
    <row r="453">
      <c r="A453" s="18"/>
      <c r="H453" s="120"/>
    </row>
    <row r="454">
      <c r="A454" s="18"/>
      <c r="H454" s="120"/>
    </row>
    <row r="455">
      <c r="A455" s="18"/>
      <c r="H455" s="120"/>
    </row>
    <row r="456">
      <c r="A456" s="18"/>
      <c r="H456" s="120"/>
    </row>
    <row r="457">
      <c r="A457" s="18"/>
      <c r="H457" s="120"/>
    </row>
    <row r="458">
      <c r="A458" s="18"/>
      <c r="H458" s="120"/>
    </row>
    <row r="459">
      <c r="A459" s="18"/>
      <c r="H459" s="120"/>
    </row>
    <row r="460">
      <c r="A460" s="18"/>
      <c r="H460" s="120"/>
    </row>
    <row r="461">
      <c r="A461" s="18"/>
      <c r="H461" s="120"/>
    </row>
    <row r="462">
      <c r="A462" s="18"/>
      <c r="H462" s="120"/>
    </row>
    <row r="463">
      <c r="A463" s="18"/>
      <c r="H463" s="120"/>
    </row>
    <row r="464">
      <c r="A464" s="18"/>
      <c r="H464" s="120"/>
    </row>
    <row r="465">
      <c r="A465" s="18"/>
      <c r="H465" s="120"/>
    </row>
    <row r="466">
      <c r="A466" s="18"/>
      <c r="H466" s="120"/>
    </row>
    <row r="467">
      <c r="A467" s="18"/>
      <c r="H467" s="120"/>
    </row>
    <row r="468">
      <c r="A468" s="18"/>
      <c r="H468" s="120"/>
    </row>
    <row r="469">
      <c r="A469" s="18"/>
      <c r="H469" s="120"/>
    </row>
    <row r="470">
      <c r="A470" s="18"/>
      <c r="H470" s="120"/>
    </row>
    <row r="471">
      <c r="A471" s="18"/>
      <c r="H471" s="120"/>
    </row>
    <row r="472">
      <c r="A472" s="18"/>
      <c r="H472" s="120"/>
    </row>
    <row r="473">
      <c r="A473" s="18"/>
      <c r="H473" s="120"/>
    </row>
    <row r="474">
      <c r="A474" s="18"/>
      <c r="H474" s="120"/>
    </row>
    <row r="475">
      <c r="A475" s="18"/>
      <c r="H475" s="120"/>
    </row>
    <row r="476">
      <c r="A476" s="18"/>
      <c r="H476" s="120"/>
    </row>
    <row r="477">
      <c r="A477" s="18"/>
      <c r="H477" s="120"/>
    </row>
    <row r="478">
      <c r="A478" s="18"/>
      <c r="H478" s="120"/>
    </row>
    <row r="479">
      <c r="A479" s="18"/>
      <c r="H479" s="120"/>
    </row>
    <row r="480">
      <c r="A480" s="18"/>
      <c r="H480" s="120"/>
    </row>
    <row r="481">
      <c r="A481" s="18"/>
      <c r="H481" s="120"/>
    </row>
    <row r="482">
      <c r="A482" s="18"/>
      <c r="H482" s="120"/>
    </row>
    <row r="483">
      <c r="A483" s="18"/>
      <c r="H483" s="120"/>
    </row>
    <row r="484">
      <c r="A484" s="18"/>
      <c r="H484" s="120"/>
    </row>
    <row r="485">
      <c r="A485" s="18"/>
      <c r="H485" s="120"/>
    </row>
    <row r="486">
      <c r="A486" s="18"/>
      <c r="H486" s="120"/>
    </row>
    <row r="487">
      <c r="A487" s="18"/>
      <c r="H487" s="120"/>
    </row>
    <row r="488">
      <c r="A488" s="18"/>
      <c r="H488" s="120"/>
    </row>
    <row r="489">
      <c r="A489" s="18"/>
      <c r="H489" s="120"/>
    </row>
    <row r="490">
      <c r="A490" s="18"/>
      <c r="H490" s="120"/>
    </row>
    <row r="491">
      <c r="A491" s="18"/>
      <c r="H491" s="120"/>
    </row>
    <row r="492">
      <c r="A492" s="18"/>
      <c r="H492" s="120"/>
    </row>
    <row r="493">
      <c r="A493" s="18"/>
      <c r="H493" s="120"/>
    </row>
    <row r="494">
      <c r="A494" s="18"/>
      <c r="H494" s="120"/>
    </row>
    <row r="495">
      <c r="A495" s="18"/>
      <c r="H495" s="120"/>
    </row>
    <row r="496">
      <c r="A496" s="18"/>
      <c r="H496" s="120"/>
    </row>
    <row r="497">
      <c r="A497" s="18"/>
      <c r="H497" s="120"/>
    </row>
    <row r="498">
      <c r="A498" s="18"/>
      <c r="H498" s="120"/>
    </row>
    <row r="499">
      <c r="A499" s="18"/>
      <c r="H499" s="120"/>
    </row>
    <row r="500">
      <c r="A500" s="18"/>
      <c r="H500" s="120"/>
    </row>
    <row r="501">
      <c r="A501" s="18"/>
      <c r="H501" s="120"/>
    </row>
    <row r="502">
      <c r="A502" s="18"/>
      <c r="H502" s="120"/>
    </row>
    <row r="503">
      <c r="A503" s="18"/>
      <c r="H503" s="120"/>
    </row>
    <row r="504">
      <c r="A504" s="18"/>
      <c r="H504" s="120"/>
    </row>
    <row r="505">
      <c r="A505" s="18"/>
      <c r="H505" s="120"/>
    </row>
    <row r="506">
      <c r="A506" s="18"/>
      <c r="H506" s="120"/>
    </row>
    <row r="507">
      <c r="A507" s="18"/>
      <c r="H507" s="120"/>
    </row>
    <row r="508">
      <c r="A508" s="18"/>
      <c r="H508" s="120"/>
    </row>
    <row r="509">
      <c r="A509" s="18"/>
      <c r="H509" s="120"/>
    </row>
    <row r="510">
      <c r="A510" s="18"/>
      <c r="H510" s="120"/>
    </row>
    <row r="511">
      <c r="A511" s="18"/>
      <c r="H511" s="120"/>
    </row>
    <row r="512">
      <c r="A512" s="18"/>
      <c r="H512" s="120"/>
    </row>
    <row r="513">
      <c r="A513" s="18"/>
      <c r="H513" s="120"/>
    </row>
    <row r="514">
      <c r="A514" s="18"/>
      <c r="H514" s="120"/>
    </row>
    <row r="515">
      <c r="A515" s="18"/>
      <c r="H515" s="120"/>
    </row>
    <row r="516">
      <c r="A516" s="18"/>
      <c r="H516" s="120"/>
    </row>
    <row r="517">
      <c r="A517" s="18"/>
      <c r="H517" s="120"/>
    </row>
    <row r="518">
      <c r="A518" s="18"/>
      <c r="H518" s="120"/>
    </row>
    <row r="519">
      <c r="A519" s="18"/>
      <c r="H519" s="120"/>
    </row>
    <row r="520">
      <c r="A520" s="18"/>
      <c r="H520" s="120"/>
    </row>
    <row r="521">
      <c r="A521" s="18"/>
      <c r="H521" s="120"/>
    </row>
    <row r="522">
      <c r="A522" s="18"/>
      <c r="H522" s="120"/>
    </row>
    <row r="523">
      <c r="A523" s="18"/>
      <c r="H523" s="120"/>
    </row>
    <row r="524">
      <c r="A524" s="18"/>
      <c r="H524" s="120"/>
    </row>
    <row r="525">
      <c r="A525" s="18"/>
      <c r="H525" s="120"/>
    </row>
    <row r="526">
      <c r="A526" s="18"/>
      <c r="H526" s="120"/>
    </row>
    <row r="527">
      <c r="A527" s="18"/>
      <c r="H527" s="120"/>
    </row>
    <row r="528">
      <c r="A528" s="18"/>
      <c r="H528" s="120"/>
    </row>
    <row r="529">
      <c r="A529" s="18"/>
      <c r="H529" s="120"/>
    </row>
    <row r="530">
      <c r="A530" s="18"/>
      <c r="H530" s="120"/>
    </row>
    <row r="531">
      <c r="A531" s="18"/>
      <c r="H531" s="120"/>
    </row>
    <row r="532">
      <c r="A532" s="18"/>
      <c r="H532" s="120"/>
    </row>
    <row r="533">
      <c r="A533" s="18"/>
      <c r="H533" s="120"/>
    </row>
    <row r="534">
      <c r="A534" s="18"/>
      <c r="H534" s="120"/>
    </row>
    <row r="535">
      <c r="A535" s="18"/>
      <c r="H535" s="120"/>
    </row>
    <row r="536">
      <c r="A536" s="18"/>
      <c r="H536" s="120"/>
    </row>
    <row r="537">
      <c r="A537" s="18"/>
      <c r="H537" s="120"/>
    </row>
    <row r="538">
      <c r="A538" s="18"/>
      <c r="H538" s="120"/>
    </row>
    <row r="539">
      <c r="A539" s="18"/>
      <c r="H539" s="120"/>
    </row>
    <row r="540">
      <c r="A540" s="18"/>
      <c r="H540" s="120"/>
    </row>
    <row r="541">
      <c r="A541" s="18"/>
      <c r="H541" s="120"/>
    </row>
    <row r="542">
      <c r="A542" s="18"/>
      <c r="H542" s="120"/>
    </row>
    <row r="543">
      <c r="A543" s="18"/>
      <c r="H543" s="120"/>
    </row>
    <row r="544">
      <c r="A544" s="18"/>
      <c r="H544" s="120"/>
    </row>
    <row r="545">
      <c r="A545" s="18"/>
      <c r="H545" s="120"/>
    </row>
    <row r="546">
      <c r="A546" s="18"/>
      <c r="H546" s="120"/>
    </row>
    <row r="547">
      <c r="A547" s="18"/>
      <c r="H547" s="120"/>
    </row>
    <row r="548">
      <c r="A548" s="18"/>
      <c r="H548" s="120"/>
    </row>
    <row r="549">
      <c r="A549" s="18"/>
      <c r="H549" s="120"/>
    </row>
    <row r="550">
      <c r="A550" s="18"/>
      <c r="H550" s="120"/>
    </row>
    <row r="551">
      <c r="A551" s="18"/>
      <c r="H551" s="120"/>
    </row>
    <row r="552">
      <c r="A552" s="18"/>
      <c r="H552" s="120"/>
    </row>
    <row r="553">
      <c r="A553" s="18"/>
      <c r="H553" s="120"/>
    </row>
    <row r="554">
      <c r="A554" s="18"/>
      <c r="H554" s="120"/>
    </row>
    <row r="555">
      <c r="A555" s="18"/>
      <c r="H555" s="120"/>
    </row>
    <row r="556">
      <c r="A556" s="18"/>
      <c r="H556" s="120"/>
    </row>
    <row r="557">
      <c r="A557" s="18"/>
      <c r="H557" s="120"/>
    </row>
    <row r="558">
      <c r="A558" s="18"/>
      <c r="H558" s="120"/>
    </row>
    <row r="559">
      <c r="A559" s="18"/>
      <c r="H559" s="120"/>
    </row>
    <row r="560">
      <c r="A560" s="18"/>
      <c r="H560" s="120"/>
    </row>
    <row r="561">
      <c r="A561" s="18"/>
      <c r="H561" s="120"/>
    </row>
    <row r="562">
      <c r="A562" s="18"/>
      <c r="H562" s="120"/>
    </row>
    <row r="563">
      <c r="A563" s="18"/>
      <c r="H563" s="120"/>
    </row>
    <row r="564">
      <c r="A564" s="18"/>
      <c r="H564" s="120"/>
    </row>
    <row r="565">
      <c r="A565" s="18"/>
      <c r="H565" s="120"/>
    </row>
    <row r="566">
      <c r="A566" s="18"/>
      <c r="H566" s="120"/>
    </row>
    <row r="567">
      <c r="A567" s="18"/>
      <c r="H567" s="120"/>
    </row>
    <row r="568">
      <c r="A568" s="18"/>
      <c r="H568" s="120"/>
    </row>
    <row r="569">
      <c r="A569" s="18"/>
      <c r="H569" s="120"/>
    </row>
    <row r="570">
      <c r="A570" s="18"/>
      <c r="H570" s="120"/>
    </row>
    <row r="571">
      <c r="A571" s="18"/>
      <c r="H571" s="120"/>
    </row>
    <row r="572">
      <c r="A572" s="18"/>
      <c r="H572" s="120"/>
    </row>
    <row r="573">
      <c r="A573" s="18"/>
      <c r="H573" s="120"/>
    </row>
    <row r="574">
      <c r="A574" s="18"/>
      <c r="H574" s="120"/>
    </row>
    <row r="575">
      <c r="A575" s="18"/>
      <c r="H575" s="120"/>
    </row>
    <row r="576">
      <c r="A576" s="18"/>
      <c r="H576" s="120"/>
    </row>
    <row r="577">
      <c r="A577" s="18"/>
      <c r="H577" s="120"/>
    </row>
    <row r="578">
      <c r="A578" s="18"/>
      <c r="H578" s="120"/>
    </row>
    <row r="579">
      <c r="A579" s="18"/>
      <c r="H579" s="120"/>
    </row>
    <row r="580">
      <c r="A580" s="18"/>
      <c r="H580" s="120"/>
    </row>
    <row r="581">
      <c r="A581" s="18"/>
      <c r="H581" s="120"/>
    </row>
    <row r="582">
      <c r="A582" s="18"/>
      <c r="H582" s="120"/>
    </row>
    <row r="583">
      <c r="A583" s="18"/>
      <c r="H583" s="120"/>
    </row>
    <row r="584">
      <c r="A584" s="18"/>
      <c r="H584" s="120"/>
    </row>
    <row r="585">
      <c r="A585" s="18"/>
      <c r="H585" s="120"/>
    </row>
    <row r="586">
      <c r="A586" s="18"/>
      <c r="H586" s="120"/>
    </row>
    <row r="587">
      <c r="A587" s="18"/>
      <c r="H587" s="120"/>
    </row>
    <row r="588">
      <c r="A588" s="18"/>
      <c r="H588" s="120"/>
    </row>
    <row r="589">
      <c r="A589" s="18"/>
      <c r="H589" s="120"/>
    </row>
    <row r="590">
      <c r="A590" s="18"/>
      <c r="H590" s="120"/>
    </row>
    <row r="591">
      <c r="A591" s="18"/>
      <c r="H591" s="120"/>
    </row>
    <row r="592">
      <c r="A592" s="18"/>
      <c r="H592" s="120"/>
    </row>
    <row r="593">
      <c r="A593" s="18"/>
      <c r="H593" s="120"/>
    </row>
    <row r="594">
      <c r="A594" s="18"/>
      <c r="H594" s="120"/>
    </row>
    <row r="595">
      <c r="A595" s="18"/>
      <c r="H595" s="120"/>
    </row>
    <row r="596">
      <c r="A596" s="18"/>
      <c r="H596" s="120"/>
    </row>
    <row r="597">
      <c r="A597" s="18"/>
      <c r="H597" s="120"/>
    </row>
    <row r="598">
      <c r="A598" s="18"/>
      <c r="H598" s="120"/>
    </row>
    <row r="599">
      <c r="A599" s="18"/>
      <c r="H599" s="120"/>
    </row>
    <row r="600">
      <c r="A600" s="18"/>
      <c r="H600" s="120"/>
    </row>
    <row r="601">
      <c r="A601" s="18"/>
      <c r="H601" s="120"/>
    </row>
    <row r="602">
      <c r="A602" s="18"/>
      <c r="H602" s="120"/>
    </row>
    <row r="603">
      <c r="A603" s="18"/>
      <c r="H603" s="120"/>
    </row>
    <row r="604">
      <c r="A604" s="18"/>
      <c r="H604" s="120"/>
    </row>
    <row r="605">
      <c r="A605" s="18"/>
      <c r="H605" s="120"/>
    </row>
    <row r="606">
      <c r="A606" s="18"/>
      <c r="H606" s="120"/>
    </row>
    <row r="607">
      <c r="A607" s="18"/>
      <c r="H607" s="120"/>
    </row>
    <row r="608">
      <c r="A608" s="18"/>
      <c r="H608" s="120"/>
    </row>
    <row r="609">
      <c r="A609" s="18"/>
      <c r="H609" s="120"/>
    </row>
    <row r="610">
      <c r="A610" s="18"/>
      <c r="H610" s="120"/>
    </row>
    <row r="611">
      <c r="A611" s="18"/>
      <c r="H611" s="120"/>
    </row>
    <row r="612">
      <c r="A612" s="18"/>
      <c r="H612" s="120"/>
    </row>
    <row r="613">
      <c r="A613" s="18"/>
      <c r="H613" s="120"/>
    </row>
    <row r="614">
      <c r="A614" s="18"/>
      <c r="H614" s="120"/>
    </row>
    <row r="615">
      <c r="A615" s="18"/>
      <c r="H615" s="120"/>
    </row>
    <row r="616">
      <c r="A616" s="18"/>
      <c r="H616" s="120"/>
    </row>
    <row r="617">
      <c r="A617" s="18"/>
      <c r="H617" s="120"/>
    </row>
    <row r="618">
      <c r="A618" s="18"/>
      <c r="H618" s="120"/>
    </row>
    <row r="619">
      <c r="A619" s="18"/>
      <c r="H619" s="120"/>
    </row>
    <row r="620">
      <c r="A620" s="18"/>
      <c r="H620" s="120"/>
    </row>
    <row r="621">
      <c r="A621" s="18"/>
      <c r="H621" s="120"/>
    </row>
    <row r="622">
      <c r="A622" s="18"/>
      <c r="H622" s="120"/>
    </row>
    <row r="623">
      <c r="A623" s="18"/>
      <c r="H623" s="120"/>
    </row>
    <row r="624">
      <c r="A624" s="18"/>
      <c r="H624" s="120"/>
    </row>
    <row r="625">
      <c r="A625" s="18"/>
      <c r="H625" s="120"/>
    </row>
    <row r="626">
      <c r="A626" s="18"/>
      <c r="H626" s="120"/>
    </row>
    <row r="627">
      <c r="A627" s="18"/>
      <c r="H627" s="120"/>
    </row>
    <row r="628">
      <c r="A628" s="18"/>
      <c r="H628" s="120"/>
    </row>
    <row r="629">
      <c r="A629" s="18"/>
      <c r="H629" s="120"/>
    </row>
    <row r="630">
      <c r="A630" s="18"/>
      <c r="H630" s="120"/>
    </row>
    <row r="631">
      <c r="A631" s="18"/>
      <c r="H631" s="120"/>
    </row>
    <row r="632">
      <c r="A632" s="18"/>
      <c r="H632" s="120"/>
    </row>
    <row r="633">
      <c r="A633" s="18"/>
      <c r="H633" s="120"/>
    </row>
    <row r="634">
      <c r="A634" s="18"/>
      <c r="H634" s="120"/>
    </row>
    <row r="635">
      <c r="A635" s="18"/>
      <c r="H635" s="120"/>
    </row>
    <row r="636">
      <c r="A636" s="18"/>
      <c r="H636" s="120"/>
    </row>
    <row r="637">
      <c r="A637" s="18"/>
      <c r="H637" s="120"/>
    </row>
    <row r="638">
      <c r="A638" s="18"/>
      <c r="H638" s="120"/>
    </row>
    <row r="639">
      <c r="A639" s="18"/>
      <c r="H639" s="120"/>
    </row>
    <row r="640">
      <c r="A640" s="18"/>
      <c r="H640" s="120"/>
    </row>
    <row r="641">
      <c r="A641" s="18"/>
      <c r="H641" s="120"/>
    </row>
    <row r="642">
      <c r="A642" s="18"/>
      <c r="H642" s="120"/>
    </row>
    <row r="643">
      <c r="A643" s="18"/>
      <c r="H643" s="120"/>
    </row>
    <row r="644">
      <c r="A644" s="18"/>
      <c r="H644" s="120"/>
    </row>
    <row r="645">
      <c r="A645" s="18"/>
      <c r="H645" s="120"/>
    </row>
    <row r="646">
      <c r="A646" s="18"/>
      <c r="H646" s="120"/>
    </row>
    <row r="647">
      <c r="A647" s="18"/>
      <c r="H647" s="120"/>
    </row>
    <row r="648">
      <c r="A648" s="18"/>
      <c r="H648" s="120"/>
    </row>
    <row r="649">
      <c r="A649" s="18"/>
      <c r="H649" s="120"/>
    </row>
    <row r="650">
      <c r="A650" s="18"/>
      <c r="H650" s="120"/>
    </row>
    <row r="651">
      <c r="A651" s="18"/>
      <c r="H651" s="120"/>
    </row>
    <row r="652">
      <c r="A652" s="18"/>
      <c r="H652" s="120"/>
    </row>
    <row r="653">
      <c r="A653" s="18"/>
      <c r="H653" s="120"/>
    </row>
    <row r="654">
      <c r="A654" s="18"/>
      <c r="H654" s="120"/>
    </row>
    <row r="655">
      <c r="A655" s="18"/>
      <c r="H655" s="120"/>
    </row>
    <row r="656">
      <c r="A656" s="18"/>
      <c r="H656" s="120"/>
    </row>
    <row r="657">
      <c r="A657" s="18"/>
      <c r="H657" s="120"/>
    </row>
    <row r="658">
      <c r="A658" s="18"/>
      <c r="H658" s="120"/>
    </row>
    <row r="659">
      <c r="A659" s="18"/>
      <c r="H659" s="120"/>
    </row>
    <row r="660">
      <c r="A660" s="18"/>
      <c r="H660" s="120"/>
    </row>
    <row r="661">
      <c r="A661" s="18"/>
      <c r="H661" s="120"/>
    </row>
    <row r="662">
      <c r="A662" s="18"/>
      <c r="H662" s="120"/>
    </row>
    <row r="663">
      <c r="A663" s="18"/>
      <c r="H663" s="120"/>
    </row>
    <row r="664">
      <c r="A664" s="18"/>
      <c r="H664" s="120"/>
    </row>
    <row r="665">
      <c r="A665" s="18"/>
      <c r="H665" s="120"/>
    </row>
    <row r="666">
      <c r="A666" s="18"/>
      <c r="H666" s="120"/>
    </row>
    <row r="667">
      <c r="A667" s="18"/>
      <c r="H667" s="120"/>
    </row>
    <row r="668">
      <c r="A668" s="18"/>
      <c r="H668" s="120"/>
    </row>
    <row r="669">
      <c r="A669" s="18"/>
      <c r="H669" s="120"/>
    </row>
    <row r="670">
      <c r="A670" s="18"/>
      <c r="H670" s="120"/>
    </row>
    <row r="671">
      <c r="A671" s="18"/>
      <c r="H671" s="120"/>
    </row>
    <row r="672">
      <c r="A672" s="18"/>
      <c r="H672" s="120"/>
    </row>
    <row r="673">
      <c r="A673" s="18"/>
      <c r="H673" s="120"/>
    </row>
    <row r="674">
      <c r="A674" s="18"/>
      <c r="H674" s="120"/>
    </row>
    <row r="675">
      <c r="A675" s="18"/>
      <c r="H675" s="120"/>
    </row>
    <row r="676">
      <c r="A676" s="18"/>
      <c r="H676" s="120"/>
    </row>
    <row r="677">
      <c r="A677" s="18"/>
      <c r="H677" s="120"/>
    </row>
    <row r="678">
      <c r="A678" s="18"/>
      <c r="H678" s="120"/>
    </row>
    <row r="679">
      <c r="A679" s="18"/>
      <c r="H679" s="120"/>
    </row>
    <row r="680">
      <c r="A680" s="18"/>
      <c r="H680" s="120"/>
    </row>
    <row r="681">
      <c r="A681" s="18"/>
      <c r="H681" s="120"/>
    </row>
    <row r="682">
      <c r="A682" s="18"/>
      <c r="H682" s="120"/>
    </row>
    <row r="683">
      <c r="A683" s="18"/>
      <c r="H683" s="120"/>
    </row>
    <row r="684">
      <c r="A684" s="18"/>
      <c r="H684" s="120"/>
    </row>
    <row r="685">
      <c r="A685" s="18"/>
      <c r="H685" s="120"/>
    </row>
    <row r="686">
      <c r="A686" s="18"/>
      <c r="H686" s="120"/>
    </row>
    <row r="687">
      <c r="A687" s="18"/>
      <c r="H687" s="120"/>
    </row>
    <row r="688">
      <c r="A688" s="18"/>
      <c r="H688" s="120"/>
    </row>
    <row r="689">
      <c r="A689" s="18"/>
      <c r="H689" s="120"/>
    </row>
    <row r="690">
      <c r="A690" s="18"/>
      <c r="H690" s="120"/>
    </row>
    <row r="691">
      <c r="A691" s="18"/>
      <c r="H691" s="120"/>
    </row>
    <row r="692">
      <c r="A692" s="18"/>
      <c r="H692" s="120"/>
    </row>
    <row r="693">
      <c r="A693" s="18"/>
      <c r="H693" s="120"/>
    </row>
    <row r="694">
      <c r="A694" s="18"/>
      <c r="H694" s="120"/>
    </row>
    <row r="695">
      <c r="A695" s="18"/>
      <c r="H695" s="120"/>
    </row>
    <row r="696">
      <c r="A696" s="18"/>
      <c r="H696" s="120"/>
    </row>
    <row r="697">
      <c r="A697" s="18"/>
      <c r="H697" s="120"/>
    </row>
    <row r="698">
      <c r="A698" s="18"/>
      <c r="H698" s="120"/>
    </row>
    <row r="699">
      <c r="A699" s="18"/>
      <c r="H699" s="120"/>
    </row>
    <row r="700">
      <c r="A700" s="18"/>
      <c r="H700" s="120"/>
    </row>
    <row r="701">
      <c r="A701" s="18"/>
      <c r="H701" s="120"/>
    </row>
    <row r="702">
      <c r="A702" s="18"/>
      <c r="H702" s="120"/>
    </row>
    <row r="703">
      <c r="A703" s="18"/>
      <c r="H703" s="120"/>
    </row>
    <row r="704">
      <c r="A704" s="18"/>
      <c r="H704" s="120"/>
    </row>
    <row r="705">
      <c r="A705" s="18"/>
      <c r="H705" s="120"/>
    </row>
    <row r="706">
      <c r="A706" s="18"/>
      <c r="H706" s="120"/>
    </row>
    <row r="707">
      <c r="A707" s="18"/>
      <c r="H707" s="120"/>
    </row>
    <row r="708">
      <c r="A708" s="18"/>
      <c r="H708" s="120"/>
    </row>
    <row r="709">
      <c r="A709" s="18"/>
      <c r="H709" s="120"/>
    </row>
    <row r="710">
      <c r="A710" s="18"/>
      <c r="H710" s="120"/>
    </row>
    <row r="711">
      <c r="A711" s="18"/>
      <c r="H711" s="120"/>
    </row>
    <row r="712">
      <c r="A712" s="18"/>
      <c r="H712" s="120"/>
    </row>
    <row r="713">
      <c r="A713" s="18"/>
      <c r="H713" s="120"/>
    </row>
    <row r="714">
      <c r="A714" s="18"/>
      <c r="H714" s="120"/>
    </row>
    <row r="715">
      <c r="A715" s="18"/>
      <c r="H715" s="120"/>
    </row>
    <row r="716">
      <c r="A716" s="18"/>
      <c r="H716" s="120"/>
    </row>
    <row r="717">
      <c r="A717" s="18"/>
      <c r="H717" s="120"/>
    </row>
    <row r="718">
      <c r="A718" s="18"/>
      <c r="H718" s="120"/>
    </row>
    <row r="719">
      <c r="A719" s="18"/>
      <c r="H719" s="120"/>
    </row>
    <row r="720">
      <c r="A720" s="18"/>
      <c r="H720" s="120"/>
    </row>
    <row r="721">
      <c r="A721" s="18"/>
      <c r="H721" s="120"/>
    </row>
    <row r="722">
      <c r="A722" s="18"/>
      <c r="H722" s="120"/>
    </row>
    <row r="723">
      <c r="A723" s="18"/>
      <c r="H723" s="120"/>
    </row>
    <row r="724">
      <c r="A724" s="18"/>
      <c r="H724" s="120"/>
    </row>
    <row r="725">
      <c r="A725" s="18"/>
      <c r="H725" s="120"/>
    </row>
    <row r="726">
      <c r="A726" s="18"/>
      <c r="H726" s="120"/>
    </row>
    <row r="727">
      <c r="A727" s="18"/>
      <c r="H727" s="120"/>
    </row>
    <row r="728">
      <c r="A728" s="18"/>
      <c r="H728" s="120"/>
    </row>
    <row r="729">
      <c r="A729" s="18"/>
      <c r="H729" s="120"/>
    </row>
    <row r="730">
      <c r="A730" s="18"/>
      <c r="H730" s="120"/>
    </row>
    <row r="731">
      <c r="A731" s="18"/>
      <c r="H731" s="120"/>
    </row>
    <row r="732">
      <c r="A732" s="18"/>
      <c r="H732" s="120"/>
    </row>
    <row r="733">
      <c r="A733" s="18"/>
      <c r="H733" s="120"/>
    </row>
    <row r="734">
      <c r="A734" s="18"/>
      <c r="H734" s="120"/>
    </row>
    <row r="735">
      <c r="A735" s="18"/>
      <c r="H735" s="120"/>
    </row>
    <row r="736">
      <c r="A736" s="18"/>
      <c r="H736" s="120"/>
    </row>
    <row r="737">
      <c r="A737" s="18"/>
      <c r="H737" s="120"/>
    </row>
    <row r="738">
      <c r="A738" s="18"/>
      <c r="H738" s="120"/>
    </row>
    <row r="739">
      <c r="A739" s="18"/>
      <c r="H739" s="120"/>
    </row>
    <row r="740">
      <c r="A740" s="18"/>
      <c r="H740" s="120"/>
    </row>
    <row r="741">
      <c r="A741" s="18"/>
      <c r="H741" s="120"/>
    </row>
    <row r="742">
      <c r="A742" s="18"/>
      <c r="H742" s="120"/>
    </row>
    <row r="743">
      <c r="A743" s="18"/>
      <c r="H743" s="120"/>
    </row>
    <row r="744">
      <c r="A744" s="18"/>
      <c r="H744" s="120"/>
    </row>
    <row r="745">
      <c r="A745" s="18"/>
      <c r="H745" s="120"/>
    </row>
    <row r="746">
      <c r="A746" s="18"/>
      <c r="H746" s="120"/>
    </row>
    <row r="747">
      <c r="A747" s="18"/>
      <c r="H747" s="120"/>
    </row>
    <row r="748">
      <c r="A748" s="18"/>
      <c r="H748" s="120"/>
    </row>
    <row r="749">
      <c r="A749" s="18"/>
      <c r="H749" s="120"/>
    </row>
    <row r="750">
      <c r="A750" s="18"/>
      <c r="H750" s="120"/>
    </row>
    <row r="751">
      <c r="A751" s="18"/>
      <c r="H751" s="120"/>
    </row>
    <row r="752">
      <c r="A752" s="18"/>
      <c r="H752" s="120"/>
    </row>
    <row r="753">
      <c r="A753" s="18"/>
      <c r="H753" s="120"/>
    </row>
    <row r="754">
      <c r="A754" s="18"/>
      <c r="H754" s="120"/>
    </row>
    <row r="755">
      <c r="A755" s="18"/>
      <c r="H755" s="120"/>
    </row>
    <row r="756">
      <c r="A756" s="18"/>
      <c r="H756" s="120"/>
    </row>
    <row r="757">
      <c r="A757" s="18"/>
      <c r="H757" s="120"/>
    </row>
    <row r="758">
      <c r="A758" s="18"/>
      <c r="H758" s="120"/>
    </row>
    <row r="759">
      <c r="A759" s="18"/>
      <c r="H759" s="120"/>
    </row>
    <row r="760">
      <c r="A760" s="18"/>
      <c r="H760" s="120"/>
    </row>
    <row r="761">
      <c r="A761" s="18"/>
      <c r="H761" s="120"/>
    </row>
    <row r="762">
      <c r="A762" s="18"/>
      <c r="H762" s="120"/>
    </row>
    <row r="763">
      <c r="A763" s="18"/>
      <c r="H763" s="120"/>
    </row>
    <row r="764">
      <c r="A764" s="18"/>
      <c r="H764" s="120"/>
    </row>
    <row r="765">
      <c r="A765" s="18"/>
      <c r="H765" s="120"/>
    </row>
    <row r="766">
      <c r="A766" s="18"/>
      <c r="H766" s="120"/>
    </row>
    <row r="767">
      <c r="A767" s="18"/>
      <c r="H767" s="120"/>
    </row>
    <row r="768">
      <c r="A768" s="18"/>
      <c r="H768" s="120"/>
    </row>
    <row r="769">
      <c r="A769" s="18"/>
      <c r="H769" s="120"/>
    </row>
    <row r="770">
      <c r="A770" s="18"/>
      <c r="H770" s="120"/>
    </row>
    <row r="771">
      <c r="A771" s="18"/>
      <c r="H771" s="120"/>
    </row>
    <row r="772">
      <c r="A772" s="18"/>
      <c r="H772" s="120"/>
    </row>
    <row r="773">
      <c r="A773" s="18"/>
      <c r="H773" s="120"/>
    </row>
    <row r="774">
      <c r="A774" s="18"/>
      <c r="H774" s="120"/>
    </row>
    <row r="775">
      <c r="A775" s="18"/>
      <c r="H775" s="120"/>
    </row>
    <row r="776">
      <c r="A776" s="18"/>
      <c r="H776" s="120"/>
    </row>
    <row r="777">
      <c r="A777" s="18"/>
      <c r="H777" s="120"/>
    </row>
    <row r="778">
      <c r="A778" s="18"/>
      <c r="H778" s="120"/>
    </row>
    <row r="779">
      <c r="A779" s="18"/>
      <c r="H779" s="120"/>
    </row>
    <row r="780">
      <c r="A780" s="18"/>
      <c r="H780" s="120"/>
    </row>
    <row r="781">
      <c r="A781" s="18"/>
      <c r="H781" s="120"/>
    </row>
    <row r="782">
      <c r="A782" s="18"/>
      <c r="H782" s="120"/>
    </row>
    <row r="783">
      <c r="A783" s="18"/>
      <c r="H783" s="120"/>
    </row>
    <row r="784">
      <c r="A784" s="18"/>
      <c r="H784" s="120"/>
    </row>
    <row r="785">
      <c r="A785" s="18"/>
      <c r="H785" s="120"/>
    </row>
    <row r="786">
      <c r="A786" s="18"/>
      <c r="H786" s="120"/>
    </row>
    <row r="787">
      <c r="A787" s="18"/>
      <c r="H787" s="120"/>
    </row>
    <row r="788">
      <c r="A788" s="18"/>
      <c r="H788" s="120"/>
    </row>
    <row r="789">
      <c r="A789" s="18"/>
      <c r="H789" s="120"/>
    </row>
    <row r="790">
      <c r="A790" s="18"/>
      <c r="H790" s="120"/>
    </row>
    <row r="791">
      <c r="A791" s="18"/>
      <c r="H791" s="120"/>
    </row>
    <row r="792">
      <c r="A792" s="18"/>
      <c r="H792" s="120"/>
    </row>
    <row r="793">
      <c r="A793" s="18"/>
      <c r="H793" s="120"/>
    </row>
    <row r="794">
      <c r="A794" s="18"/>
      <c r="H794" s="120"/>
    </row>
    <row r="795">
      <c r="A795" s="18"/>
      <c r="H795" s="120"/>
    </row>
    <row r="796">
      <c r="A796" s="18"/>
      <c r="H796" s="120"/>
    </row>
    <row r="797">
      <c r="A797" s="18"/>
      <c r="H797" s="120"/>
    </row>
    <row r="798">
      <c r="A798" s="18"/>
      <c r="H798" s="120"/>
    </row>
    <row r="799">
      <c r="A799" s="18"/>
      <c r="H799" s="120"/>
    </row>
    <row r="800">
      <c r="A800" s="18"/>
      <c r="H800" s="120"/>
    </row>
    <row r="801">
      <c r="A801" s="18"/>
      <c r="H801" s="120"/>
    </row>
    <row r="802">
      <c r="A802" s="18"/>
      <c r="H802" s="120"/>
    </row>
    <row r="803">
      <c r="A803" s="18"/>
      <c r="H803" s="120"/>
    </row>
    <row r="804">
      <c r="A804" s="18"/>
      <c r="H804" s="120"/>
    </row>
    <row r="805">
      <c r="A805" s="18"/>
      <c r="H805" s="120"/>
    </row>
    <row r="806">
      <c r="A806" s="18"/>
      <c r="H806" s="120"/>
    </row>
    <row r="807">
      <c r="A807" s="18"/>
      <c r="H807" s="120"/>
    </row>
    <row r="808">
      <c r="A808" s="18"/>
      <c r="H808" s="120"/>
    </row>
    <row r="809">
      <c r="A809" s="18"/>
      <c r="H809" s="120"/>
    </row>
    <row r="810">
      <c r="A810" s="18"/>
      <c r="H810" s="120"/>
    </row>
    <row r="811">
      <c r="A811" s="18"/>
      <c r="H811" s="120"/>
    </row>
    <row r="812">
      <c r="A812" s="18"/>
      <c r="H812" s="120"/>
    </row>
    <row r="813">
      <c r="A813" s="18"/>
      <c r="H813" s="120"/>
    </row>
    <row r="814">
      <c r="A814" s="18"/>
      <c r="H814" s="120"/>
    </row>
    <row r="815">
      <c r="A815" s="18"/>
      <c r="H815" s="120"/>
    </row>
    <row r="816">
      <c r="A816" s="18"/>
      <c r="H816" s="120"/>
    </row>
    <row r="817">
      <c r="A817" s="18"/>
      <c r="H817" s="120"/>
    </row>
    <row r="818">
      <c r="A818" s="18"/>
      <c r="H818" s="120"/>
    </row>
    <row r="819">
      <c r="A819" s="18"/>
      <c r="H819" s="120"/>
    </row>
    <row r="820">
      <c r="A820" s="18"/>
      <c r="H820" s="120"/>
    </row>
    <row r="821">
      <c r="A821" s="18"/>
      <c r="H821" s="120"/>
    </row>
    <row r="822">
      <c r="A822" s="18"/>
      <c r="H822" s="120"/>
    </row>
    <row r="823">
      <c r="A823" s="18"/>
      <c r="H823" s="120"/>
    </row>
    <row r="824">
      <c r="A824" s="18"/>
      <c r="H824" s="120"/>
    </row>
    <row r="825">
      <c r="A825" s="18"/>
      <c r="H825" s="120"/>
    </row>
    <row r="826">
      <c r="A826" s="18"/>
      <c r="H826" s="120"/>
    </row>
    <row r="827">
      <c r="A827" s="18"/>
      <c r="H827" s="120"/>
    </row>
    <row r="828">
      <c r="A828" s="18"/>
      <c r="H828" s="120"/>
    </row>
    <row r="829">
      <c r="A829" s="18"/>
      <c r="H829" s="120"/>
    </row>
    <row r="830">
      <c r="A830" s="18"/>
      <c r="H830" s="120"/>
    </row>
    <row r="831">
      <c r="A831" s="18"/>
      <c r="H831" s="120"/>
    </row>
    <row r="832">
      <c r="A832" s="18"/>
      <c r="H832" s="120"/>
    </row>
    <row r="833">
      <c r="A833" s="18"/>
      <c r="H833" s="120"/>
    </row>
    <row r="834">
      <c r="A834" s="18"/>
      <c r="H834" s="120"/>
    </row>
    <row r="835">
      <c r="A835" s="18"/>
      <c r="H835" s="120"/>
    </row>
    <row r="836">
      <c r="A836" s="18"/>
      <c r="H836" s="120"/>
    </row>
    <row r="837">
      <c r="A837" s="18"/>
      <c r="H837" s="120"/>
    </row>
    <row r="838">
      <c r="A838" s="18"/>
      <c r="H838" s="120"/>
    </row>
    <row r="839">
      <c r="A839" s="18"/>
      <c r="H839" s="120"/>
    </row>
    <row r="840">
      <c r="A840" s="18"/>
      <c r="H840" s="120"/>
    </row>
    <row r="841">
      <c r="A841" s="18"/>
      <c r="H841" s="120"/>
    </row>
    <row r="842">
      <c r="A842" s="18"/>
      <c r="H842" s="120"/>
    </row>
    <row r="843">
      <c r="A843" s="18"/>
      <c r="H843" s="120"/>
    </row>
    <row r="844">
      <c r="A844" s="18"/>
      <c r="H844" s="120"/>
    </row>
    <row r="845">
      <c r="A845" s="18"/>
      <c r="H845" s="120"/>
    </row>
    <row r="846">
      <c r="A846" s="18"/>
      <c r="H846" s="120"/>
    </row>
    <row r="847">
      <c r="A847" s="18"/>
      <c r="H847" s="120"/>
    </row>
    <row r="848">
      <c r="A848" s="18"/>
      <c r="H848" s="120"/>
    </row>
    <row r="849">
      <c r="A849" s="18"/>
      <c r="H849" s="120"/>
    </row>
    <row r="850">
      <c r="A850" s="18"/>
      <c r="H850" s="120"/>
    </row>
    <row r="851">
      <c r="A851" s="18"/>
      <c r="H851" s="120"/>
    </row>
    <row r="852">
      <c r="A852" s="18"/>
      <c r="H852" s="120"/>
    </row>
    <row r="853">
      <c r="A853" s="18"/>
      <c r="H853" s="120"/>
    </row>
    <row r="854">
      <c r="A854" s="18"/>
      <c r="H854" s="120"/>
    </row>
    <row r="855">
      <c r="A855" s="18"/>
      <c r="H855" s="120"/>
    </row>
    <row r="856">
      <c r="A856" s="18"/>
      <c r="H856" s="120"/>
    </row>
    <row r="857">
      <c r="A857" s="18"/>
      <c r="H857" s="120"/>
    </row>
    <row r="858">
      <c r="A858" s="18"/>
      <c r="H858" s="120"/>
    </row>
    <row r="859">
      <c r="A859" s="18"/>
      <c r="H859" s="120"/>
    </row>
    <row r="860">
      <c r="A860" s="18"/>
      <c r="H860" s="120"/>
    </row>
    <row r="861">
      <c r="A861" s="18"/>
      <c r="H861" s="120"/>
    </row>
    <row r="862">
      <c r="A862" s="18"/>
      <c r="H862" s="120"/>
    </row>
    <row r="863">
      <c r="A863" s="18"/>
      <c r="H863" s="120"/>
    </row>
    <row r="864">
      <c r="A864" s="18"/>
      <c r="H864" s="120"/>
    </row>
    <row r="865">
      <c r="A865" s="18"/>
      <c r="H865" s="120"/>
    </row>
    <row r="866">
      <c r="A866" s="18"/>
      <c r="H866" s="120"/>
    </row>
    <row r="867">
      <c r="A867" s="18"/>
      <c r="H867" s="120"/>
    </row>
    <row r="868">
      <c r="A868" s="18"/>
      <c r="H868" s="120"/>
    </row>
    <row r="869">
      <c r="A869" s="18"/>
      <c r="H869" s="120"/>
    </row>
    <row r="870">
      <c r="A870" s="18"/>
      <c r="H870" s="120"/>
    </row>
    <row r="871">
      <c r="A871" s="18"/>
      <c r="H871" s="120"/>
    </row>
    <row r="872">
      <c r="A872" s="18"/>
      <c r="H872" s="120"/>
    </row>
    <row r="873">
      <c r="A873" s="18"/>
      <c r="H873" s="120"/>
    </row>
    <row r="874">
      <c r="A874" s="18"/>
      <c r="H874" s="120"/>
    </row>
    <row r="875">
      <c r="A875" s="18"/>
      <c r="H875" s="120"/>
    </row>
    <row r="876">
      <c r="A876" s="18"/>
      <c r="H876" s="120"/>
    </row>
    <row r="877">
      <c r="A877" s="18"/>
      <c r="H877" s="120"/>
    </row>
    <row r="878">
      <c r="A878" s="18"/>
      <c r="H878" s="120"/>
    </row>
    <row r="879">
      <c r="A879" s="18"/>
      <c r="H879" s="120"/>
    </row>
    <row r="880">
      <c r="A880" s="18"/>
      <c r="H880" s="120"/>
    </row>
    <row r="881">
      <c r="A881" s="18"/>
      <c r="H881" s="120"/>
    </row>
    <row r="882">
      <c r="A882" s="18"/>
      <c r="H882" s="120"/>
    </row>
    <row r="883">
      <c r="A883" s="18"/>
      <c r="H883" s="120"/>
    </row>
    <row r="884">
      <c r="A884" s="18"/>
      <c r="H884" s="120"/>
    </row>
    <row r="885">
      <c r="A885" s="18"/>
      <c r="H885" s="120"/>
    </row>
    <row r="886">
      <c r="A886" s="18"/>
      <c r="H886" s="120"/>
    </row>
    <row r="887">
      <c r="A887" s="18"/>
      <c r="H887" s="120"/>
    </row>
    <row r="888">
      <c r="A888" s="18"/>
      <c r="H888" s="120"/>
    </row>
    <row r="889">
      <c r="A889" s="18"/>
      <c r="H889" s="120"/>
    </row>
    <row r="890">
      <c r="A890" s="18"/>
      <c r="H890" s="120"/>
    </row>
    <row r="891">
      <c r="A891" s="18"/>
      <c r="H891" s="120"/>
    </row>
    <row r="892">
      <c r="A892" s="18"/>
      <c r="H892" s="120"/>
    </row>
    <row r="893">
      <c r="A893" s="18"/>
      <c r="H893" s="120"/>
    </row>
    <row r="894">
      <c r="A894" s="18"/>
      <c r="H894" s="120"/>
    </row>
    <row r="895">
      <c r="A895" s="18"/>
      <c r="H895" s="120"/>
    </row>
    <row r="896">
      <c r="A896" s="18"/>
      <c r="H896" s="120"/>
    </row>
    <row r="897">
      <c r="A897" s="18"/>
      <c r="H897" s="120"/>
    </row>
    <row r="898">
      <c r="A898" s="18"/>
      <c r="H898" s="120"/>
    </row>
    <row r="899">
      <c r="A899" s="18"/>
      <c r="H899" s="120"/>
    </row>
    <row r="900">
      <c r="A900" s="18"/>
      <c r="H900" s="120"/>
    </row>
    <row r="901">
      <c r="A901" s="18"/>
      <c r="H901" s="120"/>
    </row>
    <row r="902">
      <c r="A902" s="18"/>
      <c r="H902" s="120"/>
    </row>
    <row r="903">
      <c r="A903" s="18"/>
      <c r="H903" s="120"/>
    </row>
    <row r="904">
      <c r="A904" s="18"/>
      <c r="H904" s="120"/>
    </row>
    <row r="905">
      <c r="A905" s="18"/>
      <c r="H905" s="120"/>
    </row>
    <row r="906">
      <c r="A906" s="18"/>
      <c r="H906" s="120"/>
    </row>
    <row r="907">
      <c r="A907" s="18"/>
      <c r="H907" s="120"/>
    </row>
    <row r="908">
      <c r="A908" s="18"/>
      <c r="H908" s="120"/>
    </row>
    <row r="909">
      <c r="A909" s="18"/>
      <c r="H909" s="120"/>
    </row>
    <row r="910">
      <c r="A910" s="18"/>
      <c r="H910" s="120"/>
    </row>
    <row r="911">
      <c r="A911" s="18"/>
      <c r="H911" s="120"/>
    </row>
    <row r="912">
      <c r="A912" s="18"/>
      <c r="H912" s="120"/>
    </row>
    <row r="913">
      <c r="A913" s="18"/>
      <c r="H913" s="120"/>
    </row>
    <row r="914">
      <c r="A914" s="18"/>
      <c r="H914" s="120"/>
    </row>
    <row r="915">
      <c r="A915" s="18"/>
      <c r="H915" s="120"/>
    </row>
    <row r="916">
      <c r="A916" s="18"/>
      <c r="H916" s="120"/>
    </row>
    <row r="917">
      <c r="A917" s="18"/>
      <c r="H917" s="120"/>
    </row>
    <row r="918">
      <c r="A918" s="18"/>
      <c r="H918" s="120"/>
    </row>
    <row r="919">
      <c r="A919" s="18"/>
      <c r="H919" s="120"/>
    </row>
    <row r="920">
      <c r="A920" s="18"/>
      <c r="H920" s="120"/>
    </row>
    <row r="921">
      <c r="A921" s="18"/>
      <c r="H921" s="120"/>
    </row>
    <row r="922">
      <c r="A922" s="18"/>
      <c r="H922" s="120"/>
    </row>
    <row r="923">
      <c r="A923" s="18"/>
      <c r="H923" s="120"/>
    </row>
    <row r="924">
      <c r="A924" s="18"/>
      <c r="H924" s="120"/>
    </row>
    <row r="925">
      <c r="A925" s="18"/>
      <c r="H925" s="120"/>
    </row>
    <row r="926">
      <c r="A926" s="18"/>
      <c r="H926" s="120"/>
    </row>
    <row r="927">
      <c r="A927" s="18"/>
      <c r="H927" s="120"/>
    </row>
    <row r="928">
      <c r="A928" s="18"/>
      <c r="H928" s="120"/>
    </row>
    <row r="929">
      <c r="A929" s="18"/>
      <c r="H929" s="120"/>
    </row>
    <row r="930">
      <c r="A930" s="18"/>
      <c r="H930" s="120"/>
    </row>
    <row r="931">
      <c r="A931" s="18"/>
      <c r="H931" s="120"/>
    </row>
    <row r="932">
      <c r="A932" s="18"/>
      <c r="H932" s="120"/>
    </row>
    <row r="933">
      <c r="A933" s="18"/>
      <c r="H933" s="120"/>
    </row>
    <row r="934">
      <c r="A934" s="18"/>
      <c r="H934" s="120"/>
    </row>
    <row r="935">
      <c r="A935" s="18"/>
      <c r="H935" s="120"/>
    </row>
    <row r="936">
      <c r="A936" s="18"/>
      <c r="H936" s="120"/>
    </row>
    <row r="937">
      <c r="A937" s="18"/>
      <c r="H937" s="120"/>
    </row>
    <row r="938">
      <c r="A938" s="18"/>
      <c r="H938" s="120"/>
    </row>
    <row r="939">
      <c r="A939" s="18"/>
      <c r="H939" s="120"/>
    </row>
    <row r="940">
      <c r="A940" s="18"/>
      <c r="H940" s="120"/>
    </row>
    <row r="941">
      <c r="A941" s="18"/>
      <c r="H941" s="120"/>
    </row>
    <row r="942">
      <c r="A942" s="18"/>
      <c r="H942" s="120"/>
    </row>
    <row r="943">
      <c r="A943" s="18"/>
      <c r="H943" s="120"/>
    </row>
    <row r="944">
      <c r="A944" s="18"/>
      <c r="H944" s="120"/>
    </row>
    <row r="945">
      <c r="A945" s="18"/>
      <c r="H945" s="120"/>
    </row>
    <row r="946">
      <c r="A946" s="18"/>
      <c r="H946" s="120"/>
    </row>
    <row r="947">
      <c r="A947" s="18"/>
      <c r="H947" s="120"/>
    </row>
    <row r="948">
      <c r="A948" s="18"/>
      <c r="H948" s="120"/>
    </row>
    <row r="949">
      <c r="A949" s="18"/>
      <c r="H949" s="120"/>
    </row>
    <row r="950">
      <c r="A950" s="18"/>
      <c r="H950" s="120"/>
    </row>
    <row r="951">
      <c r="A951" s="18"/>
      <c r="H951" s="120"/>
    </row>
    <row r="952">
      <c r="A952" s="18"/>
      <c r="H952" s="120"/>
    </row>
    <row r="953">
      <c r="A953" s="18"/>
      <c r="H953" s="120"/>
    </row>
    <row r="954">
      <c r="A954" s="18"/>
      <c r="H954" s="120"/>
    </row>
    <row r="955">
      <c r="A955" s="18"/>
      <c r="H955" s="120"/>
    </row>
    <row r="956">
      <c r="A956" s="18"/>
      <c r="H956" s="120"/>
    </row>
    <row r="957">
      <c r="A957" s="18"/>
      <c r="H957" s="120"/>
    </row>
    <row r="958">
      <c r="A958" s="18"/>
      <c r="H958" s="120"/>
    </row>
    <row r="959">
      <c r="A959" s="18"/>
      <c r="H959" s="120"/>
    </row>
    <row r="960">
      <c r="A960" s="18"/>
      <c r="H960" s="120"/>
    </row>
    <row r="961">
      <c r="A961" s="18"/>
      <c r="H961" s="120"/>
    </row>
    <row r="962">
      <c r="A962" s="18"/>
      <c r="H962" s="120"/>
    </row>
    <row r="963">
      <c r="A963" s="18"/>
      <c r="H963" s="120"/>
    </row>
    <row r="964">
      <c r="A964" s="18"/>
      <c r="H964" s="120"/>
    </row>
    <row r="965">
      <c r="A965" s="18"/>
      <c r="H965" s="120"/>
    </row>
    <row r="966">
      <c r="A966" s="18"/>
      <c r="H966" s="120"/>
    </row>
    <row r="967">
      <c r="A967" s="18"/>
      <c r="H967" s="120"/>
    </row>
    <row r="968">
      <c r="A968" s="18"/>
      <c r="H968" s="120"/>
    </row>
    <row r="969">
      <c r="A969" s="18"/>
      <c r="H969" s="120"/>
    </row>
    <row r="970">
      <c r="A970" s="18"/>
      <c r="H970" s="120"/>
    </row>
    <row r="971">
      <c r="A971" s="18"/>
      <c r="H971" s="120"/>
    </row>
    <row r="972">
      <c r="A972" s="18"/>
      <c r="H972" s="120"/>
    </row>
    <row r="973">
      <c r="A973" s="18"/>
      <c r="H973" s="120"/>
    </row>
    <row r="974">
      <c r="A974" s="18"/>
      <c r="H974" s="120"/>
    </row>
    <row r="975">
      <c r="A975" s="18"/>
      <c r="H975" s="120"/>
    </row>
    <row r="976">
      <c r="A976" s="18"/>
      <c r="H976" s="120"/>
    </row>
    <row r="977">
      <c r="A977" s="18"/>
      <c r="H977" s="120"/>
    </row>
    <row r="978">
      <c r="A978" s="18"/>
      <c r="H978" s="120"/>
    </row>
    <row r="979">
      <c r="A979" s="18"/>
      <c r="H979" s="120"/>
    </row>
    <row r="980">
      <c r="A980" s="18"/>
      <c r="H980" s="120"/>
    </row>
    <row r="981">
      <c r="A981" s="18"/>
      <c r="H981" s="120"/>
    </row>
    <row r="982">
      <c r="A982" s="18"/>
      <c r="H982" s="120"/>
    </row>
    <row r="983">
      <c r="A983" s="18"/>
      <c r="H983" s="120"/>
    </row>
    <row r="984">
      <c r="A984" s="18"/>
      <c r="H984" s="120"/>
    </row>
    <row r="985">
      <c r="A985" s="18"/>
      <c r="H985" s="120"/>
    </row>
    <row r="986">
      <c r="A986" s="18"/>
      <c r="H986" s="120"/>
    </row>
    <row r="987">
      <c r="A987" s="18"/>
      <c r="H987" s="120"/>
    </row>
    <row r="988">
      <c r="A988" s="18"/>
      <c r="H988" s="120"/>
    </row>
    <row r="989">
      <c r="A989" s="18"/>
      <c r="H989" s="120"/>
    </row>
    <row r="990">
      <c r="A990" s="18"/>
      <c r="H990" s="120"/>
    </row>
    <row r="991">
      <c r="A991" s="18"/>
      <c r="H991" s="120"/>
    </row>
    <row r="992">
      <c r="A992" s="18"/>
      <c r="H992" s="120"/>
    </row>
    <row r="993">
      <c r="A993" s="18"/>
      <c r="H993" s="120"/>
    </row>
    <row r="994">
      <c r="A994" s="18"/>
      <c r="H994" s="120"/>
    </row>
    <row r="995">
      <c r="A995" s="18"/>
      <c r="H995" s="120"/>
    </row>
    <row r="996">
      <c r="A996" s="18"/>
      <c r="H996" s="120"/>
    </row>
    <row r="997">
      <c r="A997" s="18"/>
      <c r="H997" s="120"/>
    </row>
    <row r="998">
      <c r="A998" s="18"/>
      <c r="H998" s="120"/>
    </row>
    <row r="999">
      <c r="A999" s="18"/>
      <c r="H999" s="120"/>
    </row>
    <row r="1000">
      <c r="A1000" s="18"/>
      <c r="H1000" s="120"/>
    </row>
    <row r="1001">
      <c r="A1001" s="18"/>
      <c r="H1001" s="120"/>
    </row>
    <row r="1002">
      <c r="A1002" s="18"/>
      <c r="H1002" s="120"/>
    </row>
    <row r="1003">
      <c r="A1003" s="18"/>
      <c r="H1003" s="120"/>
    </row>
    <row r="1004">
      <c r="A1004" s="18"/>
      <c r="H1004" s="120"/>
    </row>
    <row r="1005">
      <c r="A1005" s="18"/>
      <c r="H1005" s="120"/>
    </row>
    <row r="1006">
      <c r="A1006" s="18"/>
      <c r="H1006" s="120"/>
    </row>
    <row r="1007">
      <c r="A1007" s="18"/>
      <c r="H1007" s="120"/>
    </row>
  </sheetData>
  <mergeCells count="39">
    <mergeCell ref="A1:I1"/>
    <mergeCell ref="A2:I2"/>
    <mergeCell ref="A3:I3"/>
    <mergeCell ref="B5:F5"/>
    <mergeCell ref="B6:F6"/>
    <mergeCell ref="B58:F58"/>
    <mergeCell ref="B78:F78"/>
    <mergeCell ref="K63:L66"/>
    <mergeCell ref="K128:L128"/>
    <mergeCell ref="K130:L130"/>
    <mergeCell ref="K132:L132"/>
    <mergeCell ref="K134:L134"/>
    <mergeCell ref="K135:L135"/>
    <mergeCell ref="K136:L136"/>
    <mergeCell ref="K137:L137"/>
    <mergeCell ref="K138:L138"/>
    <mergeCell ref="K139:L139"/>
    <mergeCell ref="K140:L140"/>
    <mergeCell ref="B278:F278"/>
    <mergeCell ref="B358:F358"/>
    <mergeCell ref="B375:F375"/>
    <mergeCell ref="C376:F376"/>
    <mergeCell ref="C377:F377"/>
    <mergeCell ref="B383:F383"/>
    <mergeCell ref="B389:F389"/>
    <mergeCell ref="A402:C402"/>
    <mergeCell ref="C403:F403"/>
    <mergeCell ref="C404:G404"/>
    <mergeCell ref="D412:F412"/>
    <mergeCell ref="D413:F413"/>
    <mergeCell ref="C414:G414"/>
    <mergeCell ref="C415:G415"/>
    <mergeCell ref="C405:G405"/>
    <mergeCell ref="D406:F406"/>
    <mergeCell ref="D407:F407"/>
    <mergeCell ref="D408:E408"/>
    <mergeCell ref="D409:F409"/>
    <mergeCell ref="D410:G410"/>
    <mergeCell ref="D411:F4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4.88"/>
    <col customWidth="1" min="7" max="7" width="19.25"/>
  </cols>
  <sheetData>
    <row r="1">
      <c r="A1" s="4" t="s">
        <v>367</v>
      </c>
    </row>
    <row r="2">
      <c r="A2" s="4" t="s">
        <v>7</v>
      </c>
    </row>
    <row r="3">
      <c r="A3" s="4" t="s">
        <v>8</v>
      </c>
    </row>
    <row r="4">
      <c r="A4" s="5"/>
      <c r="B4" s="6"/>
      <c r="C4" s="6"/>
      <c r="D4" s="6"/>
      <c r="E4" s="6"/>
      <c r="F4" s="6"/>
      <c r="G4" s="6"/>
      <c r="H4" s="6"/>
    </row>
    <row r="5">
      <c r="A5" s="4" t="s">
        <v>9</v>
      </c>
      <c r="B5" s="67" t="s">
        <v>368</v>
      </c>
      <c r="C5" s="67" t="s">
        <v>369</v>
      </c>
      <c r="D5" s="67" t="s">
        <v>370</v>
      </c>
      <c r="E5" s="67" t="s">
        <v>371</v>
      </c>
      <c r="F5" s="6"/>
      <c r="G5" s="6"/>
      <c r="H5" s="6"/>
    </row>
    <row r="6">
      <c r="A6" s="121">
        <v>1.0</v>
      </c>
      <c r="B6" s="17" t="s">
        <v>372</v>
      </c>
      <c r="D6" s="17" t="s">
        <v>373</v>
      </c>
      <c r="E6" s="122">
        <v>1000.0</v>
      </c>
    </row>
    <row r="7">
      <c r="A7" s="121">
        <v>2.0</v>
      </c>
      <c r="B7" s="17" t="s">
        <v>374</v>
      </c>
      <c r="D7" s="17" t="s">
        <v>373</v>
      </c>
      <c r="E7" s="122">
        <v>1000.0</v>
      </c>
    </row>
    <row r="8">
      <c r="A8" s="121">
        <v>3.0</v>
      </c>
      <c r="B8" s="17" t="s">
        <v>375</v>
      </c>
      <c r="D8" s="17" t="s">
        <v>373</v>
      </c>
      <c r="E8" s="123"/>
    </row>
    <row r="9">
      <c r="A9" s="121">
        <v>4.0</v>
      </c>
      <c r="B9" s="17" t="s">
        <v>376</v>
      </c>
      <c r="D9" s="17" t="s">
        <v>377</v>
      </c>
      <c r="E9" s="122">
        <v>1000.0</v>
      </c>
    </row>
    <row r="10">
      <c r="A10" s="18"/>
      <c r="E10" s="123"/>
    </row>
    <row r="11">
      <c r="A11" s="18"/>
      <c r="E11" s="123"/>
    </row>
    <row r="12">
      <c r="A12" s="18"/>
      <c r="E12" s="123"/>
    </row>
    <row r="13">
      <c r="A13" s="18"/>
      <c r="E13" s="123"/>
    </row>
    <row r="14">
      <c r="A14" s="18"/>
      <c r="E14" s="123"/>
    </row>
    <row r="15">
      <c r="A15" s="18"/>
      <c r="E15" s="123"/>
    </row>
    <row r="16">
      <c r="A16" s="18"/>
      <c r="E16" s="123"/>
    </row>
    <row r="17">
      <c r="A17" s="18"/>
      <c r="E17" s="123"/>
    </row>
    <row r="18">
      <c r="A18" s="18"/>
      <c r="E18" s="123"/>
    </row>
    <row r="19">
      <c r="A19" s="18"/>
      <c r="E19" s="123"/>
    </row>
    <row r="20">
      <c r="A20" s="18"/>
      <c r="E20" s="123"/>
    </row>
    <row r="21">
      <c r="A21" s="18"/>
      <c r="E21" s="123"/>
    </row>
    <row r="22">
      <c r="A22" s="18"/>
      <c r="E22" s="123"/>
    </row>
    <row r="23">
      <c r="A23" s="18"/>
      <c r="E23" s="123"/>
    </row>
    <row r="24">
      <c r="A24" s="18"/>
      <c r="E24" s="123"/>
    </row>
    <row r="25">
      <c r="A25" s="18"/>
      <c r="E25" s="123"/>
    </row>
    <row r="26">
      <c r="A26" s="18"/>
      <c r="E26" s="123"/>
    </row>
    <row r="27">
      <c r="A27" s="18"/>
      <c r="E27" s="123"/>
    </row>
    <row r="28">
      <c r="A28" s="18"/>
      <c r="E28" s="123"/>
    </row>
    <row r="29">
      <c r="A29" s="18"/>
      <c r="E29" s="123"/>
    </row>
    <row r="30">
      <c r="A30" s="18"/>
      <c r="E30" s="123"/>
    </row>
    <row r="31">
      <c r="A31" s="18"/>
      <c r="E31" s="123"/>
    </row>
    <row r="32">
      <c r="A32" s="18"/>
      <c r="E32" s="123"/>
    </row>
    <row r="33">
      <c r="A33" s="18"/>
      <c r="E33" s="123"/>
    </row>
    <row r="34">
      <c r="A34" s="18"/>
      <c r="E34" s="123"/>
    </row>
    <row r="35">
      <c r="A35" s="18"/>
      <c r="E35" s="123"/>
    </row>
    <row r="36">
      <c r="A36" s="18"/>
      <c r="E36" s="123"/>
    </row>
    <row r="37">
      <c r="A37" s="18"/>
      <c r="E37" s="123"/>
    </row>
    <row r="38">
      <c r="A38" s="18"/>
      <c r="E38" s="123"/>
    </row>
    <row r="39">
      <c r="A39" s="18"/>
      <c r="E39" s="123"/>
    </row>
    <row r="40">
      <c r="A40" s="18"/>
      <c r="E40" s="123"/>
    </row>
    <row r="41">
      <c r="A41" s="18"/>
      <c r="E41" s="123"/>
    </row>
    <row r="42">
      <c r="A42" s="18"/>
      <c r="E42" s="123"/>
    </row>
    <row r="43">
      <c r="A43" s="18"/>
      <c r="E43" s="123"/>
    </row>
    <row r="44">
      <c r="A44" s="18"/>
      <c r="E44" s="123"/>
    </row>
    <row r="45">
      <c r="A45" s="18"/>
      <c r="E45" s="123"/>
    </row>
    <row r="46">
      <c r="A46" s="18"/>
      <c r="E46" s="123"/>
    </row>
    <row r="47">
      <c r="A47" s="18"/>
      <c r="E47" s="123"/>
    </row>
    <row r="48">
      <c r="A48" s="18"/>
      <c r="E48" s="123"/>
    </row>
    <row r="49">
      <c r="A49" s="18"/>
      <c r="E49" s="123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</sheetData>
  <mergeCells count="3">
    <mergeCell ref="A1:H1"/>
    <mergeCell ref="A2:H2"/>
    <mergeCell ref="A3:H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.88"/>
    <col customWidth="1" min="10" max="10" width="9.75"/>
    <col customWidth="1" min="11" max="11" width="11.13"/>
    <col customWidth="1" min="13" max="13" width="8.88"/>
    <col customWidth="1" min="14" max="14" width="9.0"/>
    <col customWidth="1" min="15" max="15" width="9.75"/>
    <col customWidth="1" min="16" max="16" width="8.38"/>
    <col customWidth="1" min="17" max="17" width="10.63"/>
    <col customWidth="1" min="18" max="18" width="8.38"/>
    <col customWidth="1" min="19" max="19" width="8.13"/>
    <col customWidth="1" min="20" max="20" width="9.5"/>
    <col customWidth="1" min="21" max="21" width="7.88"/>
    <col customWidth="1" min="22" max="22" width="11.0"/>
    <col customWidth="1" min="23" max="23" width="8.0"/>
    <col customWidth="1" min="24" max="25" width="9.13"/>
    <col customWidth="1" min="26" max="26" width="8.5"/>
    <col customWidth="1" min="28" max="28" width="7.88"/>
    <col customWidth="1" min="29" max="29" width="7.13"/>
    <col hidden="1" min="53" max="59" width="12.63"/>
    <col customWidth="1" min="60" max="63" width="18.88"/>
  </cols>
  <sheetData>
    <row r="1">
      <c r="A1" s="124" t="s">
        <v>378</v>
      </c>
      <c r="B1" s="125" t="s">
        <v>379</v>
      </c>
      <c r="C1" s="126" t="s">
        <v>380</v>
      </c>
      <c r="D1" s="126" t="s">
        <v>381</v>
      </c>
      <c r="E1" s="126" t="s">
        <v>382</v>
      </c>
      <c r="F1" s="125" t="s">
        <v>383</v>
      </c>
      <c r="G1" s="127" t="s">
        <v>384</v>
      </c>
      <c r="H1" s="128" t="s">
        <v>385</v>
      </c>
      <c r="I1" s="128" t="s">
        <v>386</v>
      </c>
      <c r="J1" s="128" t="s">
        <v>387</v>
      </c>
      <c r="K1" s="127" t="s">
        <v>388</v>
      </c>
      <c r="L1" s="127" t="s">
        <v>389</v>
      </c>
      <c r="M1" s="127" t="s">
        <v>390</v>
      </c>
      <c r="N1" s="127" t="s">
        <v>391</v>
      </c>
      <c r="O1" s="127" t="s">
        <v>392</v>
      </c>
      <c r="P1" s="127" t="s">
        <v>393</v>
      </c>
      <c r="Q1" s="127" t="s">
        <v>394</v>
      </c>
      <c r="R1" s="127" t="s">
        <v>395</v>
      </c>
      <c r="S1" s="127" t="s">
        <v>396</v>
      </c>
      <c r="T1" s="127" t="s">
        <v>397</v>
      </c>
      <c r="U1" s="127" t="s">
        <v>398</v>
      </c>
      <c r="V1" s="127" t="s">
        <v>399</v>
      </c>
      <c r="W1" s="127" t="s">
        <v>400</v>
      </c>
      <c r="X1" s="127" t="s">
        <v>401</v>
      </c>
      <c r="Y1" s="127" t="s">
        <v>402</v>
      </c>
      <c r="Z1" s="127" t="s">
        <v>403</v>
      </c>
      <c r="AA1" s="127" t="s">
        <v>404</v>
      </c>
      <c r="AB1" s="127" t="s">
        <v>405</v>
      </c>
      <c r="AC1" s="127" t="s">
        <v>406</v>
      </c>
      <c r="AD1" s="127" t="s">
        <v>407</v>
      </c>
      <c r="AE1" s="127" t="s">
        <v>408</v>
      </c>
      <c r="AF1" s="127" t="s">
        <v>409</v>
      </c>
      <c r="AG1" s="127" t="s">
        <v>410</v>
      </c>
      <c r="AH1" s="127" t="s">
        <v>411</v>
      </c>
      <c r="AI1" s="127" t="s">
        <v>412</v>
      </c>
      <c r="AJ1" s="127" t="s">
        <v>413</v>
      </c>
      <c r="AK1" s="127" t="s">
        <v>414</v>
      </c>
      <c r="AL1" s="127" t="s">
        <v>415</v>
      </c>
      <c r="AM1" s="127" t="s">
        <v>416</v>
      </c>
      <c r="AN1" s="127" t="s">
        <v>417</v>
      </c>
      <c r="AO1" s="127" t="s">
        <v>418</v>
      </c>
      <c r="AP1" s="127" t="s">
        <v>419</v>
      </c>
      <c r="AQ1" s="127" t="s">
        <v>420</v>
      </c>
      <c r="AR1" s="127" t="s">
        <v>421</v>
      </c>
      <c r="AS1" s="127" t="s">
        <v>422</v>
      </c>
      <c r="AT1" s="127" t="s">
        <v>423</v>
      </c>
      <c r="AU1" s="127" t="s">
        <v>424</v>
      </c>
      <c r="AV1" s="127" t="s">
        <v>425</v>
      </c>
      <c r="AW1" s="127" t="s">
        <v>426</v>
      </c>
      <c r="AX1" s="127" t="s">
        <v>427</v>
      </c>
      <c r="AY1" s="127" t="s">
        <v>428</v>
      </c>
      <c r="AZ1" s="127" t="s">
        <v>429</v>
      </c>
      <c r="BA1" s="129" t="s">
        <v>430</v>
      </c>
      <c r="BB1" s="129" t="s">
        <v>431</v>
      </c>
      <c r="BC1" s="129" t="s">
        <v>432</v>
      </c>
      <c r="BD1" s="129" t="s">
        <v>433</v>
      </c>
      <c r="BE1" s="129" t="s">
        <v>434</v>
      </c>
      <c r="BF1" s="129" t="s">
        <v>435</v>
      </c>
      <c r="BG1" s="129" t="s">
        <v>436</v>
      </c>
      <c r="BH1" s="130" t="s">
        <v>437</v>
      </c>
      <c r="BI1" s="130" t="s">
        <v>438</v>
      </c>
      <c r="BJ1" s="130" t="s">
        <v>439</v>
      </c>
      <c r="BK1" s="130" t="s">
        <v>440</v>
      </c>
    </row>
    <row r="2">
      <c r="A2" s="17"/>
      <c r="B2" s="131"/>
      <c r="C2" s="132"/>
      <c r="D2" s="131" t="s">
        <v>441</v>
      </c>
      <c r="E2" s="131" t="s">
        <v>442</v>
      </c>
      <c r="F2" s="131" t="s">
        <v>443</v>
      </c>
      <c r="G2" s="131" t="s">
        <v>444</v>
      </c>
      <c r="H2" s="131">
        <v>31.2</v>
      </c>
      <c r="I2" s="17" t="s">
        <v>445</v>
      </c>
      <c r="L2" s="17" t="s">
        <v>446</v>
      </c>
      <c r="M2" s="17">
        <v>20.0</v>
      </c>
      <c r="N2" s="17" t="s">
        <v>373</v>
      </c>
      <c r="Q2" s="17" t="s">
        <v>447</v>
      </c>
      <c r="R2" s="17">
        <v>10.0</v>
      </c>
      <c r="S2" s="17" t="s">
        <v>373</v>
      </c>
      <c r="V2" s="17" t="s">
        <v>448</v>
      </c>
      <c r="W2" s="17">
        <v>10.0</v>
      </c>
      <c r="X2" s="17" t="s">
        <v>373</v>
      </c>
      <c r="AA2" s="17" t="s">
        <v>449</v>
      </c>
      <c r="AB2" s="17">
        <v>10.0</v>
      </c>
      <c r="AC2" s="17" t="s">
        <v>373</v>
      </c>
      <c r="BH2" s="17" t="s">
        <v>450</v>
      </c>
      <c r="BI2" s="133" t="s">
        <v>451</v>
      </c>
      <c r="BJ2" s="134" t="str">
        <f>HYPERLINK("https://drive.google.com/file/d/1j3Wq84eEGAML_cJ2WAvg1SiRfeQHYh4F/view?usp=drivesdk","Bahan Adelia Shabeila Gumitha")</f>
        <v>Bahan Adelia Shabeila Gumitha</v>
      </c>
      <c r="BK2" s="17" t="s">
        <v>452</v>
      </c>
    </row>
    <row r="3">
      <c r="A3" s="135">
        <v>45707.0</v>
      </c>
      <c r="B3" s="131" t="s">
        <v>453</v>
      </c>
      <c r="C3" s="132"/>
      <c r="D3" s="131" t="s">
        <v>454</v>
      </c>
      <c r="E3" s="131" t="s">
        <v>455</v>
      </c>
      <c r="F3" s="131" t="s">
        <v>456</v>
      </c>
      <c r="G3" s="136" t="s">
        <v>457</v>
      </c>
      <c r="H3" s="137">
        <v>20.0</v>
      </c>
      <c r="I3" s="138" t="s">
        <v>445</v>
      </c>
      <c r="J3" s="139">
        <v>6000.0</v>
      </c>
      <c r="K3" s="139">
        <f t="shared" ref="K3:K6" si="1">H3*J3</f>
        <v>120000</v>
      </c>
      <c r="AZ3" s="140">
        <f t="shared" ref="AZ3:AZ5" si="2">K3+P3+Z3+AE3+AJ3+AO3+AT3+AY3</f>
        <v>120000</v>
      </c>
      <c r="BH3" s="17" t="s">
        <v>458</v>
      </c>
      <c r="BI3" s="133" t="s">
        <v>459</v>
      </c>
      <c r="BJ3" s="134" t="str">
        <f>HYPERLINK("https://drive.google.com/file/d/1fNmCb1en7iEqUtKoB7d0bDv7RW4Wb5HC/view?usp=drivesdk","Bahan Novanda Wisnu Ardhana")</f>
        <v>Bahan Novanda Wisnu Ardhana</v>
      </c>
      <c r="BK3" s="17" t="s">
        <v>452</v>
      </c>
    </row>
    <row r="4">
      <c r="B4" s="131" t="s">
        <v>453</v>
      </c>
      <c r="C4" s="132"/>
      <c r="D4" s="131" t="s">
        <v>460</v>
      </c>
      <c r="E4" s="131" t="s">
        <v>461</v>
      </c>
      <c r="F4" s="131" t="s">
        <v>462</v>
      </c>
      <c r="G4" s="131" t="s">
        <v>463</v>
      </c>
      <c r="H4" s="131">
        <v>57.0</v>
      </c>
      <c r="I4" s="17" t="s">
        <v>445</v>
      </c>
      <c r="J4" s="141">
        <v>7000.0</v>
      </c>
      <c r="K4" s="139">
        <f t="shared" si="1"/>
        <v>399000</v>
      </c>
      <c r="AZ4" s="140">
        <f t="shared" si="2"/>
        <v>399000</v>
      </c>
      <c r="BH4" s="17" t="s">
        <v>464</v>
      </c>
      <c r="BI4" s="133" t="s">
        <v>465</v>
      </c>
      <c r="BJ4" s="134" t="str">
        <f>HYPERLINK("https://drive.google.com/file/d/1xIZgW6zqK4QK220PwLOMa1TCo2rqyefN/view?usp=drivesdk","Bahan Veronika Adien ")</f>
        <v>Bahan Veronika Adien </v>
      </c>
      <c r="BK4" s="17" t="s">
        <v>466</v>
      </c>
    </row>
    <row r="5">
      <c r="B5" s="131" t="s">
        <v>453</v>
      </c>
      <c r="C5" s="132"/>
      <c r="D5" s="131" t="s">
        <v>467</v>
      </c>
      <c r="E5" s="131" t="s">
        <v>468</v>
      </c>
      <c r="F5" s="131" t="s">
        <v>462</v>
      </c>
      <c r="G5" s="131" t="s">
        <v>469</v>
      </c>
      <c r="H5" s="131">
        <v>0.9</v>
      </c>
      <c r="I5" s="17" t="s">
        <v>445</v>
      </c>
      <c r="J5" s="141">
        <v>3000.0</v>
      </c>
      <c r="K5" s="139">
        <f t="shared" si="1"/>
        <v>2700</v>
      </c>
      <c r="L5" s="17" t="s">
        <v>470</v>
      </c>
      <c r="M5" s="17">
        <v>56.0</v>
      </c>
      <c r="N5" s="17" t="s">
        <v>471</v>
      </c>
      <c r="O5" s="141">
        <v>10000.0</v>
      </c>
      <c r="P5" s="140">
        <f t="shared" ref="P5:P6" si="3">O5*M5</f>
        <v>560000</v>
      </c>
      <c r="AZ5" s="140">
        <f t="shared" si="2"/>
        <v>562700</v>
      </c>
      <c r="BH5" s="17" t="s">
        <v>472</v>
      </c>
      <c r="BI5" s="133" t="s">
        <v>473</v>
      </c>
      <c r="BJ5" s="134" t="str">
        <f>HYPERLINK("https://drive.google.com/file/d/1gsmso5lws4njxwYzaH4gqv8A_pj0woaD/view?usp=drivesdk","Bahan Jasmine Aderia")</f>
        <v>Bahan Jasmine Aderia</v>
      </c>
      <c r="BK5" s="17" t="s">
        <v>474</v>
      </c>
    </row>
    <row r="6">
      <c r="B6" s="131" t="s">
        <v>453</v>
      </c>
      <c r="C6" s="132"/>
      <c r="D6" s="131" t="s">
        <v>475</v>
      </c>
      <c r="E6" s="131" t="s">
        <v>476</v>
      </c>
      <c r="F6" s="131" t="s">
        <v>477</v>
      </c>
      <c r="G6" s="131" t="s">
        <v>478</v>
      </c>
      <c r="H6" s="131">
        <v>1.0</v>
      </c>
      <c r="I6" s="17" t="s">
        <v>479</v>
      </c>
      <c r="J6" s="141">
        <v>90000.0</v>
      </c>
      <c r="K6" s="139">
        <f t="shared" si="1"/>
        <v>90000</v>
      </c>
      <c r="L6" s="17" t="s">
        <v>480</v>
      </c>
      <c r="M6" s="17">
        <v>50.0</v>
      </c>
      <c r="N6" s="17" t="s">
        <v>373</v>
      </c>
      <c r="O6" s="141">
        <v>1000.0</v>
      </c>
      <c r="P6" s="140">
        <f t="shared" si="3"/>
        <v>50000</v>
      </c>
      <c r="Q6" s="17" t="s">
        <v>481</v>
      </c>
      <c r="R6" s="17">
        <v>1.0</v>
      </c>
      <c r="S6" s="17" t="s">
        <v>445</v>
      </c>
      <c r="T6" s="141">
        <v>90000.0</v>
      </c>
      <c r="U6" s="140">
        <f>T6*R6</f>
        <v>90000</v>
      </c>
      <c r="V6" s="17" t="s">
        <v>482</v>
      </c>
      <c r="W6" s="17">
        <v>32.0</v>
      </c>
      <c r="X6" s="17" t="s">
        <v>373</v>
      </c>
      <c r="Y6" s="141">
        <v>1500.0</v>
      </c>
      <c r="Z6" s="140">
        <f>Y6*W6</f>
        <v>48000</v>
      </c>
      <c r="AA6" s="17" t="s">
        <v>483</v>
      </c>
      <c r="AB6" s="17">
        <v>14.0</v>
      </c>
      <c r="AC6" s="17" t="s">
        <v>373</v>
      </c>
      <c r="AD6" s="141">
        <v>1000.0</v>
      </c>
      <c r="AE6" s="140">
        <f>AD6*AB6</f>
        <v>14000</v>
      </c>
      <c r="AZ6" s="140">
        <f>K6+P6+U6+Z6+AE6+AJ6+AO6+AT6+AY6</f>
        <v>292000</v>
      </c>
      <c r="BH6" s="17" t="s">
        <v>484</v>
      </c>
      <c r="BI6" s="133" t="s">
        <v>485</v>
      </c>
      <c r="BJ6" s="134" t="str">
        <f>HYPERLINK("https://drive.google.com/file/d/1jIziFdUeycqHguSGINsbst-b4X0N4urB/view?usp=drivesdk","Bahan Rahma Isnaini Puji Astuti")</f>
        <v>Bahan Rahma Isnaini Puji Astuti</v>
      </c>
      <c r="BK6" s="17" t="s">
        <v>486</v>
      </c>
    </row>
    <row r="7">
      <c r="B7" s="131" t="s">
        <v>453</v>
      </c>
      <c r="C7" s="132"/>
      <c r="D7" s="131" t="s">
        <v>487</v>
      </c>
      <c r="E7" s="131" t="s">
        <v>488</v>
      </c>
      <c r="F7" s="131" t="s">
        <v>489</v>
      </c>
      <c r="G7" s="131" t="s">
        <v>376</v>
      </c>
      <c r="H7" s="131">
        <v>10.0</v>
      </c>
      <c r="I7" s="17" t="s">
        <v>377</v>
      </c>
      <c r="J7" s="141">
        <v>1000.0</v>
      </c>
      <c r="K7" s="141">
        <v>10000.0</v>
      </c>
      <c r="AZ7" s="141">
        <v>10000.0</v>
      </c>
      <c r="BH7" s="17" t="s">
        <v>490</v>
      </c>
      <c r="BI7" s="133" t="s">
        <v>491</v>
      </c>
      <c r="BJ7" s="134" t="str">
        <f>HYPERLINK("https://drive.google.com/file/d/1d33UQqpy93u3uYf_kB_bwp24A0g07lPW/view?usp=drivesdk","Bahan Aura")</f>
        <v>Bahan Aura</v>
      </c>
      <c r="BK7" s="17" t="s">
        <v>492</v>
      </c>
    </row>
    <row r="8">
      <c r="B8" s="131" t="s">
        <v>453</v>
      </c>
      <c r="C8" s="132"/>
      <c r="D8" s="131" t="s">
        <v>493</v>
      </c>
      <c r="E8" s="131" t="s">
        <v>494</v>
      </c>
      <c r="F8" s="131" t="s">
        <v>456</v>
      </c>
      <c r="G8" s="131" t="s">
        <v>495</v>
      </c>
      <c r="H8" s="131">
        <v>2.0</v>
      </c>
      <c r="I8" s="17" t="s">
        <v>445</v>
      </c>
      <c r="J8" s="141">
        <v>25000.0</v>
      </c>
      <c r="AZ8" s="141">
        <v>50000.0</v>
      </c>
      <c r="BH8" s="17" t="s">
        <v>496</v>
      </c>
      <c r="BI8" s="133" t="s">
        <v>497</v>
      </c>
      <c r="BJ8" s="134" t="str">
        <f>HYPERLINK("https://drive.google.com/file/d/14uFk-hsJf63XZ_DyLUqf6cNg5KInyzjS/view?usp=drivesdk","Bahan Debby Wulan Purnama")</f>
        <v>Bahan Debby Wulan Purnama</v>
      </c>
      <c r="BK8" s="17" t="s">
        <v>498</v>
      </c>
    </row>
    <row r="9">
      <c r="A9" s="135">
        <v>45940.0</v>
      </c>
      <c r="B9" s="131" t="s">
        <v>453</v>
      </c>
      <c r="C9" s="132"/>
      <c r="D9" s="131" t="s">
        <v>499</v>
      </c>
      <c r="E9" s="132"/>
      <c r="F9" s="131" t="s">
        <v>456</v>
      </c>
      <c r="G9" s="131" t="s">
        <v>500</v>
      </c>
      <c r="H9" s="131">
        <v>60.0</v>
      </c>
      <c r="I9" s="17" t="s">
        <v>445</v>
      </c>
      <c r="J9" s="141">
        <v>5000.0</v>
      </c>
      <c r="K9" s="141">
        <v>300000.0</v>
      </c>
      <c r="L9" s="17" t="s">
        <v>501</v>
      </c>
      <c r="M9" s="17">
        <v>243.6</v>
      </c>
      <c r="N9" s="17" t="s">
        <v>214</v>
      </c>
      <c r="O9" s="141">
        <v>4300.0</v>
      </c>
      <c r="P9" s="141">
        <v>1047480.0</v>
      </c>
      <c r="Q9" s="17" t="s">
        <v>502</v>
      </c>
      <c r="R9" s="17">
        <v>85.0</v>
      </c>
      <c r="S9" s="17">
        <v>9.0</v>
      </c>
      <c r="T9" s="141">
        <v>5800.0</v>
      </c>
      <c r="U9" s="141">
        <v>493000.0</v>
      </c>
      <c r="AZ9" s="140">
        <f>K9+P9+U9</f>
        <v>1840480</v>
      </c>
      <c r="BH9" s="17" t="s">
        <v>503</v>
      </c>
      <c r="BI9" s="133" t="s">
        <v>504</v>
      </c>
      <c r="BJ9" s="134" t="str">
        <f>HYPERLINK("https://drive.google.com/file/d/1X9NhmzJiMke9g2uVZroxZZLqrTSBz4Eu/view?usp=drivesdk","Bahan Nur Laila")</f>
        <v>Bahan Nur Laila</v>
      </c>
      <c r="BK9" s="17" t="s">
        <v>505</v>
      </c>
    </row>
    <row r="10">
      <c r="B10" s="132"/>
      <c r="C10" s="132"/>
      <c r="D10" s="132"/>
      <c r="E10" s="132"/>
      <c r="F10" s="132"/>
      <c r="G10" s="132"/>
      <c r="H10" s="132"/>
    </row>
    <row r="11">
      <c r="B11" s="132"/>
      <c r="C11" s="132"/>
      <c r="D11" s="132"/>
      <c r="E11" s="132"/>
      <c r="F11" s="132"/>
      <c r="G11" s="132"/>
      <c r="H11" s="132"/>
    </row>
    <row r="12">
      <c r="B12" s="132"/>
      <c r="C12" s="132"/>
      <c r="D12" s="132"/>
      <c r="E12" s="132"/>
      <c r="F12" s="132"/>
      <c r="G12" s="132"/>
      <c r="H12" s="132"/>
    </row>
    <row r="13">
      <c r="B13" s="132"/>
      <c r="C13" s="132"/>
      <c r="D13" s="132"/>
      <c r="E13" s="132"/>
      <c r="F13" s="132"/>
      <c r="G13" s="132"/>
      <c r="H13" s="132"/>
    </row>
    <row r="14">
      <c r="B14" s="132"/>
      <c r="C14" s="132"/>
      <c r="D14" s="132"/>
      <c r="E14" s="132"/>
      <c r="F14" s="132"/>
      <c r="G14" s="132"/>
      <c r="H14" s="132"/>
    </row>
    <row r="15">
      <c r="B15" s="132"/>
      <c r="C15" s="132"/>
      <c r="D15" s="132"/>
      <c r="E15" s="132"/>
      <c r="F15" s="132"/>
      <c r="G15" s="132"/>
      <c r="H15" s="132"/>
    </row>
    <row r="16">
      <c r="B16" s="132"/>
      <c r="C16" s="132"/>
      <c r="D16" s="132"/>
      <c r="E16" s="132"/>
      <c r="F16" s="132"/>
      <c r="G16" s="132"/>
      <c r="H16" s="132"/>
    </row>
    <row r="17">
      <c r="B17" s="132"/>
      <c r="C17" s="132"/>
      <c r="D17" s="132"/>
      <c r="E17" s="132"/>
      <c r="F17" s="132"/>
      <c r="G17" s="132"/>
      <c r="H17" s="132"/>
    </row>
  </sheetData>
  <hyperlinks>
    <hyperlink r:id="rId1" ref="BI2"/>
    <hyperlink r:id="rId2" ref="BI3"/>
    <hyperlink r:id="rId3" ref="BI4"/>
    <hyperlink r:id="rId4" ref="BI5"/>
    <hyperlink r:id="rId5" ref="BI6"/>
    <hyperlink r:id="rId6" ref="BI7"/>
    <hyperlink r:id="rId7" ref="BI8"/>
    <hyperlink r:id="rId8" ref="BI9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9.13"/>
    <col customWidth="1" min="6" max="6" width="8.63"/>
    <col customWidth="1" min="9" max="9" width="6.75"/>
    <col customWidth="1" min="10" max="10" width="10.25"/>
    <col customWidth="1" min="12" max="12" width="8.5"/>
    <col customWidth="1" min="13" max="13" width="8.75"/>
    <col customWidth="1" min="14" max="14" width="10.13"/>
    <col customWidth="1" min="15" max="15" width="11.75"/>
    <col customWidth="1" min="16" max="16" width="11.0"/>
    <col customWidth="1" min="17" max="17" width="10.63"/>
    <col customWidth="1" min="18" max="18" width="10.13"/>
    <col customWidth="1" min="19" max="19" width="8.88"/>
    <col customWidth="1" min="20" max="20" width="9.5"/>
    <col customWidth="1" min="21" max="21" width="11.13"/>
    <col customWidth="1" min="22" max="22" width="10.25"/>
    <col customWidth="1" min="23" max="23" width="10.5"/>
    <col customWidth="1" min="24" max="24" width="10.38"/>
    <col customWidth="1" min="25" max="26" width="8.88"/>
    <col customWidth="1" min="27" max="27" width="11.38"/>
    <col customWidth="1" min="28" max="28" width="10.0"/>
    <col customWidth="1" min="29" max="29" width="10.25"/>
    <col customWidth="1" min="32" max="35" width="18.88"/>
  </cols>
  <sheetData>
    <row r="1">
      <c r="A1" s="142" t="s">
        <v>506</v>
      </c>
      <c r="B1" s="143" t="s">
        <v>378</v>
      </c>
      <c r="C1" s="144" t="s">
        <v>507</v>
      </c>
      <c r="D1" s="144" t="s">
        <v>380</v>
      </c>
      <c r="E1" s="144" t="s">
        <v>381</v>
      </c>
      <c r="F1" s="144" t="s">
        <v>508</v>
      </c>
      <c r="G1" s="145" t="s">
        <v>509</v>
      </c>
      <c r="H1" s="144" t="s">
        <v>510</v>
      </c>
      <c r="I1" s="146" t="s">
        <v>511</v>
      </c>
      <c r="J1" s="144" t="s">
        <v>512</v>
      </c>
      <c r="K1" s="144" t="s">
        <v>513</v>
      </c>
      <c r="L1" s="144" t="s">
        <v>514</v>
      </c>
      <c r="M1" s="144" t="s">
        <v>515</v>
      </c>
      <c r="N1" s="144" t="s">
        <v>516</v>
      </c>
      <c r="O1" s="144" t="s">
        <v>517</v>
      </c>
      <c r="P1" s="144" t="s">
        <v>518</v>
      </c>
      <c r="Q1" s="144" t="s">
        <v>519</v>
      </c>
      <c r="R1" s="144" t="s">
        <v>520</v>
      </c>
      <c r="S1" s="144" t="s">
        <v>521</v>
      </c>
      <c r="T1" s="144" t="s">
        <v>522</v>
      </c>
      <c r="U1" s="144" t="s">
        <v>523</v>
      </c>
      <c r="V1" s="144" t="s">
        <v>524</v>
      </c>
      <c r="W1" s="144" t="s">
        <v>525</v>
      </c>
      <c r="X1" s="144" t="s">
        <v>526</v>
      </c>
      <c r="Y1" s="144" t="s">
        <v>527</v>
      </c>
      <c r="Z1" s="144" t="s">
        <v>528</v>
      </c>
      <c r="AA1" s="144" t="s">
        <v>529</v>
      </c>
      <c r="AB1" s="144" t="s">
        <v>530</v>
      </c>
      <c r="AC1" s="144" t="s">
        <v>531</v>
      </c>
      <c r="AD1" s="144" t="s">
        <v>532</v>
      </c>
      <c r="AE1" s="147" t="s">
        <v>379</v>
      </c>
      <c r="AF1" s="148" t="s">
        <v>533</v>
      </c>
      <c r="AG1" s="148" t="s">
        <v>534</v>
      </c>
      <c r="AH1" s="148" t="s">
        <v>535</v>
      </c>
      <c r="AI1" s="148" t="s">
        <v>536</v>
      </c>
    </row>
    <row r="2">
      <c r="A2" s="149" t="s">
        <v>537</v>
      </c>
      <c r="B2" s="149">
        <v>45947.0</v>
      </c>
      <c r="C2" s="121" t="s">
        <v>538</v>
      </c>
      <c r="D2" s="121">
        <v>628.0</v>
      </c>
      <c r="E2" s="17" t="s">
        <v>539</v>
      </c>
      <c r="F2" s="17" t="s">
        <v>155</v>
      </c>
      <c r="G2" s="17" t="s">
        <v>540</v>
      </c>
      <c r="H2" s="17" t="s">
        <v>541</v>
      </c>
      <c r="I2" s="17">
        <v>1.0</v>
      </c>
      <c r="J2" s="17" t="s">
        <v>542</v>
      </c>
      <c r="K2" s="141" t="s">
        <v>543</v>
      </c>
      <c r="L2" s="141">
        <v>75000.0</v>
      </c>
      <c r="M2" s="141">
        <f>$I$2*L2</f>
        <v>75000</v>
      </c>
      <c r="N2" s="17" t="s">
        <v>287</v>
      </c>
      <c r="O2" s="17" t="s">
        <v>544</v>
      </c>
      <c r="P2" s="141">
        <v>200000.0</v>
      </c>
      <c r="Q2" s="141">
        <f>$I$2*P2</f>
        <v>200000</v>
      </c>
      <c r="R2" s="17" t="s">
        <v>545</v>
      </c>
      <c r="S2" s="17" t="s">
        <v>546</v>
      </c>
      <c r="T2" s="141">
        <v>50000.0</v>
      </c>
      <c r="U2" s="141">
        <f>$I$2*T2</f>
        <v>50000</v>
      </c>
      <c r="V2" s="17" t="s">
        <v>547</v>
      </c>
      <c r="W2" s="17" t="s">
        <v>546</v>
      </c>
      <c r="X2" s="141">
        <v>50000.0</v>
      </c>
      <c r="Y2" s="141">
        <f>$I$2*X2</f>
        <v>50000</v>
      </c>
      <c r="Z2" s="17" t="s">
        <v>548</v>
      </c>
      <c r="AA2" s="17" t="s">
        <v>546</v>
      </c>
      <c r="AB2" s="141">
        <v>15000.0</v>
      </c>
      <c r="AC2" s="141">
        <f>$I$2*AB2</f>
        <v>15000</v>
      </c>
      <c r="AD2" s="140">
        <f t="shared" ref="AD2:AD8" si="1">M2+Q2+U2+Y2+AC2</f>
        <v>390000</v>
      </c>
      <c r="AE2" s="17" t="s">
        <v>546</v>
      </c>
      <c r="AF2" s="17" t="s">
        <v>549</v>
      </c>
      <c r="AG2" s="133" t="s">
        <v>550</v>
      </c>
      <c r="AH2" s="134" t="str">
        <f>HYPERLINK("https://drive.google.com/file/d/1fM5cmc6il8KMDpSkDUz3kglKO-JV-wNi/view?usp=drivesdk","Uji Gabungan 628")</f>
        <v>Uji Gabungan 628</v>
      </c>
      <c r="AI2" s="17" t="s">
        <v>551</v>
      </c>
    </row>
    <row r="3">
      <c r="A3" s="149">
        <v>45929.0</v>
      </c>
      <c r="B3" s="149">
        <v>45947.0</v>
      </c>
      <c r="C3" s="17" t="s">
        <v>552</v>
      </c>
      <c r="D3" s="17">
        <v>641.0</v>
      </c>
      <c r="E3" s="17" t="s">
        <v>553</v>
      </c>
      <c r="F3" s="17">
        <v>24236.0</v>
      </c>
      <c r="G3" s="17" t="s">
        <v>554</v>
      </c>
      <c r="H3" s="17" t="s">
        <v>541</v>
      </c>
      <c r="I3" s="17">
        <v>8.0</v>
      </c>
      <c r="J3" s="17" t="s">
        <v>555</v>
      </c>
      <c r="K3" s="17" t="s">
        <v>556</v>
      </c>
      <c r="L3" s="141">
        <v>150000.0</v>
      </c>
      <c r="M3" s="141">
        <f>$I$3*L3</f>
        <v>1200000</v>
      </c>
      <c r="N3" s="17" t="s">
        <v>557</v>
      </c>
      <c r="O3" s="17" t="s">
        <v>544</v>
      </c>
      <c r="P3" s="141">
        <v>100000.0</v>
      </c>
      <c r="Q3" s="141">
        <f>$I$3*P3</f>
        <v>800000</v>
      </c>
      <c r="AD3" s="140">
        <f t="shared" si="1"/>
        <v>2000000</v>
      </c>
      <c r="AE3" s="17" t="s">
        <v>546</v>
      </c>
      <c r="AF3" s="17" t="s">
        <v>558</v>
      </c>
      <c r="AG3" s="133" t="s">
        <v>559</v>
      </c>
      <c r="AH3" s="134" t="str">
        <f>HYPERLINK("https://drive.google.com/file/d/1S1T6_mGlvJJdVIAit4pprfv3LxmjSMWn/view?usp=drivesdk","Uji Gabungan 641")</f>
        <v>Uji Gabungan 641</v>
      </c>
      <c r="AI3" s="17" t="s">
        <v>560</v>
      </c>
    </row>
    <row r="4">
      <c r="A4" s="149">
        <v>45947.0</v>
      </c>
      <c r="B4" s="149">
        <v>45947.0</v>
      </c>
      <c r="C4" s="17" t="s">
        <v>561</v>
      </c>
      <c r="D4" s="17">
        <v>687.0</v>
      </c>
      <c r="E4" s="17" t="s">
        <v>562</v>
      </c>
      <c r="F4" s="17" t="s">
        <v>155</v>
      </c>
      <c r="G4" s="17" t="s">
        <v>155</v>
      </c>
      <c r="H4" s="17" t="s">
        <v>541</v>
      </c>
      <c r="I4" s="17">
        <v>1.0</v>
      </c>
      <c r="J4" s="17" t="s">
        <v>545</v>
      </c>
      <c r="K4" s="17" t="s">
        <v>563</v>
      </c>
      <c r="L4" s="141">
        <v>50000.0</v>
      </c>
      <c r="M4" s="141">
        <f t="shared" ref="M4:M8" si="2">I4*L4</f>
        <v>50000</v>
      </c>
      <c r="N4" s="17" t="s">
        <v>42</v>
      </c>
      <c r="O4" s="17" t="s">
        <v>563</v>
      </c>
      <c r="P4" s="141">
        <v>50000.0</v>
      </c>
      <c r="Q4" s="141">
        <f>$I$4*P4</f>
        <v>50000</v>
      </c>
      <c r="AD4" s="140">
        <f t="shared" si="1"/>
        <v>100000</v>
      </c>
      <c r="AE4" s="17" t="s">
        <v>546</v>
      </c>
      <c r="AF4" s="17" t="s">
        <v>564</v>
      </c>
      <c r="AG4" s="133" t="s">
        <v>565</v>
      </c>
      <c r="AH4" s="134" t="str">
        <f>HYPERLINK("https://drive.google.com/file/d/1Z8pLrjTgOkJCu5FwYY6EoIfdbY-9SEWm/view?usp=drivesdk","Uji Gabungan 687")</f>
        <v>Uji Gabungan 687</v>
      </c>
      <c r="AI4" s="17" t="s">
        <v>566</v>
      </c>
    </row>
    <row r="5">
      <c r="A5" s="149" t="s">
        <v>567</v>
      </c>
      <c r="B5" s="149">
        <v>45967.0</v>
      </c>
      <c r="C5" s="17" t="s">
        <v>568</v>
      </c>
      <c r="D5" s="17">
        <v>620.0</v>
      </c>
      <c r="E5" s="17" t="s">
        <v>569</v>
      </c>
      <c r="F5" s="17">
        <v>4.311421058E9</v>
      </c>
      <c r="G5" s="17" t="s">
        <v>570</v>
      </c>
      <c r="H5" s="17" t="s">
        <v>541</v>
      </c>
      <c r="I5" s="17">
        <v>51.0</v>
      </c>
      <c r="J5" s="17" t="s">
        <v>571</v>
      </c>
      <c r="K5" s="17" t="s">
        <v>572</v>
      </c>
      <c r="L5" s="141">
        <v>25000.0</v>
      </c>
      <c r="M5" s="141">
        <f t="shared" si="2"/>
        <v>1275000</v>
      </c>
      <c r="AD5" s="140">
        <f t="shared" si="1"/>
        <v>1275000</v>
      </c>
      <c r="AE5" s="17" t="s">
        <v>546</v>
      </c>
      <c r="AF5" s="17" t="s">
        <v>573</v>
      </c>
      <c r="AG5" s="133" t="s">
        <v>574</v>
      </c>
      <c r="AH5" s="134" t="str">
        <f>HYPERLINK("https://drive.google.com/file/d/1_J3w2KBjCnTUSpCEHxL2dyjJW19D8pyK/view?usp=drivesdk","Uji Gabungan 620")</f>
        <v>Uji Gabungan 620</v>
      </c>
      <c r="AI5" s="17" t="s">
        <v>575</v>
      </c>
    </row>
    <row r="6">
      <c r="A6" s="149" t="s">
        <v>576</v>
      </c>
      <c r="B6" s="149">
        <v>45967.0</v>
      </c>
      <c r="C6" s="17" t="s">
        <v>568</v>
      </c>
      <c r="D6" s="17">
        <v>621.0</v>
      </c>
      <c r="E6" s="17" t="s">
        <v>577</v>
      </c>
      <c r="F6" s="17">
        <v>4.311421078E9</v>
      </c>
      <c r="G6" s="17" t="s">
        <v>570</v>
      </c>
      <c r="H6" s="17" t="s">
        <v>541</v>
      </c>
      <c r="I6" s="17">
        <v>15.0</v>
      </c>
      <c r="J6" s="17" t="s">
        <v>571</v>
      </c>
      <c r="K6" s="17" t="s">
        <v>572</v>
      </c>
      <c r="L6" s="141">
        <v>25000.0</v>
      </c>
      <c r="M6" s="141">
        <f t="shared" si="2"/>
        <v>375000</v>
      </c>
      <c r="AD6" s="140">
        <f t="shared" si="1"/>
        <v>375000</v>
      </c>
      <c r="AE6" s="17" t="s">
        <v>546</v>
      </c>
      <c r="AF6" s="17" t="s">
        <v>578</v>
      </c>
      <c r="AG6" s="133" t="s">
        <v>579</v>
      </c>
      <c r="AH6" s="134" t="str">
        <f>HYPERLINK("https://drive.google.com/file/d/17_hli0vi4KzTK8xNPmFiOqo4-6DKOZaS/view?usp=drivesdk","Uji Gabungan 621")</f>
        <v>Uji Gabungan 621</v>
      </c>
      <c r="AI6" s="17" t="s">
        <v>575</v>
      </c>
    </row>
    <row r="7">
      <c r="A7" s="149">
        <v>45921.0</v>
      </c>
      <c r="B7" s="149">
        <v>45971.0</v>
      </c>
      <c r="C7" s="17" t="s">
        <v>555</v>
      </c>
      <c r="D7" s="17">
        <v>615.0</v>
      </c>
      <c r="E7" s="136" t="s">
        <v>580</v>
      </c>
      <c r="F7" s="150">
        <v>2.2600017E7</v>
      </c>
      <c r="G7" s="136" t="s">
        <v>581</v>
      </c>
      <c r="H7" s="17" t="s">
        <v>541</v>
      </c>
      <c r="I7" s="17">
        <v>15.0</v>
      </c>
      <c r="J7" s="17" t="s">
        <v>555</v>
      </c>
      <c r="K7" s="17" t="s">
        <v>556</v>
      </c>
      <c r="L7" s="17">
        <v>150000.0</v>
      </c>
      <c r="M7" s="141">
        <f t="shared" si="2"/>
        <v>2250000</v>
      </c>
      <c r="AD7" s="140">
        <f t="shared" si="1"/>
        <v>2250000</v>
      </c>
      <c r="AE7" s="17" t="s">
        <v>546</v>
      </c>
      <c r="AF7" s="17" t="s">
        <v>582</v>
      </c>
      <c r="AG7" s="133" t="s">
        <v>583</v>
      </c>
      <c r="AH7" s="134" t="str">
        <f>HYPERLINK("https://drive.google.com/file/d/1ouHjvFXCe_JugbMGkcH1TRCjtdnw0B-W/view?usp=drivesdk","Uji Gabungan 615")</f>
        <v>Uji Gabungan 615</v>
      </c>
      <c r="AI7" s="17" t="s">
        <v>584</v>
      </c>
    </row>
    <row r="8">
      <c r="A8" s="149">
        <v>45975.0</v>
      </c>
      <c r="B8" s="149">
        <v>45982.0</v>
      </c>
      <c r="C8" s="17" t="s">
        <v>555</v>
      </c>
      <c r="D8" s="17">
        <v>765.0</v>
      </c>
      <c r="E8" s="17" t="s">
        <v>585</v>
      </c>
      <c r="F8" s="17" t="s">
        <v>586</v>
      </c>
      <c r="G8" s="17" t="s">
        <v>587</v>
      </c>
      <c r="H8" s="17" t="s">
        <v>541</v>
      </c>
      <c r="I8" s="17">
        <v>1.0</v>
      </c>
      <c r="J8" s="17" t="s">
        <v>555</v>
      </c>
      <c r="K8" s="17" t="s">
        <v>588</v>
      </c>
      <c r="L8" s="141">
        <v>150000.0</v>
      </c>
      <c r="M8" s="141">
        <f t="shared" si="2"/>
        <v>150000</v>
      </c>
      <c r="AD8" s="140">
        <f t="shared" si="1"/>
        <v>150000</v>
      </c>
      <c r="AE8" s="17" t="s">
        <v>546</v>
      </c>
      <c r="AF8" s="17" t="s">
        <v>589</v>
      </c>
      <c r="AG8" s="133" t="s">
        <v>590</v>
      </c>
      <c r="AH8" s="134" t="str">
        <f>HYPERLINK("https://drive.google.com/file/d/1N7TycLYkagmRjLZJn4Dag_O6E6vPZcYQ/view?usp=drivesdk","Uji Gabungan 765")</f>
        <v>Uji Gabungan 765</v>
      </c>
      <c r="AI8" s="17" t="s">
        <v>591</v>
      </c>
    </row>
    <row r="9">
      <c r="A9" s="151"/>
      <c r="B9" s="151"/>
    </row>
    <row r="10">
      <c r="A10" s="151"/>
      <c r="B10" s="151"/>
    </row>
    <row r="11">
      <c r="A11" s="151"/>
      <c r="B11" s="151"/>
    </row>
    <row r="12">
      <c r="A12" s="151"/>
      <c r="B12" s="151"/>
    </row>
    <row r="13">
      <c r="A13" s="151"/>
      <c r="B13" s="151"/>
    </row>
    <row r="14">
      <c r="A14" s="151"/>
      <c r="B14" s="151"/>
    </row>
    <row r="15">
      <c r="A15" s="151"/>
      <c r="B15" s="151"/>
    </row>
    <row r="16">
      <c r="A16" s="151"/>
      <c r="B16" s="151"/>
    </row>
    <row r="17">
      <c r="A17" s="151"/>
      <c r="B17" s="151"/>
    </row>
    <row r="18">
      <c r="A18" s="151"/>
      <c r="B18" s="151"/>
    </row>
    <row r="19">
      <c r="A19" s="151"/>
      <c r="B19" s="151"/>
    </row>
    <row r="20">
      <c r="A20" s="151"/>
      <c r="B20" s="151"/>
    </row>
    <row r="21">
      <c r="A21" s="151"/>
      <c r="B21" s="151"/>
    </row>
    <row r="22">
      <c r="A22" s="151"/>
      <c r="B22" s="151"/>
    </row>
    <row r="23">
      <c r="A23" s="151"/>
      <c r="B23" s="151"/>
    </row>
    <row r="24">
      <c r="A24" s="151"/>
      <c r="B24" s="151"/>
    </row>
    <row r="25">
      <c r="A25" s="151"/>
      <c r="B25" s="151"/>
    </row>
    <row r="26">
      <c r="A26" s="151"/>
      <c r="B26" s="151"/>
    </row>
    <row r="27">
      <c r="A27" s="151"/>
      <c r="B27" s="151"/>
    </row>
    <row r="28">
      <c r="A28" s="151"/>
      <c r="B28" s="151"/>
    </row>
    <row r="29">
      <c r="A29" s="151"/>
      <c r="B29" s="151"/>
    </row>
    <row r="30">
      <c r="A30" s="151"/>
      <c r="B30" s="151"/>
    </row>
    <row r="31">
      <c r="A31" s="151"/>
      <c r="B31" s="151"/>
    </row>
    <row r="32">
      <c r="A32" s="151"/>
      <c r="B32" s="151"/>
    </row>
    <row r="33">
      <c r="A33" s="151"/>
      <c r="B33" s="151"/>
    </row>
    <row r="34">
      <c r="A34" s="151"/>
      <c r="B34" s="151"/>
    </row>
    <row r="35">
      <c r="A35" s="151"/>
      <c r="B35" s="151"/>
    </row>
    <row r="36">
      <c r="A36" s="151"/>
      <c r="B36" s="151"/>
    </row>
    <row r="37">
      <c r="A37" s="151"/>
      <c r="B37" s="151"/>
    </row>
    <row r="38">
      <c r="A38" s="151"/>
      <c r="B38" s="151"/>
    </row>
    <row r="39">
      <c r="A39" s="151"/>
      <c r="B39" s="151"/>
    </row>
    <row r="40">
      <c r="A40" s="151"/>
      <c r="B40" s="151"/>
    </row>
    <row r="41">
      <c r="A41" s="151"/>
      <c r="B41" s="151"/>
    </row>
    <row r="42">
      <c r="A42" s="151"/>
      <c r="B42" s="151"/>
    </row>
    <row r="43">
      <c r="A43" s="151"/>
      <c r="B43" s="151"/>
    </row>
    <row r="44">
      <c r="A44" s="151"/>
      <c r="B44" s="151"/>
    </row>
    <row r="45">
      <c r="A45" s="151"/>
      <c r="B45" s="151"/>
    </row>
    <row r="46">
      <c r="A46" s="151"/>
      <c r="B46" s="151"/>
    </row>
    <row r="47">
      <c r="A47" s="151"/>
      <c r="B47" s="151"/>
    </row>
    <row r="48">
      <c r="A48" s="151"/>
      <c r="B48" s="151"/>
    </row>
    <row r="49">
      <c r="A49" s="151"/>
      <c r="B49" s="151"/>
    </row>
    <row r="50">
      <c r="A50" s="151"/>
      <c r="B50" s="151"/>
    </row>
    <row r="51">
      <c r="A51" s="151"/>
      <c r="B51" s="151"/>
    </row>
    <row r="52">
      <c r="A52" s="151"/>
      <c r="B52" s="151"/>
    </row>
    <row r="53">
      <c r="A53" s="151"/>
      <c r="B53" s="151"/>
    </row>
    <row r="54">
      <c r="A54" s="151"/>
      <c r="B54" s="151"/>
    </row>
    <row r="55">
      <c r="A55" s="151"/>
      <c r="B55" s="151"/>
    </row>
    <row r="56">
      <c r="A56" s="151"/>
      <c r="B56" s="151"/>
    </row>
    <row r="57">
      <c r="A57" s="151"/>
      <c r="B57" s="151"/>
    </row>
    <row r="58">
      <c r="A58" s="151"/>
      <c r="B58" s="151"/>
    </row>
    <row r="59">
      <c r="A59" s="151"/>
      <c r="B59" s="151"/>
    </row>
    <row r="60">
      <c r="A60" s="151"/>
      <c r="B60" s="151"/>
    </row>
    <row r="61">
      <c r="A61" s="151"/>
      <c r="B61" s="151"/>
    </row>
    <row r="62">
      <c r="A62" s="151"/>
      <c r="B62" s="151"/>
    </row>
    <row r="63">
      <c r="A63" s="151"/>
      <c r="B63" s="151"/>
    </row>
    <row r="64">
      <c r="A64" s="151"/>
      <c r="B64" s="151"/>
    </row>
    <row r="65">
      <c r="A65" s="151"/>
      <c r="B65" s="151"/>
    </row>
    <row r="66">
      <c r="A66" s="151"/>
      <c r="B66" s="151"/>
    </row>
    <row r="67">
      <c r="A67" s="151"/>
      <c r="B67" s="151"/>
    </row>
    <row r="68">
      <c r="A68" s="151"/>
      <c r="B68" s="151"/>
    </row>
    <row r="69">
      <c r="A69" s="151"/>
      <c r="B69" s="151"/>
    </row>
    <row r="70">
      <c r="A70" s="151"/>
      <c r="B70" s="151"/>
    </row>
    <row r="71">
      <c r="A71" s="151"/>
      <c r="B71" s="151"/>
    </row>
    <row r="72">
      <c r="A72" s="151"/>
      <c r="B72" s="151"/>
    </row>
    <row r="73">
      <c r="A73" s="151"/>
      <c r="B73" s="151"/>
    </row>
    <row r="74">
      <c r="A74" s="151"/>
      <c r="B74" s="151"/>
    </row>
    <row r="75">
      <c r="A75" s="151"/>
      <c r="B75" s="151"/>
    </row>
    <row r="76">
      <c r="A76" s="151"/>
      <c r="B76" s="151"/>
    </row>
    <row r="77">
      <c r="A77" s="151"/>
      <c r="B77" s="151"/>
    </row>
    <row r="78">
      <c r="A78" s="151"/>
      <c r="B78" s="151"/>
    </row>
    <row r="79">
      <c r="A79" s="151"/>
      <c r="B79" s="151"/>
    </row>
    <row r="80">
      <c r="A80" s="151"/>
      <c r="B80" s="151"/>
    </row>
    <row r="81">
      <c r="A81" s="151"/>
      <c r="B81" s="151"/>
    </row>
    <row r="82">
      <c r="A82" s="151"/>
      <c r="B82" s="151"/>
    </row>
    <row r="83">
      <c r="A83" s="151"/>
      <c r="B83" s="151"/>
    </row>
    <row r="84">
      <c r="A84" s="151"/>
      <c r="B84" s="151"/>
    </row>
    <row r="85">
      <c r="A85" s="151"/>
      <c r="B85" s="151"/>
    </row>
    <row r="86">
      <c r="A86" s="151"/>
      <c r="B86" s="151"/>
    </row>
    <row r="87">
      <c r="A87" s="151"/>
      <c r="B87" s="151"/>
    </row>
    <row r="88">
      <c r="A88" s="151"/>
      <c r="B88" s="151"/>
    </row>
    <row r="89">
      <c r="A89" s="151"/>
      <c r="B89" s="151"/>
    </row>
    <row r="90">
      <c r="A90" s="151"/>
      <c r="B90" s="151"/>
    </row>
    <row r="91">
      <c r="A91" s="151"/>
      <c r="B91" s="151"/>
    </row>
    <row r="92">
      <c r="A92" s="151"/>
      <c r="B92" s="151"/>
    </row>
    <row r="93">
      <c r="A93" s="151"/>
      <c r="B93" s="151"/>
    </row>
    <row r="94">
      <c r="A94" s="151"/>
      <c r="B94" s="151"/>
    </row>
    <row r="95">
      <c r="A95" s="151"/>
      <c r="B95" s="151"/>
    </row>
    <row r="96">
      <c r="A96" s="151"/>
      <c r="B96" s="151"/>
    </row>
    <row r="97">
      <c r="A97" s="151"/>
      <c r="B97" s="151"/>
    </row>
    <row r="98">
      <c r="A98" s="151"/>
      <c r="B98" s="151"/>
    </row>
    <row r="99">
      <c r="A99" s="151"/>
      <c r="B99" s="151"/>
    </row>
    <row r="100">
      <c r="A100" s="151"/>
      <c r="B100" s="151"/>
    </row>
    <row r="101">
      <c r="A101" s="151"/>
      <c r="B101" s="151"/>
    </row>
    <row r="102">
      <c r="A102" s="151"/>
      <c r="B102" s="151"/>
    </row>
    <row r="103">
      <c r="A103" s="151"/>
      <c r="B103" s="151"/>
    </row>
    <row r="104">
      <c r="A104" s="151"/>
      <c r="B104" s="151"/>
    </row>
    <row r="105">
      <c r="A105" s="151"/>
      <c r="B105" s="151"/>
    </row>
    <row r="106">
      <c r="A106" s="151"/>
      <c r="B106" s="151"/>
    </row>
    <row r="107">
      <c r="A107" s="151"/>
      <c r="B107" s="151"/>
    </row>
    <row r="108">
      <c r="A108" s="151"/>
      <c r="B108" s="151"/>
    </row>
    <row r="109">
      <c r="A109" s="151"/>
      <c r="B109" s="151"/>
    </row>
    <row r="110">
      <c r="A110" s="151"/>
      <c r="B110" s="151"/>
    </row>
    <row r="111">
      <c r="A111" s="151"/>
      <c r="B111" s="151"/>
    </row>
    <row r="112">
      <c r="A112" s="151"/>
      <c r="B112" s="151"/>
    </row>
    <row r="113">
      <c r="A113" s="151"/>
      <c r="B113" s="151"/>
    </row>
    <row r="114">
      <c r="A114" s="151"/>
      <c r="B114" s="151"/>
    </row>
    <row r="115">
      <c r="A115" s="151"/>
      <c r="B115" s="151"/>
    </row>
    <row r="116">
      <c r="A116" s="151"/>
      <c r="B116" s="151"/>
    </row>
    <row r="117">
      <c r="A117" s="151"/>
      <c r="B117" s="151"/>
    </row>
    <row r="118">
      <c r="A118" s="151"/>
      <c r="B118" s="151"/>
    </row>
    <row r="119">
      <c r="A119" s="151"/>
      <c r="B119" s="151"/>
    </row>
    <row r="120">
      <c r="A120" s="151"/>
      <c r="B120" s="151"/>
    </row>
    <row r="121">
      <c r="A121" s="151"/>
      <c r="B121" s="151"/>
    </row>
    <row r="122">
      <c r="A122" s="151"/>
      <c r="B122" s="151"/>
    </row>
    <row r="123">
      <c r="A123" s="151"/>
      <c r="B123" s="151"/>
    </row>
    <row r="124">
      <c r="A124" s="151"/>
      <c r="B124" s="151"/>
    </row>
    <row r="125">
      <c r="A125" s="151"/>
      <c r="B125" s="151"/>
    </row>
    <row r="126">
      <c r="A126" s="151"/>
      <c r="B126" s="151"/>
    </row>
    <row r="127">
      <c r="A127" s="151"/>
      <c r="B127" s="151"/>
    </row>
    <row r="128">
      <c r="A128" s="151"/>
      <c r="B128" s="151"/>
    </row>
    <row r="129">
      <c r="A129" s="151"/>
      <c r="B129" s="151"/>
    </row>
    <row r="130">
      <c r="A130" s="151"/>
      <c r="B130" s="151"/>
    </row>
    <row r="131">
      <c r="A131" s="151"/>
      <c r="B131" s="151"/>
    </row>
    <row r="132">
      <c r="A132" s="151"/>
      <c r="B132" s="151"/>
    </row>
    <row r="133">
      <c r="A133" s="151"/>
      <c r="B133" s="151"/>
    </row>
    <row r="134">
      <c r="A134" s="151"/>
      <c r="B134" s="151"/>
    </row>
    <row r="135">
      <c r="A135" s="151"/>
      <c r="B135" s="151"/>
    </row>
    <row r="136">
      <c r="A136" s="151"/>
      <c r="B136" s="151"/>
    </row>
    <row r="137">
      <c r="A137" s="151"/>
      <c r="B137" s="151"/>
    </row>
    <row r="138">
      <c r="A138" s="151"/>
      <c r="B138" s="151"/>
    </row>
    <row r="139">
      <c r="A139" s="151"/>
      <c r="B139" s="151"/>
    </row>
    <row r="140">
      <c r="A140" s="151"/>
      <c r="B140" s="151"/>
    </row>
    <row r="141">
      <c r="A141" s="151"/>
      <c r="B141" s="151"/>
    </row>
    <row r="142">
      <c r="A142" s="151"/>
      <c r="B142" s="151"/>
    </row>
    <row r="143">
      <c r="A143" s="151"/>
      <c r="B143" s="151"/>
    </row>
    <row r="144">
      <c r="A144" s="151"/>
      <c r="B144" s="151"/>
    </row>
    <row r="145">
      <c r="A145" s="151"/>
      <c r="B145" s="151"/>
    </row>
    <row r="146">
      <c r="A146" s="151"/>
      <c r="B146" s="151"/>
    </row>
    <row r="147">
      <c r="A147" s="151"/>
      <c r="B147" s="151"/>
    </row>
    <row r="148">
      <c r="A148" s="151"/>
      <c r="B148" s="151"/>
    </row>
    <row r="149">
      <c r="A149" s="151"/>
      <c r="B149" s="151"/>
    </row>
    <row r="150">
      <c r="A150" s="151"/>
      <c r="B150" s="151"/>
    </row>
    <row r="151">
      <c r="A151" s="151"/>
      <c r="B151" s="151"/>
    </row>
    <row r="152">
      <c r="A152" s="151"/>
      <c r="B152" s="151"/>
    </row>
    <row r="153">
      <c r="A153" s="151"/>
      <c r="B153" s="151"/>
    </row>
    <row r="154">
      <c r="A154" s="151"/>
      <c r="B154" s="151"/>
    </row>
    <row r="155">
      <c r="A155" s="151"/>
      <c r="B155" s="151"/>
    </row>
    <row r="156">
      <c r="A156" s="151"/>
      <c r="B156" s="151"/>
    </row>
    <row r="157">
      <c r="A157" s="151"/>
      <c r="B157" s="151"/>
    </row>
    <row r="158">
      <c r="A158" s="151"/>
      <c r="B158" s="151"/>
    </row>
    <row r="159">
      <c r="A159" s="151"/>
      <c r="B159" s="151"/>
    </row>
    <row r="160">
      <c r="A160" s="151"/>
      <c r="B160" s="151"/>
    </row>
    <row r="161">
      <c r="A161" s="151"/>
      <c r="B161" s="151"/>
    </row>
    <row r="162">
      <c r="A162" s="151"/>
      <c r="B162" s="151"/>
    </row>
    <row r="163">
      <c r="A163" s="151"/>
      <c r="B163" s="151"/>
    </row>
    <row r="164">
      <c r="A164" s="151"/>
      <c r="B164" s="151"/>
    </row>
    <row r="165">
      <c r="A165" s="151"/>
      <c r="B165" s="151"/>
    </row>
    <row r="166">
      <c r="A166" s="151"/>
      <c r="B166" s="151"/>
    </row>
    <row r="167">
      <c r="A167" s="151"/>
      <c r="B167" s="151"/>
    </row>
    <row r="168">
      <c r="A168" s="151"/>
      <c r="B168" s="151"/>
    </row>
    <row r="169">
      <c r="A169" s="151"/>
      <c r="B169" s="151"/>
    </row>
    <row r="170">
      <c r="A170" s="151"/>
      <c r="B170" s="151"/>
    </row>
    <row r="171">
      <c r="A171" s="151"/>
      <c r="B171" s="151"/>
    </row>
    <row r="172">
      <c r="A172" s="151"/>
      <c r="B172" s="151"/>
    </row>
    <row r="173">
      <c r="A173" s="151"/>
      <c r="B173" s="151"/>
    </row>
    <row r="174">
      <c r="A174" s="151"/>
      <c r="B174" s="151"/>
    </row>
    <row r="175">
      <c r="A175" s="151"/>
      <c r="B175" s="151"/>
    </row>
    <row r="176">
      <c r="A176" s="151"/>
      <c r="B176" s="151"/>
    </row>
    <row r="177">
      <c r="A177" s="151"/>
      <c r="B177" s="151"/>
    </row>
    <row r="178">
      <c r="A178" s="151"/>
      <c r="B178" s="151"/>
    </row>
    <row r="179">
      <c r="A179" s="151"/>
      <c r="B179" s="151"/>
    </row>
    <row r="180">
      <c r="A180" s="151"/>
      <c r="B180" s="151"/>
    </row>
    <row r="181">
      <c r="A181" s="151"/>
      <c r="B181" s="151"/>
    </row>
    <row r="182">
      <c r="A182" s="151"/>
      <c r="B182" s="151"/>
    </row>
    <row r="183">
      <c r="A183" s="151"/>
      <c r="B183" s="151"/>
    </row>
    <row r="184">
      <c r="A184" s="151"/>
      <c r="B184" s="151"/>
    </row>
    <row r="185">
      <c r="A185" s="151"/>
      <c r="B185" s="151"/>
    </row>
    <row r="186">
      <c r="A186" s="151"/>
      <c r="B186" s="151"/>
    </row>
    <row r="187">
      <c r="A187" s="151"/>
      <c r="B187" s="151"/>
    </row>
    <row r="188">
      <c r="A188" s="151"/>
      <c r="B188" s="151"/>
    </row>
    <row r="189">
      <c r="A189" s="151"/>
      <c r="B189" s="151"/>
    </row>
    <row r="190">
      <c r="A190" s="151"/>
      <c r="B190" s="151"/>
    </row>
    <row r="191">
      <c r="A191" s="151"/>
      <c r="B191" s="151"/>
    </row>
    <row r="192">
      <c r="A192" s="151"/>
      <c r="B192" s="151"/>
    </row>
    <row r="193">
      <c r="A193" s="151"/>
      <c r="B193" s="151"/>
    </row>
    <row r="194">
      <c r="A194" s="151"/>
      <c r="B194" s="151"/>
    </row>
    <row r="195">
      <c r="A195" s="151"/>
      <c r="B195" s="151"/>
    </row>
    <row r="196">
      <c r="A196" s="151"/>
      <c r="B196" s="151"/>
    </row>
    <row r="197">
      <c r="A197" s="151"/>
      <c r="B197" s="151"/>
    </row>
    <row r="198">
      <c r="A198" s="151"/>
      <c r="B198" s="151"/>
    </row>
    <row r="199">
      <c r="A199" s="151"/>
      <c r="B199" s="151"/>
    </row>
    <row r="200">
      <c r="A200" s="151"/>
      <c r="B200" s="151"/>
    </row>
    <row r="201">
      <c r="A201" s="151"/>
      <c r="B201" s="151"/>
    </row>
    <row r="202">
      <c r="A202" s="151"/>
      <c r="B202" s="151"/>
    </row>
    <row r="203">
      <c r="A203" s="151"/>
      <c r="B203" s="151"/>
    </row>
    <row r="204">
      <c r="A204" s="151"/>
      <c r="B204" s="151"/>
    </row>
    <row r="205">
      <c r="A205" s="151"/>
      <c r="B205" s="151"/>
    </row>
    <row r="206">
      <c r="A206" s="151"/>
      <c r="B206" s="151"/>
    </row>
    <row r="207">
      <c r="A207" s="151"/>
      <c r="B207" s="151"/>
    </row>
    <row r="208">
      <c r="A208" s="151"/>
      <c r="B208" s="151"/>
    </row>
    <row r="209">
      <c r="A209" s="151"/>
      <c r="B209" s="151"/>
    </row>
    <row r="210">
      <c r="A210" s="151"/>
      <c r="B210" s="151"/>
    </row>
    <row r="211">
      <c r="A211" s="151"/>
      <c r="B211" s="151"/>
    </row>
    <row r="212">
      <c r="A212" s="151"/>
      <c r="B212" s="151"/>
    </row>
    <row r="213">
      <c r="A213" s="151"/>
      <c r="B213" s="151"/>
    </row>
    <row r="214">
      <c r="A214" s="151"/>
      <c r="B214" s="151"/>
    </row>
    <row r="215">
      <c r="A215" s="151"/>
      <c r="B215" s="151"/>
    </row>
    <row r="216">
      <c r="A216" s="151"/>
      <c r="B216" s="151"/>
    </row>
    <row r="217">
      <c r="A217" s="151"/>
      <c r="B217" s="151"/>
    </row>
    <row r="218">
      <c r="A218" s="151"/>
      <c r="B218" s="151"/>
    </row>
    <row r="219">
      <c r="A219" s="151"/>
      <c r="B219" s="151"/>
    </row>
    <row r="220">
      <c r="A220" s="151"/>
      <c r="B220" s="151"/>
    </row>
    <row r="221">
      <c r="A221" s="151"/>
      <c r="B221" s="151"/>
    </row>
    <row r="222">
      <c r="A222" s="151"/>
      <c r="B222" s="151"/>
    </row>
    <row r="223">
      <c r="A223" s="151"/>
      <c r="B223" s="151"/>
    </row>
    <row r="224">
      <c r="A224" s="151"/>
      <c r="B224" s="151"/>
    </row>
    <row r="225">
      <c r="A225" s="151"/>
      <c r="B225" s="151"/>
    </row>
    <row r="226">
      <c r="A226" s="151"/>
      <c r="B226" s="151"/>
    </row>
    <row r="227">
      <c r="A227" s="151"/>
      <c r="B227" s="151"/>
    </row>
    <row r="228">
      <c r="A228" s="151"/>
      <c r="B228" s="151"/>
    </row>
    <row r="229">
      <c r="A229" s="151"/>
      <c r="B229" s="151"/>
    </row>
    <row r="230">
      <c r="A230" s="151"/>
      <c r="B230" s="151"/>
    </row>
    <row r="231">
      <c r="A231" s="151"/>
      <c r="B231" s="151"/>
    </row>
    <row r="232">
      <c r="A232" s="151"/>
      <c r="B232" s="151"/>
    </row>
    <row r="233">
      <c r="A233" s="151"/>
      <c r="B233" s="151"/>
    </row>
    <row r="234">
      <c r="A234" s="151"/>
      <c r="B234" s="151"/>
    </row>
    <row r="235">
      <c r="A235" s="151"/>
      <c r="B235" s="151"/>
    </row>
    <row r="236">
      <c r="A236" s="151"/>
      <c r="B236" s="151"/>
    </row>
    <row r="237">
      <c r="A237" s="151"/>
      <c r="B237" s="151"/>
    </row>
    <row r="238">
      <c r="A238" s="151"/>
      <c r="B238" s="151"/>
    </row>
    <row r="239">
      <c r="A239" s="151"/>
      <c r="B239" s="151"/>
    </row>
    <row r="240">
      <c r="A240" s="151"/>
      <c r="B240" s="151"/>
    </row>
    <row r="241">
      <c r="A241" s="151"/>
      <c r="B241" s="151"/>
    </row>
    <row r="242">
      <c r="A242" s="151"/>
      <c r="B242" s="151"/>
    </row>
    <row r="243">
      <c r="A243" s="151"/>
      <c r="B243" s="151"/>
    </row>
    <row r="244">
      <c r="A244" s="151"/>
      <c r="B244" s="151"/>
    </row>
    <row r="245">
      <c r="A245" s="151"/>
      <c r="B245" s="151"/>
    </row>
    <row r="246">
      <c r="A246" s="151"/>
      <c r="B246" s="151"/>
    </row>
    <row r="247">
      <c r="A247" s="151"/>
      <c r="B247" s="151"/>
    </row>
    <row r="248">
      <c r="A248" s="151"/>
      <c r="B248" s="151"/>
    </row>
    <row r="249">
      <c r="A249" s="151"/>
      <c r="B249" s="151"/>
    </row>
    <row r="250">
      <c r="A250" s="151"/>
      <c r="B250" s="151"/>
    </row>
    <row r="251">
      <c r="A251" s="151"/>
      <c r="B251" s="151"/>
    </row>
    <row r="252">
      <c r="A252" s="151"/>
      <c r="B252" s="151"/>
    </row>
    <row r="253">
      <c r="A253" s="151"/>
      <c r="B253" s="151"/>
    </row>
    <row r="254">
      <c r="A254" s="151"/>
      <c r="B254" s="151"/>
    </row>
    <row r="255">
      <c r="A255" s="151"/>
      <c r="B255" s="151"/>
    </row>
    <row r="256">
      <c r="A256" s="151"/>
      <c r="B256" s="151"/>
    </row>
    <row r="257">
      <c r="A257" s="151"/>
      <c r="B257" s="151"/>
    </row>
    <row r="258">
      <c r="A258" s="151"/>
      <c r="B258" s="151"/>
    </row>
    <row r="259">
      <c r="A259" s="151"/>
      <c r="B259" s="151"/>
    </row>
    <row r="260">
      <c r="A260" s="151"/>
      <c r="B260" s="151"/>
    </row>
    <row r="261">
      <c r="A261" s="151"/>
      <c r="B261" s="151"/>
    </row>
    <row r="262">
      <c r="A262" s="151"/>
      <c r="B262" s="151"/>
    </row>
    <row r="263">
      <c r="A263" s="151"/>
      <c r="B263" s="151"/>
    </row>
    <row r="264">
      <c r="A264" s="151"/>
      <c r="B264" s="151"/>
    </row>
    <row r="265">
      <c r="A265" s="151"/>
      <c r="B265" s="151"/>
    </row>
    <row r="266">
      <c r="A266" s="151"/>
      <c r="B266" s="151"/>
    </row>
    <row r="267">
      <c r="A267" s="151"/>
      <c r="B267" s="151"/>
    </row>
    <row r="268">
      <c r="A268" s="151"/>
      <c r="B268" s="151"/>
    </row>
    <row r="269">
      <c r="A269" s="151"/>
      <c r="B269" s="151"/>
    </row>
    <row r="270">
      <c r="A270" s="151"/>
      <c r="B270" s="151"/>
    </row>
    <row r="271">
      <c r="A271" s="151"/>
      <c r="B271" s="151"/>
    </row>
    <row r="272">
      <c r="A272" s="151"/>
      <c r="B272" s="151"/>
    </row>
    <row r="273">
      <c r="A273" s="151"/>
      <c r="B273" s="151"/>
    </row>
    <row r="274">
      <c r="A274" s="151"/>
      <c r="B274" s="151"/>
    </row>
    <row r="275">
      <c r="A275" s="151"/>
      <c r="B275" s="151"/>
    </row>
    <row r="276">
      <c r="A276" s="151"/>
      <c r="B276" s="151"/>
    </row>
    <row r="277">
      <c r="A277" s="151"/>
      <c r="B277" s="151"/>
    </row>
    <row r="278">
      <c r="A278" s="151"/>
      <c r="B278" s="151"/>
    </row>
    <row r="279">
      <c r="A279" s="151"/>
      <c r="B279" s="151"/>
    </row>
    <row r="280">
      <c r="A280" s="151"/>
      <c r="B280" s="151"/>
    </row>
    <row r="281">
      <c r="A281" s="151"/>
      <c r="B281" s="151"/>
    </row>
    <row r="282">
      <c r="A282" s="151"/>
      <c r="B282" s="151"/>
    </row>
    <row r="283">
      <c r="A283" s="151"/>
      <c r="B283" s="151"/>
    </row>
    <row r="284">
      <c r="A284" s="151"/>
      <c r="B284" s="151"/>
    </row>
    <row r="285">
      <c r="A285" s="151"/>
      <c r="B285" s="151"/>
    </row>
    <row r="286">
      <c r="A286" s="151"/>
      <c r="B286" s="151"/>
    </row>
    <row r="287">
      <c r="A287" s="151"/>
      <c r="B287" s="151"/>
    </row>
    <row r="288">
      <c r="A288" s="151"/>
      <c r="B288" s="151"/>
    </row>
    <row r="289">
      <c r="A289" s="151"/>
      <c r="B289" s="151"/>
    </row>
    <row r="290">
      <c r="A290" s="151"/>
      <c r="B290" s="151"/>
    </row>
    <row r="291">
      <c r="A291" s="151"/>
      <c r="B291" s="151"/>
    </row>
    <row r="292">
      <c r="A292" s="151"/>
      <c r="B292" s="151"/>
    </row>
    <row r="293">
      <c r="A293" s="151"/>
      <c r="B293" s="151"/>
    </row>
    <row r="294">
      <c r="A294" s="151"/>
      <c r="B294" s="151"/>
    </row>
    <row r="295">
      <c r="A295" s="151"/>
      <c r="B295" s="151"/>
    </row>
    <row r="296">
      <c r="A296" s="151"/>
      <c r="B296" s="151"/>
    </row>
    <row r="297">
      <c r="A297" s="151"/>
      <c r="B297" s="151"/>
    </row>
    <row r="298">
      <c r="A298" s="151"/>
      <c r="B298" s="151"/>
    </row>
    <row r="299">
      <c r="A299" s="151"/>
      <c r="B299" s="151"/>
    </row>
    <row r="300">
      <c r="A300" s="151"/>
      <c r="B300" s="151"/>
    </row>
    <row r="301">
      <c r="A301" s="151"/>
      <c r="B301" s="151"/>
    </row>
    <row r="302">
      <c r="A302" s="151"/>
      <c r="B302" s="151"/>
    </row>
    <row r="303">
      <c r="A303" s="151"/>
      <c r="B303" s="151"/>
    </row>
    <row r="304">
      <c r="A304" s="151"/>
      <c r="B304" s="151"/>
    </row>
    <row r="305">
      <c r="A305" s="151"/>
      <c r="B305" s="151"/>
    </row>
    <row r="306">
      <c r="A306" s="151"/>
      <c r="B306" s="151"/>
    </row>
    <row r="307">
      <c r="A307" s="151"/>
      <c r="B307" s="151"/>
    </row>
    <row r="308">
      <c r="A308" s="151"/>
      <c r="B308" s="151"/>
    </row>
    <row r="309">
      <c r="A309" s="151"/>
      <c r="B309" s="151"/>
    </row>
    <row r="310">
      <c r="A310" s="151"/>
      <c r="B310" s="151"/>
    </row>
    <row r="311">
      <c r="A311" s="151"/>
      <c r="B311" s="151"/>
    </row>
    <row r="312">
      <c r="A312" s="151"/>
      <c r="B312" s="151"/>
    </row>
    <row r="313">
      <c r="A313" s="151"/>
      <c r="B313" s="151"/>
    </row>
    <row r="314">
      <c r="A314" s="151"/>
      <c r="B314" s="151"/>
    </row>
    <row r="315">
      <c r="A315" s="151"/>
      <c r="B315" s="151"/>
    </row>
    <row r="316">
      <c r="A316" s="151"/>
      <c r="B316" s="151"/>
    </row>
    <row r="317">
      <c r="A317" s="151"/>
      <c r="B317" s="151"/>
    </row>
    <row r="318">
      <c r="A318" s="151"/>
      <c r="B318" s="151"/>
    </row>
    <row r="319">
      <c r="A319" s="151"/>
      <c r="B319" s="151"/>
    </row>
    <row r="320">
      <c r="A320" s="151"/>
      <c r="B320" s="151"/>
    </row>
    <row r="321">
      <c r="A321" s="151"/>
      <c r="B321" s="151"/>
    </row>
    <row r="322">
      <c r="A322" s="151"/>
      <c r="B322" s="151"/>
    </row>
    <row r="323">
      <c r="A323" s="151"/>
      <c r="B323" s="151"/>
    </row>
    <row r="324">
      <c r="A324" s="151"/>
      <c r="B324" s="151"/>
    </row>
    <row r="325">
      <c r="A325" s="151"/>
      <c r="B325" s="151"/>
    </row>
    <row r="326">
      <c r="A326" s="151"/>
      <c r="B326" s="151"/>
    </row>
    <row r="327">
      <c r="A327" s="151"/>
      <c r="B327" s="151"/>
    </row>
    <row r="328">
      <c r="A328" s="151"/>
      <c r="B328" s="151"/>
    </row>
    <row r="329">
      <c r="A329" s="151"/>
      <c r="B329" s="151"/>
    </row>
    <row r="330">
      <c r="A330" s="151"/>
      <c r="B330" s="151"/>
    </row>
    <row r="331">
      <c r="A331" s="151"/>
      <c r="B331" s="151"/>
    </row>
    <row r="332">
      <c r="A332" s="151"/>
      <c r="B332" s="151"/>
    </row>
    <row r="333">
      <c r="A333" s="151"/>
      <c r="B333" s="151"/>
    </row>
    <row r="334">
      <c r="A334" s="151"/>
      <c r="B334" s="151"/>
    </row>
    <row r="335">
      <c r="A335" s="151"/>
      <c r="B335" s="151"/>
    </row>
    <row r="336">
      <c r="A336" s="151"/>
      <c r="B336" s="151"/>
    </row>
    <row r="337">
      <c r="A337" s="151"/>
      <c r="B337" s="151"/>
    </row>
    <row r="338">
      <c r="A338" s="151"/>
      <c r="B338" s="151"/>
    </row>
    <row r="339">
      <c r="A339" s="151"/>
      <c r="B339" s="151"/>
    </row>
    <row r="340">
      <c r="A340" s="151"/>
      <c r="B340" s="151"/>
    </row>
    <row r="341">
      <c r="A341" s="151"/>
      <c r="B341" s="151"/>
    </row>
    <row r="342">
      <c r="A342" s="151"/>
      <c r="B342" s="151"/>
    </row>
    <row r="343">
      <c r="A343" s="151"/>
      <c r="B343" s="151"/>
    </row>
    <row r="344">
      <c r="A344" s="151"/>
      <c r="B344" s="151"/>
    </row>
    <row r="345">
      <c r="A345" s="151"/>
      <c r="B345" s="151"/>
    </row>
    <row r="346">
      <c r="A346" s="151"/>
      <c r="B346" s="151"/>
    </row>
    <row r="347">
      <c r="A347" s="151"/>
      <c r="B347" s="151"/>
    </row>
    <row r="348">
      <c r="A348" s="151"/>
      <c r="B348" s="151"/>
    </row>
    <row r="349">
      <c r="A349" s="151"/>
      <c r="B349" s="151"/>
    </row>
    <row r="350">
      <c r="A350" s="151"/>
      <c r="B350" s="151"/>
    </row>
    <row r="351">
      <c r="A351" s="151"/>
      <c r="B351" s="151"/>
    </row>
    <row r="352">
      <c r="A352" s="151"/>
      <c r="B352" s="151"/>
    </row>
    <row r="353">
      <c r="A353" s="151"/>
      <c r="B353" s="151"/>
    </row>
    <row r="354">
      <c r="A354" s="151"/>
      <c r="B354" s="151"/>
    </row>
    <row r="355">
      <c r="A355" s="151"/>
      <c r="B355" s="151"/>
    </row>
    <row r="356">
      <c r="A356" s="151"/>
      <c r="B356" s="151"/>
    </row>
    <row r="357">
      <c r="A357" s="151"/>
      <c r="B357" s="151"/>
    </row>
    <row r="358">
      <c r="A358" s="151"/>
      <c r="B358" s="151"/>
    </row>
    <row r="359">
      <c r="A359" s="151"/>
      <c r="B359" s="151"/>
    </row>
    <row r="360">
      <c r="A360" s="151"/>
      <c r="B360" s="151"/>
    </row>
    <row r="361">
      <c r="A361" s="151"/>
      <c r="B361" s="151"/>
    </row>
    <row r="362">
      <c r="A362" s="151"/>
      <c r="B362" s="151"/>
    </row>
    <row r="363">
      <c r="A363" s="151"/>
      <c r="B363" s="151"/>
    </row>
    <row r="364">
      <c r="A364" s="151"/>
      <c r="B364" s="151"/>
    </row>
    <row r="365">
      <c r="A365" s="151"/>
      <c r="B365" s="151"/>
    </row>
    <row r="366">
      <c r="A366" s="151"/>
      <c r="B366" s="151"/>
    </row>
    <row r="367">
      <c r="A367" s="151"/>
      <c r="B367" s="151"/>
    </row>
    <row r="368">
      <c r="A368" s="151"/>
      <c r="B368" s="151"/>
    </row>
    <row r="369">
      <c r="A369" s="151"/>
      <c r="B369" s="151"/>
    </row>
    <row r="370">
      <c r="A370" s="151"/>
      <c r="B370" s="151"/>
    </row>
    <row r="371">
      <c r="A371" s="151"/>
      <c r="B371" s="151"/>
    </row>
    <row r="372">
      <c r="A372" s="151"/>
      <c r="B372" s="151"/>
    </row>
    <row r="373">
      <c r="A373" s="151"/>
      <c r="B373" s="151"/>
    </row>
    <row r="374">
      <c r="A374" s="151"/>
      <c r="B374" s="151"/>
    </row>
    <row r="375">
      <c r="A375" s="151"/>
      <c r="B375" s="151"/>
    </row>
    <row r="376">
      <c r="A376" s="151"/>
      <c r="B376" s="151"/>
    </row>
    <row r="377">
      <c r="A377" s="151"/>
      <c r="B377" s="151"/>
    </row>
    <row r="378">
      <c r="A378" s="151"/>
      <c r="B378" s="151"/>
    </row>
    <row r="379">
      <c r="A379" s="151"/>
      <c r="B379" s="151"/>
    </row>
    <row r="380">
      <c r="A380" s="151"/>
      <c r="B380" s="151"/>
    </row>
    <row r="381">
      <c r="A381" s="151"/>
      <c r="B381" s="151"/>
    </row>
    <row r="382">
      <c r="A382" s="151"/>
      <c r="B382" s="151"/>
    </row>
    <row r="383">
      <c r="A383" s="151"/>
      <c r="B383" s="151"/>
    </row>
    <row r="384">
      <c r="A384" s="151"/>
      <c r="B384" s="151"/>
    </row>
    <row r="385">
      <c r="A385" s="151"/>
      <c r="B385" s="151"/>
    </row>
    <row r="386">
      <c r="A386" s="151"/>
      <c r="B386" s="151"/>
    </row>
    <row r="387">
      <c r="A387" s="151"/>
      <c r="B387" s="151"/>
    </row>
    <row r="388">
      <c r="A388" s="151"/>
      <c r="B388" s="151"/>
    </row>
    <row r="389">
      <c r="A389" s="151"/>
      <c r="B389" s="151"/>
    </row>
    <row r="390">
      <c r="A390" s="151"/>
      <c r="B390" s="151"/>
    </row>
    <row r="391">
      <c r="A391" s="151"/>
      <c r="B391" s="151"/>
    </row>
    <row r="392">
      <c r="A392" s="151"/>
      <c r="B392" s="151"/>
    </row>
    <row r="393">
      <c r="A393" s="151"/>
      <c r="B393" s="151"/>
    </row>
    <row r="394">
      <c r="A394" s="151"/>
      <c r="B394" s="151"/>
    </row>
    <row r="395">
      <c r="A395" s="151"/>
      <c r="B395" s="151"/>
    </row>
    <row r="396">
      <c r="A396" s="151"/>
      <c r="B396" s="151"/>
    </row>
    <row r="397">
      <c r="A397" s="151"/>
      <c r="B397" s="151"/>
    </row>
    <row r="398">
      <c r="A398" s="151"/>
      <c r="B398" s="151"/>
    </row>
    <row r="399">
      <c r="A399" s="151"/>
      <c r="B399" s="151"/>
    </row>
    <row r="400">
      <c r="A400" s="151"/>
      <c r="B400" s="151"/>
    </row>
    <row r="401">
      <c r="A401" s="151"/>
      <c r="B401" s="151"/>
    </row>
    <row r="402">
      <c r="A402" s="151"/>
      <c r="B402" s="151"/>
    </row>
    <row r="403">
      <c r="A403" s="151"/>
      <c r="B403" s="151"/>
    </row>
    <row r="404">
      <c r="A404" s="151"/>
      <c r="B404" s="151"/>
    </row>
    <row r="405">
      <c r="A405" s="151"/>
      <c r="B405" s="151"/>
    </row>
    <row r="406">
      <c r="A406" s="151"/>
      <c r="B406" s="151"/>
    </row>
    <row r="407">
      <c r="A407" s="151"/>
      <c r="B407" s="151"/>
    </row>
    <row r="408">
      <c r="A408" s="151"/>
      <c r="B408" s="151"/>
    </row>
    <row r="409">
      <c r="A409" s="151"/>
      <c r="B409" s="151"/>
    </row>
    <row r="410">
      <c r="A410" s="151"/>
      <c r="B410" s="151"/>
    </row>
    <row r="411">
      <c r="A411" s="151"/>
      <c r="B411" s="151"/>
    </row>
    <row r="412">
      <c r="A412" s="151"/>
      <c r="B412" s="151"/>
    </row>
    <row r="413">
      <c r="A413" s="151"/>
      <c r="B413" s="151"/>
    </row>
    <row r="414">
      <c r="A414" s="151"/>
      <c r="B414" s="151"/>
    </row>
    <row r="415">
      <c r="A415" s="151"/>
      <c r="B415" s="151"/>
    </row>
    <row r="416">
      <c r="A416" s="151"/>
      <c r="B416" s="151"/>
    </row>
    <row r="417">
      <c r="A417" s="151"/>
      <c r="B417" s="151"/>
    </row>
    <row r="418">
      <c r="A418" s="151"/>
      <c r="B418" s="151"/>
    </row>
    <row r="419">
      <c r="A419" s="151"/>
      <c r="B419" s="151"/>
    </row>
    <row r="420">
      <c r="A420" s="151"/>
      <c r="B420" s="151"/>
    </row>
    <row r="421">
      <c r="A421" s="151"/>
      <c r="B421" s="151"/>
    </row>
    <row r="422">
      <c r="A422" s="151"/>
      <c r="B422" s="151"/>
    </row>
    <row r="423">
      <c r="A423" s="151"/>
      <c r="B423" s="151"/>
    </row>
    <row r="424">
      <c r="A424" s="151"/>
      <c r="B424" s="151"/>
    </row>
    <row r="425">
      <c r="A425" s="151"/>
      <c r="B425" s="151"/>
    </row>
    <row r="426">
      <c r="A426" s="151"/>
      <c r="B426" s="151"/>
    </row>
    <row r="427">
      <c r="A427" s="151"/>
      <c r="B427" s="151"/>
    </row>
    <row r="428">
      <c r="A428" s="151"/>
      <c r="B428" s="151"/>
    </row>
    <row r="429">
      <c r="A429" s="151"/>
      <c r="B429" s="151"/>
    </row>
    <row r="430">
      <c r="A430" s="151"/>
      <c r="B430" s="151"/>
    </row>
    <row r="431">
      <c r="A431" s="151"/>
      <c r="B431" s="151"/>
    </row>
    <row r="432">
      <c r="A432" s="151"/>
      <c r="B432" s="151"/>
    </row>
    <row r="433">
      <c r="A433" s="151"/>
      <c r="B433" s="151"/>
    </row>
    <row r="434">
      <c r="A434" s="151"/>
      <c r="B434" s="151"/>
    </row>
    <row r="435">
      <c r="A435" s="151"/>
      <c r="B435" s="151"/>
    </row>
    <row r="436">
      <c r="A436" s="151"/>
      <c r="B436" s="151"/>
    </row>
    <row r="437">
      <c r="A437" s="151"/>
      <c r="B437" s="151"/>
    </row>
    <row r="438">
      <c r="A438" s="151"/>
      <c r="B438" s="151"/>
    </row>
    <row r="439">
      <c r="A439" s="151"/>
      <c r="B439" s="151"/>
    </row>
    <row r="440">
      <c r="A440" s="151"/>
      <c r="B440" s="151"/>
    </row>
    <row r="441">
      <c r="A441" s="151"/>
      <c r="B441" s="151"/>
    </row>
    <row r="442">
      <c r="A442" s="151"/>
      <c r="B442" s="151"/>
    </row>
    <row r="443">
      <c r="A443" s="151"/>
      <c r="B443" s="151"/>
    </row>
    <row r="444">
      <c r="A444" s="151"/>
      <c r="B444" s="151"/>
    </row>
    <row r="445">
      <c r="A445" s="151"/>
      <c r="B445" s="151"/>
    </row>
    <row r="446">
      <c r="A446" s="151"/>
      <c r="B446" s="151"/>
    </row>
    <row r="447">
      <c r="A447" s="151"/>
      <c r="B447" s="151"/>
    </row>
    <row r="448">
      <c r="A448" s="151"/>
      <c r="B448" s="151"/>
    </row>
    <row r="449">
      <c r="A449" s="151"/>
      <c r="B449" s="151"/>
    </row>
    <row r="450">
      <c r="A450" s="151"/>
      <c r="B450" s="151"/>
    </row>
    <row r="451">
      <c r="A451" s="151"/>
      <c r="B451" s="151"/>
    </row>
    <row r="452">
      <c r="A452" s="151"/>
      <c r="B452" s="151"/>
    </row>
    <row r="453">
      <c r="A453" s="151"/>
      <c r="B453" s="151"/>
    </row>
    <row r="454">
      <c r="A454" s="151"/>
      <c r="B454" s="151"/>
    </row>
    <row r="455">
      <c r="A455" s="151"/>
      <c r="B455" s="151"/>
    </row>
    <row r="456">
      <c r="A456" s="151"/>
      <c r="B456" s="151"/>
    </row>
    <row r="457">
      <c r="A457" s="151"/>
      <c r="B457" s="151"/>
    </row>
    <row r="458">
      <c r="A458" s="151"/>
      <c r="B458" s="151"/>
    </row>
    <row r="459">
      <c r="A459" s="151"/>
      <c r="B459" s="151"/>
    </row>
    <row r="460">
      <c r="A460" s="151"/>
      <c r="B460" s="151"/>
    </row>
    <row r="461">
      <c r="A461" s="151"/>
      <c r="B461" s="151"/>
    </row>
    <row r="462">
      <c r="A462" s="151"/>
      <c r="B462" s="151"/>
    </row>
    <row r="463">
      <c r="A463" s="151"/>
      <c r="B463" s="151"/>
    </row>
    <row r="464">
      <c r="A464" s="151"/>
      <c r="B464" s="151"/>
    </row>
    <row r="465">
      <c r="A465" s="151"/>
      <c r="B465" s="151"/>
    </row>
    <row r="466">
      <c r="A466" s="151"/>
      <c r="B466" s="151"/>
    </row>
    <row r="467">
      <c r="A467" s="151"/>
      <c r="B467" s="151"/>
    </row>
    <row r="468">
      <c r="A468" s="151"/>
      <c r="B468" s="151"/>
    </row>
    <row r="469">
      <c r="A469" s="151"/>
      <c r="B469" s="151"/>
    </row>
    <row r="470">
      <c r="A470" s="151"/>
      <c r="B470" s="151"/>
    </row>
    <row r="471">
      <c r="A471" s="151"/>
      <c r="B471" s="151"/>
    </row>
    <row r="472">
      <c r="A472" s="151"/>
      <c r="B472" s="151"/>
    </row>
    <row r="473">
      <c r="A473" s="151"/>
      <c r="B473" s="151"/>
    </row>
    <row r="474">
      <c r="A474" s="151"/>
      <c r="B474" s="151"/>
    </row>
    <row r="475">
      <c r="A475" s="151"/>
      <c r="B475" s="151"/>
    </row>
    <row r="476">
      <c r="A476" s="151"/>
      <c r="B476" s="151"/>
    </row>
    <row r="477">
      <c r="A477" s="151"/>
      <c r="B477" s="151"/>
    </row>
    <row r="478">
      <c r="A478" s="151"/>
      <c r="B478" s="151"/>
    </row>
    <row r="479">
      <c r="A479" s="151"/>
      <c r="B479" s="151"/>
    </row>
    <row r="480">
      <c r="A480" s="151"/>
      <c r="B480" s="151"/>
    </row>
    <row r="481">
      <c r="A481" s="151"/>
      <c r="B481" s="151"/>
    </row>
    <row r="482">
      <c r="A482" s="151"/>
      <c r="B482" s="151"/>
    </row>
    <row r="483">
      <c r="A483" s="151"/>
      <c r="B483" s="151"/>
    </row>
    <row r="484">
      <c r="A484" s="151"/>
      <c r="B484" s="151"/>
    </row>
    <row r="485">
      <c r="A485" s="151"/>
      <c r="B485" s="151"/>
    </row>
    <row r="486">
      <c r="A486" s="151"/>
      <c r="B486" s="151"/>
    </row>
    <row r="487">
      <c r="A487" s="151"/>
      <c r="B487" s="151"/>
    </row>
    <row r="488">
      <c r="A488" s="151"/>
      <c r="B488" s="151"/>
    </row>
    <row r="489">
      <c r="A489" s="151"/>
      <c r="B489" s="151"/>
    </row>
    <row r="490">
      <c r="A490" s="151"/>
      <c r="B490" s="151"/>
    </row>
    <row r="491">
      <c r="A491" s="151"/>
      <c r="B491" s="151"/>
    </row>
    <row r="492">
      <c r="A492" s="151"/>
      <c r="B492" s="151"/>
    </row>
    <row r="493">
      <c r="A493" s="151"/>
      <c r="B493" s="151"/>
    </row>
    <row r="494">
      <c r="A494" s="151"/>
      <c r="B494" s="151"/>
    </row>
    <row r="495">
      <c r="A495" s="151"/>
      <c r="B495" s="151"/>
    </row>
    <row r="496">
      <c r="A496" s="151"/>
      <c r="B496" s="151"/>
    </row>
    <row r="497">
      <c r="A497" s="151"/>
      <c r="B497" s="151"/>
    </row>
    <row r="498">
      <c r="A498" s="151"/>
      <c r="B498" s="151"/>
    </row>
    <row r="499">
      <c r="A499" s="151"/>
      <c r="B499" s="151"/>
    </row>
    <row r="500">
      <c r="A500" s="151"/>
      <c r="B500" s="151"/>
    </row>
    <row r="501">
      <c r="A501" s="151"/>
      <c r="B501" s="151"/>
    </row>
    <row r="502">
      <c r="A502" s="151"/>
      <c r="B502" s="151"/>
    </row>
    <row r="503">
      <c r="A503" s="151"/>
      <c r="B503" s="151"/>
    </row>
    <row r="504">
      <c r="A504" s="151"/>
      <c r="B504" s="151"/>
    </row>
    <row r="505">
      <c r="A505" s="151"/>
      <c r="B505" s="151"/>
    </row>
    <row r="506">
      <c r="A506" s="151"/>
      <c r="B506" s="151"/>
    </row>
    <row r="507">
      <c r="A507" s="151"/>
      <c r="B507" s="151"/>
    </row>
    <row r="508">
      <c r="A508" s="151"/>
      <c r="B508" s="151"/>
    </row>
    <row r="509">
      <c r="A509" s="151"/>
      <c r="B509" s="151"/>
    </row>
    <row r="510">
      <c r="A510" s="151"/>
      <c r="B510" s="151"/>
    </row>
    <row r="511">
      <c r="A511" s="151"/>
      <c r="B511" s="151"/>
    </row>
    <row r="512">
      <c r="A512" s="151"/>
      <c r="B512" s="151"/>
    </row>
    <row r="513">
      <c r="A513" s="151"/>
      <c r="B513" s="151"/>
    </row>
    <row r="514">
      <c r="A514" s="151"/>
      <c r="B514" s="151"/>
    </row>
    <row r="515">
      <c r="A515" s="151"/>
      <c r="B515" s="151"/>
    </row>
    <row r="516">
      <c r="A516" s="151"/>
      <c r="B516" s="151"/>
    </row>
    <row r="517">
      <c r="A517" s="151"/>
      <c r="B517" s="151"/>
    </row>
    <row r="518">
      <c r="A518" s="151"/>
      <c r="B518" s="151"/>
    </row>
    <row r="519">
      <c r="A519" s="151"/>
      <c r="B519" s="151"/>
    </row>
    <row r="520">
      <c r="A520" s="151"/>
      <c r="B520" s="151"/>
    </row>
    <row r="521">
      <c r="A521" s="151"/>
      <c r="B521" s="151"/>
    </row>
    <row r="522">
      <c r="A522" s="151"/>
      <c r="B522" s="151"/>
    </row>
    <row r="523">
      <c r="A523" s="151"/>
      <c r="B523" s="151"/>
    </row>
    <row r="524">
      <c r="A524" s="151"/>
      <c r="B524" s="151"/>
    </row>
    <row r="525">
      <c r="A525" s="151"/>
      <c r="B525" s="151"/>
    </row>
    <row r="526">
      <c r="A526" s="151"/>
      <c r="B526" s="151"/>
    </row>
    <row r="527">
      <c r="A527" s="151"/>
      <c r="B527" s="151"/>
    </row>
    <row r="528">
      <c r="A528" s="151"/>
      <c r="B528" s="151"/>
    </row>
    <row r="529">
      <c r="A529" s="151"/>
      <c r="B529" s="151"/>
    </row>
    <row r="530">
      <c r="A530" s="151"/>
      <c r="B530" s="151"/>
    </row>
    <row r="531">
      <c r="A531" s="151"/>
      <c r="B531" s="151"/>
    </row>
    <row r="532">
      <c r="A532" s="151"/>
      <c r="B532" s="151"/>
    </row>
    <row r="533">
      <c r="A533" s="151"/>
      <c r="B533" s="151"/>
    </row>
    <row r="534">
      <c r="A534" s="151"/>
      <c r="B534" s="151"/>
    </row>
    <row r="535">
      <c r="A535" s="151"/>
      <c r="B535" s="151"/>
    </row>
    <row r="536">
      <c r="A536" s="151"/>
      <c r="B536" s="151"/>
    </row>
    <row r="537">
      <c r="A537" s="151"/>
      <c r="B537" s="151"/>
    </row>
    <row r="538">
      <c r="A538" s="151"/>
      <c r="B538" s="151"/>
    </row>
    <row r="539">
      <c r="A539" s="151"/>
      <c r="B539" s="151"/>
    </row>
    <row r="540">
      <c r="A540" s="151"/>
      <c r="B540" s="151"/>
    </row>
    <row r="541">
      <c r="A541" s="151"/>
      <c r="B541" s="151"/>
    </row>
    <row r="542">
      <c r="A542" s="151"/>
      <c r="B542" s="151"/>
    </row>
    <row r="543">
      <c r="A543" s="151"/>
      <c r="B543" s="151"/>
    </row>
    <row r="544">
      <c r="A544" s="151"/>
      <c r="B544" s="151"/>
    </row>
    <row r="545">
      <c r="A545" s="151"/>
      <c r="B545" s="151"/>
    </row>
    <row r="546">
      <c r="A546" s="151"/>
      <c r="B546" s="151"/>
    </row>
    <row r="547">
      <c r="A547" s="151"/>
      <c r="B547" s="151"/>
    </row>
    <row r="548">
      <c r="A548" s="151"/>
      <c r="B548" s="151"/>
    </row>
    <row r="549">
      <c r="A549" s="151"/>
      <c r="B549" s="151"/>
    </row>
    <row r="550">
      <c r="A550" s="151"/>
      <c r="B550" s="151"/>
    </row>
    <row r="551">
      <c r="A551" s="151"/>
      <c r="B551" s="151"/>
    </row>
    <row r="552">
      <c r="A552" s="151"/>
      <c r="B552" s="151"/>
    </row>
    <row r="553">
      <c r="A553" s="151"/>
      <c r="B553" s="151"/>
    </row>
    <row r="554">
      <c r="A554" s="151"/>
      <c r="B554" s="151"/>
    </row>
    <row r="555">
      <c r="A555" s="151"/>
      <c r="B555" s="151"/>
    </row>
    <row r="556">
      <c r="A556" s="151"/>
      <c r="B556" s="151"/>
    </row>
    <row r="557">
      <c r="A557" s="151"/>
      <c r="B557" s="151"/>
    </row>
    <row r="558">
      <c r="A558" s="151"/>
      <c r="B558" s="151"/>
    </row>
    <row r="559">
      <c r="A559" s="151"/>
      <c r="B559" s="151"/>
    </row>
    <row r="560">
      <c r="A560" s="151"/>
      <c r="B560" s="151"/>
    </row>
    <row r="561">
      <c r="A561" s="151"/>
      <c r="B561" s="151"/>
    </row>
    <row r="562">
      <c r="A562" s="151"/>
      <c r="B562" s="151"/>
    </row>
    <row r="563">
      <c r="A563" s="151"/>
      <c r="B563" s="151"/>
    </row>
    <row r="564">
      <c r="A564" s="151"/>
      <c r="B564" s="151"/>
    </row>
    <row r="565">
      <c r="A565" s="151"/>
      <c r="B565" s="151"/>
    </row>
    <row r="566">
      <c r="A566" s="151"/>
      <c r="B566" s="151"/>
    </row>
    <row r="567">
      <c r="A567" s="151"/>
      <c r="B567" s="151"/>
    </row>
    <row r="568">
      <c r="A568" s="151"/>
      <c r="B568" s="151"/>
    </row>
    <row r="569">
      <c r="A569" s="151"/>
      <c r="B569" s="151"/>
    </row>
    <row r="570">
      <c r="A570" s="151"/>
      <c r="B570" s="151"/>
    </row>
    <row r="571">
      <c r="A571" s="151"/>
      <c r="B571" s="151"/>
    </row>
    <row r="572">
      <c r="A572" s="151"/>
      <c r="B572" s="151"/>
    </row>
    <row r="573">
      <c r="A573" s="151"/>
      <c r="B573" s="151"/>
    </row>
    <row r="574">
      <c r="A574" s="151"/>
      <c r="B574" s="151"/>
    </row>
    <row r="575">
      <c r="A575" s="151"/>
      <c r="B575" s="151"/>
    </row>
    <row r="576">
      <c r="A576" s="151"/>
      <c r="B576" s="151"/>
    </row>
    <row r="577">
      <c r="A577" s="151"/>
      <c r="B577" s="151"/>
    </row>
    <row r="578">
      <c r="A578" s="151"/>
      <c r="B578" s="151"/>
    </row>
    <row r="579">
      <c r="A579" s="151"/>
      <c r="B579" s="151"/>
    </row>
    <row r="580">
      <c r="A580" s="151"/>
      <c r="B580" s="151"/>
    </row>
    <row r="581">
      <c r="A581" s="151"/>
      <c r="B581" s="151"/>
    </row>
    <row r="582">
      <c r="A582" s="151"/>
      <c r="B582" s="151"/>
    </row>
    <row r="583">
      <c r="A583" s="151"/>
      <c r="B583" s="151"/>
    </row>
    <row r="584">
      <c r="A584" s="151"/>
      <c r="B584" s="151"/>
    </row>
    <row r="585">
      <c r="A585" s="151"/>
      <c r="B585" s="151"/>
    </row>
    <row r="586">
      <c r="A586" s="151"/>
      <c r="B586" s="151"/>
    </row>
    <row r="587">
      <c r="A587" s="151"/>
      <c r="B587" s="151"/>
    </row>
    <row r="588">
      <c r="A588" s="151"/>
      <c r="B588" s="151"/>
    </row>
    <row r="589">
      <c r="A589" s="151"/>
      <c r="B589" s="151"/>
    </row>
    <row r="590">
      <c r="A590" s="151"/>
      <c r="B590" s="151"/>
    </row>
    <row r="591">
      <c r="A591" s="151"/>
      <c r="B591" s="151"/>
    </row>
    <row r="592">
      <c r="A592" s="151"/>
      <c r="B592" s="151"/>
    </row>
    <row r="593">
      <c r="A593" s="151"/>
      <c r="B593" s="151"/>
    </row>
    <row r="594">
      <c r="A594" s="151"/>
      <c r="B594" s="151"/>
    </row>
    <row r="595">
      <c r="A595" s="151"/>
      <c r="B595" s="151"/>
    </row>
    <row r="596">
      <c r="A596" s="151"/>
      <c r="B596" s="151"/>
    </row>
    <row r="597">
      <c r="A597" s="151"/>
      <c r="B597" s="151"/>
    </row>
    <row r="598">
      <c r="A598" s="151"/>
      <c r="B598" s="151"/>
    </row>
    <row r="599">
      <c r="A599" s="151"/>
      <c r="B599" s="151"/>
    </row>
    <row r="600">
      <c r="A600" s="151"/>
      <c r="B600" s="151"/>
    </row>
    <row r="601">
      <c r="A601" s="151"/>
      <c r="B601" s="151"/>
    </row>
    <row r="602">
      <c r="A602" s="151"/>
      <c r="B602" s="151"/>
    </row>
    <row r="603">
      <c r="A603" s="151"/>
      <c r="B603" s="151"/>
    </row>
    <row r="604">
      <c r="A604" s="151"/>
      <c r="B604" s="151"/>
    </row>
    <row r="605">
      <c r="A605" s="151"/>
      <c r="B605" s="151"/>
    </row>
    <row r="606">
      <c r="A606" s="151"/>
      <c r="B606" s="151"/>
    </row>
    <row r="607">
      <c r="A607" s="151"/>
      <c r="B607" s="151"/>
    </row>
    <row r="608">
      <c r="A608" s="151"/>
      <c r="B608" s="151"/>
    </row>
    <row r="609">
      <c r="A609" s="151"/>
      <c r="B609" s="151"/>
    </row>
    <row r="610">
      <c r="A610" s="151"/>
      <c r="B610" s="151"/>
    </row>
    <row r="611">
      <c r="A611" s="151"/>
      <c r="B611" s="151"/>
    </row>
    <row r="612">
      <c r="A612" s="151"/>
      <c r="B612" s="151"/>
    </row>
    <row r="613">
      <c r="A613" s="151"/>
      <c r="B613" s="151"/>
    </row>
    <row r="614">
      <c r="A614" s="151"/>
      <c r="B614" s="151"/>
    </row>
    <row r="615">
      <c r="A615" s="151"/>
      <c r="B615" s="151"/>
    </row>
    <row r="616">
      <c r="A616" s="151"/>
      <c r="B616" s="151"/>
    </row>
    <row r="617">
      <c r="A617" s="151"/>
      <c r="B617" s="151"/>
    </row>
    <row r="618">
      <c r="A618" s="151"/>
      <c r="B618" s="151"/>
    </row>
    <row r="619">
      <c r="A619" s="151"/>
      <c r="B619" s="151"/>
    </row>
    <row r="620">
      <c r="A620" s="151"/>
      <c r="B620" s="151"/>
    </row>
    <row r="621">
      <c r="A621" s="151"/>
      <c r="B621" s="151"/>
    </row>
    <row r="622">
      <c r="A622" s="151"/>
      <c r="B622" s="151"/>
    </row>
    <row r="623">
      <c r="A623" s="151"/>
      <c r="B623" s="151"/>
    </row>
    <row r="624">
      <c r="A624" s="151"/>
      <c r="B624" s="151"/>
    </row>
    <row r="625">
      <c r="A625" s="151"/>
      <c r="B625" s="151"/>
    </row>
    <row r="626">
      <c r="A626" s="151"/>
      <c r="B626" s="151"/>
    </row>
    <row r="627">
      <c r="A627" s="151"/>
      <c r="B627" s="151"/>
    </row>
    <row r="628">
      <c r="A628" s="151"/>
      <c r="B628" s="151"/>
    </row>
    <row r="629">
      <c r="A629" s="151"/>
      <c r="B629" s="151"/>
    </row>
    <row r="630">
      <c r="A630" s="151"/>
      <c r="B630" s="151"/>
    </row>
    <row r="631">
      <c r="A631" s="151"/>
      <c r="B631" s="151"/>
    </row>
    <row r="632">
      <c r="A632" s="151"/>
      <c r="B632" s="151"/>
    </row>
    <row r="633">
      <c r="A633" s="151"/>
      <c r="B633" s="151"/>
    </row>
    <row r="634">
      <c r="A634" s="151"/>
      <c r="B634" s="151"/>
    </row>
    <row r="635">
      <c r="A635" s="151"/>
      <c r="B635" s="151"/>
    </row>
    <row r="636">
      <c r="A636" s="151"/>
      <c r="B636" s="151"/>
    </row>
    <row r="637">
      <c r="A637" s="151"/>
      <c r="B637" s="151"/>
    </row>
    <row r="638">
      <c r="A638" s="151"/>
      <c r="B638" s="151"/>
    </row>
    <row r="639">
      <c r="A639" s="151"/>
      <c r="B639" s="151"/>
    </row>
    <row r="640">
      <c r="A640" s="151"/>
      <c r="B640" s="151"/>
    </row>
    <row r="641">
      <c r="A641" s="151"/>
      <c r="B641" s="151"/>
    </row>
    <row r="642">
      <c r="A642" s="151"/>
      <c r="B642" s="151"/>
    </row>
    <row r="643">
      <c r="A643" s="151"/>
      <c r="B643" s="151"/>
    </row>
    <row r="644">
      <c r="A644" s="151"/>
      <c r="B644" s="151"/>
    </row>
    <row r="645">
      <c r="A645" s="151"/>
      <c r="B645" s="151"/>
    </row>
    <row r="646">
      <c r="A646" s="151"/>
      <c r="B646" s="151"/>
    </row>
    <row r="647">
      <c r="A647" s="151"/>
      <c r="B647" s="151"/>
    </row>
    <row r="648">
      <c r="A648" s="151"/>
      <c r="B648" s="151"/>
    </row>
    <row r="649">
      <c r="A649" s="151"/>
      <c r="B649" s="151"/>
    </row>
    <row r="650">
      <c r="A650" s="151"/>
      <c r="B650" s="151"/>
    </row>
    <row r="651">
      <c r="A651" s="151"/>
      <c r="B651" s="151"/>
    </row>
    <row r="652">
      <c r="A652" s="151"/>
      <c r="B652" s="151"/>
    </row>
    <row r="653">
      <c r="A653" s="151"/>
      <c r="B653" s="151"/>
    </row>
    <row r="654">
      <c r="A654" s="151"/>
      <c r="B654" s="151"/>
    </row>
    <row r="655">
      <c r="A655" s="151"/>
      <c r="B655" s="151"/>
    </row>
    <row r="656">
      <c r="A656" s="151"/>
      <c r="B656" s="151"/>
    </row>
    <row r="657">
      <c r="A657" s="151"/>
      <c r="B657" s="151"/>
    </row>
    <row r="658">
      <c r="A658" s="151"/>
      <c r="B658" s="151"/>
    </row>
    <row r="659">
      <c r="A659" s="151"/>
      <c r="B659" s="151"/>
    </row>
    <row r="660">
      <c r="A660" s="151"/>
      <c r="B660" s="151"/>
    </row>
    <row r="661">
      <c r="A661" s="151"/>
      <c r="B661" s="151"/>
    </row>
    <row r="662">
      <c r="A662" s="151"/>
      <c r="B662" s="151"/>
    </row>
    <row r="663">
      <c r="A663" s="151"/>
      <c r="B663" s="151"/>
    </row>
    <row r="664">
      <c r="A664" s="151"/>
      <c r="B664" s="151"/>
    </row>
    <row r="665">
      <c r="A665" s="151"/>
      <c r="B665" s="151"/>
    </row>
    <row r="666">
      <c r="A666" s="151"/>
      <c r="B666" s="151"/>
    </row>
    <row r="667">
      <c r="A667" s="151"/>
      <c r="B667" s="151"/>
    </row>
    <row r="668">
      <c r="A668" s="151"/>
      <c r="B668" s="151"/>
    </row>
    <row r="669">
      <c r="A669" s="151"/>
      <c r="B669" s="151"/>
    </row>
    <row r="670">
      <c r="A670" s="151"/>
      <c r="B670" s="151"/>
    </row>
    <row r="671">
      <c r="A671" s="151"/>
      <c r="B671" s="151"/>
    </row>
    <row r="672">
      <c r="A672" s="151"/>
      <c r="B672" s="151"/>
    </row>
    <row r="673">
      <c r="A673" s="151"/>
      <c r="B673" s="151"/>
    </row>
    <row r="674">
      <c r="A674" s="151"/>
      <c r="B674" s="151"/>
    </row>
    <row r="675">
      <c r="A675" s="151"/>
      <c r="B675" s="151"/>
    </row>
    <row r="676">
      <c r="A676" s="151"/>
      <c r="B676" s="151"/>
    </row>
    <row r="677">
      <c r="A677" s="151"/>
      <c r="B677" s="151"/>
    </row>
    <row r="678">
      <c r="A678" s="151"/>
      <c r="B678" s="151"/>
    </row>
    <row r="679">
      <c r="A679" s="151"/>
      <c r="B679" s="151"/>
    </row>
    <row r="680">
      <c r="A680" s="151"/>
      <c r="B680" s="151"/>
    </row>
    <row r="681">
      <c r="A681" s="151"/>
      <c r="B681" s="151"/>
    </row>
    <row r="682">
      <c r="A682" s="151"/>
      <c r="B682" s="151"/>
    </row>
    <row r="683">
      <c r="A683" s="151"/>
      <c r="B683" s="151"/>
    </row>
    <row r="684">
      <c r="A684" s="151"/>
      <c r="B684" s="151"/>
    </row>
    <row r="685">
      <c r="A685" s="151"/>
      <c r="B685" s="151"/>
    </row>
    <row r="686">
      <c r="A686" s="151"/>
      <c r="B686" s="151"/>
    </row>
    <row r="687">
      <c r="A687" s="151"/>
      <c r="B687" s="151"/>
    </row>
    <row r="688">
      <c r="A688" s="151"/>
      <c r="B688" s="151"/>
    </row>
    <row r="689">
      <c r="A689" s="151"/>
      <c r="B689" s="151"/>
    </row>
    <row r="690">
      <c r="A690" s="151"/>
      <c r="B690" s="151"/>
    </row>
    <row r="691">
      <c r="A691" s="151"/>
      <c r="B691" s="151"/>
    </row>
    <row r="692">
      <c r="A692" s="151"/>
      <c r="B692" s="151"/>
    </row>
    <row r="693">
      <c r="A693" s="151"/>
      <c r="B693" s="151"/>
    </row>
    <row r="694">
      <c r="A694" s="151"/>
      <c r="B694" s="151"/>
    </row>
    <row r="695">
      <c r="A695" s="151"/>
      <c r="B695" s="151"/>
    </row>
    <row r="696">
      <c r="A696" s="151"/>
      <c r="B696" s="151"/>
    </row>
    <row r="697">
      <c r="A697" s="151"/>
      <c r="B697" s="151"/>
    </row>
    <row r="698">
      <c r="A698" s="151"/>
      <c r="B698" s="151"/>
    </row>
    <row r="699">
      <c r="A699" s="151"/>
      <c r="B699" s="151"/>
    </row>
    <row r="700">
      <c r="A700" s="151"/>
      <c r="B700" s="151"/>
    </row>
    <row r="701">
      <c r="A701" s="151"/>
      <c r="B701" s="151"/>
    </row>
    <row r="702">
      <c r="A702" s="151"/>
      <c r="B702" s="151"/>
    </row>
    <row r="703">
      <c r="A703" s="151"/>
      <c r="B703" s="151"/>
    </row>
    <row r="704">
      <c r="A704" s="151"/>
      <c r="B704" s="151"/>
    </row>
    <row r="705">
      <c r="A705" s="151"/>
      <c r="B705" s="151"/>
    </row>
    <row r="706">
      <c r="A706" s="151"/>
      <c r="B706" s="151"/>
    </row>
    <row r="707">
      <c r="A707" s="151"/>
      <c r="B707" s="151"/>
    </row>
    <row r="708">
      <c r="A708" s="151"/>
      <c r="B708" s="151"/>
    </row>
    <row r="709">
      <c r="A709" s="151"/>
      <c r="B709" s="151"/>
    </row>
    <row r="710">
      <c r="A710" s="151"/>
      <c r="B710" s="151"/>
    </row>
    <row r="711">
      <c r="A711" s="151"/>
      <c r="B711" s="151"/>
    </row>
    <row r="712">
      <c r="A712" s="151"/>
      <c r="B712" s="151"/>
    </row>
    <row r="713">
      <c r="A713" s="151"/>
      <c r="B713" s="151"/>
    </row>
    <row r="714">
      <c r="A714" s="151"/>
      <c r="B714" s="151"/>
    </row>
    <row r="715">
      <c r="A715" s="151"/>
      <c r="B715" s="151"/>
    </row>
    <row r="716">
      <c r="A716" s="151"/>
      <c r="B716" s="151"/>
    </row>
    <row r="717">
      <c r="A717" s="151"/>
      <c r="B717" s="151"/>
    </row>
    <row r="718">
      <c r="A718" s="151"/>
      <c r="B718" s="151"/>
    </row>
    <row r="719">
      <c r="A719" s="151"/>
      <c r="B719" s="151"/>
    </row>
    <row r="720">
      <c r="A720" s="151"/>
      <c r="B720" s="151"/>
    </row>
    <row r="721">
      <c r="A721" s="151"/>
      <c r="B721" s="151"/>
    </row>
    <row r="722">
      <c r="A722" s="151"/>
      <c r="B722" s="151"/>
    </row>
    <row r="723">
      <c r="A723" s="151"/>
      <c r="B723" s="151"/>
    </row>
    <row r="724">
      <c r="A724" s="151"/>
      <c r="B724" s="151"/>
    </row>
    <row r="725">
      <c r="A725" s="151"/>
      <c r="B725" s="151"/>
    </row>
    <row r="726">
      <c r="A726" s="151"/>
      <c r="B726" s="151"/>
    </row>
    <row r="727">
      <c r="A727" s="151"/>
      <c r="B727" s="151"/>
    </row>
    <row r="728">
      <c r="A728" s="151"/>
      <c r="B728" s="151"/>
    </row>
    <row r="729">
      <c r="A729" s="151"/>
      <c r="B729" s="151"/>
    </row>
    <row r="730">
      <c r="A730" s="151"/>
      <c r="B730" s="151"/>
    </row>
    <row r="731">
      <c r="A731" s="151"/>
      <c r="B731" s="151"/>
    </row>
    <row r="732">
      <c r="A732" s="151"/>
      <c r="B732" s="151"/>
    </row>
    <row r="733">
      <c r="A733" s="151"/>
      <c r="B733" s="151"/>
    </row>
    <row r="734">
      <c r="A734" s="151"/>
      <c r="B734" s="151"/>
    </row>
    <row r="735">
      <c r="A735" s="151"/>
      <c r="B735" s="151"/>
    </row>
    <row r="736">
      <c r="A736" s="151"/>
      <c r="B736" s="151"/>
    </row>
    <row r="737">
      <c r="A737" s="151"/>
      <c r="B737" s="151"/>
    </row>
    <row r="738">
      <c r="A738" s="151"/>
      <c r="B738" s="151"/>
    </row>
    <row r="739">
      <c r="A739" s="151"/>
      <c r="B739" s="151"/>
    </row>
    <row r="740">
      <c r="A740" s="151"/>
      <c r="B740" s="151"/>
    </row>
    <row r="741">
      <c r="A741" s="151"/>
      <c r="B741" s="151"/>
    </row>
    <row r="742">
      <c r="A742" s="151"/>
      <c r="B742" s="151"/>
    </row>
    <row r="743">
      <c r="A743" s="151"/>
      <c r="B743" s="151"/>
    </row>
    <row r="744">
      <c r="A744" s="151"/>
      <c r="B744" s="151"/>
    </row>
    <row r="745">
      <c r="A745" s="151"/>
      <c r="B745" s="151"/>
    </row>
    <row r="746">
      <c r="A746" s="151"/>
      <c r="B746" s="151"/>
    </row>
    <row r="747">
      <c r="A747" s="151"/>
      <c r="B747" s="151"/>
    </row>
    <row r="748">
      <c r="A748" s="151"/>
      <c r="B748" s="151"/>
    </row>
    <row r="749">
      <c r="A749" s="151"/>
      <c r="B749" s="151"/>
    </row>
    <row r="750">
      <c r="A750" s="151"/>
      <c r="B750" s="151"/>
    </row>
    <row r="751">
      <c r="A751" s="151"/>
      <c r="B751" s="151"/>
    </row>
    <row r="752">
      <c r="A752" s="151"/>
      <c r="B752" s="151"/>
    </row>
    <row r="753">
      <c r="A753" s="151"/>
      <c r="B753" s="151"/>
    </row>
    <row r="754">
      <c r="A754" s="151"/>
      <c r="B754" s="151"/>
    </row>
    <row r="755">
      <c r="A755" s="151"/>
      <c r="B755" s="151"/>
    </row>
    <row r="756">
      <c r="A756" s="151"/>
      <c r="B756" s="151"/>
    </row>
    <row r="757">
      <c r="A757" s="151"/>
      <c r="B757" s="151"/>
    </row>
    <row r="758">
      <c r="A758" s="151"/>
      <c r="B758" s="151"/>
    </row>
    <row r="759">
      <c r="A759" s="151"/>
      <c r="B759" s="151"/>
    </row>
    <row r="760">
      <c r="A760" s="151"/>
      <c r="B760" s="151"/>
    </row>
    <row r="761">
      <c r="A761" s="151"/>
      <c r="B761" s="151"/>
    </row>
    <row r="762">
      <c r="A762" s="151"/>
      <c r="B762" s="151"/>
    </row>
    <row r="763">
      <c r="A763" s="151"/>
      <c r="B763" s="151"/>
    </row>
    <row r="764">
      <c r="A764" s="151"/>
      <c r="B764" s="151"/>
    </row>
    <row r="765">
      <c r="A765" s="151"/>
      <c r="B765" s="151"/>
    </row>
    <row r="766">
      <c r="A766" s="151"/>
      <c r="B766" s="151"/>
    </row>
    <row r="767">
      <c r="A767" s="151"/>
      <c r="B767" s="151"/>
    </row>
    <row r="768">
      <c r="A768" s="151"/>
      <c r="B768" s="151"/>
    </row>
    <row r="769">
      <c r="A769" s="151"/>
      <c r="B769" s="151"/>
    </row>
    <row r="770">
      <c r="A770" s="151"/>
      <c r="B770" s="151"/>
    </row>
    <row r="771">
      <c r="A771" s="151"/>
      <c r="B771" s="151"/>
    </row>
    <row r="772">
      <c r="A772" s="151"/>
      <c r="B772" s="151"/>
    </row>
    <row r="773">
      <c r="A773" s="151"/>
      <c r="B773" s="151"/>
    </row>
    <row r="774">
      <c r="A774" s="151"/>
      <c r="B774" s="151"/>
    </row>
    <row r="775">
      <c r="A775" s="151"/>
      <c r="B775" s="151"/>
    </row>
    <row r="776">
      <c r="A776" s="151"/>
      <c r="B776" s="151"/>
    </row>
    <row r="777">
      <c r="A777" s="151"/>
      <c r="B777" s="151"/>
    </row>
    <row r="778">
      <c r="A778" s="151"/>
      <c r="B778" s="151"/>
    </row>
    <row r="779">
      <c r="A779" s="151"/>
      <c r="B779" s="151"/>
    </row>
    <row r="780">
      <c r="A780" s="151"/>
      <c r="B780" s="151"/>
    </row>
    <row r="781">
      <c r="A781" s="151"/>
      <c r="B781" s="151"/>
    </row>
    <row r="782">
      <c r="A782" s="151"/>
      <c r="B782" s="151"/>
    </row>
    <row r="783">
      <c r="A783" s="151"/>
      <c r="B783" s="151"/>
    </row>
    <row r="784">
      <c r="A784" s="151"/>
      <c r="B784" s="151"/>
    </row>
    <row r="785">
      <c r="A785" s="151"/>
      <c r="B785" s="151"/>
    </row>
    <row r="786">
      <c r="A786" s="151"/>
      <c r="B786" s="151"/>
    </row>
    <row r="787">
      <c r="A787" s="151"/>
      <c r="B787" s="151"/>
    </row>
    <row r="788">
      <c r="A788" s="151"/>
      <c r="B788" s="151"/>
    </row>
    <row r="789">
      <c r="A789" s="151"/>
      <c r="B789" s="151"/>
    </row>
    <row r="790">
      <c r="A790" s="151"/>
      <c r="B790" s="151"/>
    </row>
    <row r="791">
      <c r="A791" s="151"/>
      <c r="B791" s="151"/>
    </row>
    <row r="792">
      <c r="A792" s="151"/>
      <c r="B792" s="151"/>
    </row>
    <row r="793">
      <c r="A793" s="151"/>
      <c r="B793" s="151"/>
    </row>
    <row r="794">
      <c r="A794" s="151"/>
      <c r="B794" s="151"/>
    </row>
    <row r="795">
      <c r="A795" s="151"/>
      <c r="B795" s="151"/>
    </row>
    <row r="796">
      <c r="A796" s="151"/>
      <c r="B796" s="151"/>
    </row>
    <row r="797">
      <c r="A797" s="151"/>
      <c r="B797" s="151"/>
    </row>
    <row r="798">
      <c r="A798" s="151"/>
      <c r="B798" s="151"/>
    </row>
    <row r="799">
      <c r="A799" s="151"/>
      <c r="B799" s="151"/>
    </row>
    <row r="800">
      <c r="A800" s="151"/>
      <c r="B800" s="151"/>
    </row>
    <row r="801">
      <c r="A801" s="151"/>
      <c r="B801" s="151"/>
    </row>
    <row r="802">
      <c r="A802" s="151"/>
      <c r="B802" s="151"/>
    </row>
    <row r="803">
      <c r="A803" s="151"/>
      <c r="B803" s="151"/>
    </row>
    <row r="804">
      <c r="A804" s="151"/>
      <c r="B804" s="151"/>
    </row>
    <row r="805">
      <c r="A805" s="151"/>
      <c r="B805" s="151"/>
    </row>
    <row r="806">
      <c r="A806" s="151"/>
      <c r="B806" s="151"/>
    </row>
    <row r="807">
      <c r="A807" s="151"/>
      <c r="B807" s="151"/>
    </row>
    <row r="808">
      <c r="A808" s="151"/>
      <c r="B808" s="151"/>
    </row>
    <row r="809">
      <c r="A809" s="151"/>
      <c r="B809" s="151"/>
    </row>
    <row r="810">
      <c r="A810" s="151"/>
      <c r="B810" s="151"/>
    </row>
    <row r="811">
      <c r="A811" s="151"/>
      <c r="B811" s="151"/>
    </row>
    <row r="812">
      <c r="A812" s="151"/>
      <c r="B812" s="151"/>
    </row>
    <row r="813">
      <c r="A813" s="151"/>
      <c r="B813" s="151"/>
    </row>
    <row r="814">
      <c r="A814" s="151"/>
      <c r="B814" s="151"/>
    </row>
    <row r="815">
      <c r="A815" s="151"/>
      <c r="B815" s="151"/>
    </row>
    <row r="816">
      <c r="A816" s="151"/>
      <c r="B816" s="151"/>
    </row>
    <row r="817">
      <c r="A817" s="151"/>
      <c r="B817" s="151"/>
    </row>
    <row r="818">
      <c r="A818" s="151"/>
      <c r="B818" s="151"/>
    </row>
    <row r="819">
      <c r="A819" s="151"/>
      <c r="B819" s="151"/>
    </row>
    <row r="820">
      <c r="A820" s="151"/>
      <c r="B820" s="151"/>
    </row>
    <row r="821">
      <c r="A821" s="151"/>
      <c r="B821" s="151"/>
    </row>
    <row r="822">
      <c r="A822" s="151"/>
      <c r="B822" s="151"/>
    </row>
    <row r="823">
      <c r="A823" s="151"/>
      <c r="B823" s="151"/>
    </row>
    <row r="824">
      <c r="A824" s="151"/>
      <c r="B824" s="151"/>
    </row>
    <row r="825">
      <c r="A825" s="151"/>
      <c r="B825" s="151"/>
    </row>
    <row r="826">
      <c r="A826" s="151"/>
      <c r="B826" s="151"/>
    </row>
    <row r="827">
      <c r="A827" s="151"/>
      <c r="B827" s="151"/>
    </row>
    <row r="828">
      <c r="A828" s="151"/>
      <c r="B828" s="151"/>
    </row>
    <row r="829">
      <c r="A829" s="151"/>
      <c r="B829" s="151"/>
    </row>
    <row r="830">
      <c r="A830" s="151"/>
      <c r="B830" s="151"/>
    </row>
    <row r="831">
      <c r="A831" s="151"/>
      <c r="B831" s="151"/>
    </row>
    <row r="832">
      <c r="A832" s="151"/>
      <c r="B832" s="151"/>
    </row>
    <row r="833">
      <c r="A833" s="151"/>
      <c r="B833" s="151"/>
    </row>
    <row r="834">
      <c r="A834" s="151"/>
      <c r="B834" s="151"/>
    </row>
    <row r="835">
      <c r="A835" s="151"/>
      <c r="B835" s="151"/>
    </row>
    <row r="836">
      <c r="A836" s="151"/>
      <c r="B836" s="151"/>
    </row>
    <row r="837">
      <c r="A837" s="151"/>
      <c r="B837" s="151"/>
    </row>
    <row r="838">
      <c r="A838" s="151"/>
      <c r="B838" s="151"/>
    </row>
    <row r="839">
      <c r="A839" s="151"/>
      <c r="B839" s="151"/>
    </row>
    <row r="840">
      <c r="A840" s="151"/>
      <c r="B840" s="151"/>
    </row>
    <row r="841">
      <c r="A841" s="151"/>
      <c r="B841" s="151"/>
    </row>
    <row r="842">
      <c r="A842" s="151"/>
      <c r="B842" s="151"/>
    </row>
    <row r="843">
      <c r="A843" s="151"/>
      <c r="B843" s="151"/>
    </row>
    <row r="844">
      <c r="A844" s="151"/>
      <c r="B844" s="151"/>
    </row>
    <row r="845">
      <c r="A845" s="151"/>
      <c r="B845" s="151"/>
    </row>
    <row r="846">
      <c r="A846" s="151"/>
      <c r="B846" s="151"/>
    </row>
    <row r="847">
      <c r="A847" s="151"/>
      <c r="B847" s="151"/>
    </row>
    <row r="848">
      <c r="A848" s="151"/>
      <c r="B848" s="151"/>
    </row>
    <row r="849">
      <c r="A849" s="151"/>
      <c r="B849" s="151"/>
    </row>
    <row r="850">
      <c r="A850" s="151"/>
      <c r="B850" s="151"/>
    </row>
    <row r="851">
      <c r="A851" s="151"/>
      <c r="B851" s="151"/>
    </row>
    <row r="852">
      <c r="A852" s="151"/>
      <c r="B852" s="151"/>
    </row>
    <row r="853">
      <c r="A853" s="151"/>
      <c r="B853" s="151"/>
    </row>
    <row r="854">
      <c r="A854" s="151"/>
      <c r="B854" s="151"/>
    </row>
    <row r="855">
      <c r="A855" s="151"/>
      <c r="B855" s="151"/>
    </row>
    <row r="856">
      <c r="A856" s="151"/>
      <c r="B856" s="151"/>
    </row>
    <row r="857">
      <c r="A857" s="151"/>
      <c r="B857" s="151"/>
    </row>
    <row r="858">
      <c r="A858" s="151"/>
      <c r="B858" s="151"/>
    </row>
    <row r="859">
      <c r="A859" s="151"/>
      <c r="B859" s="151"/>
    </row>
    <row r="860">
      <c r="A860" s="151"/>
      <c r="B860" s="151"/>
    </row>
    <row r="861">
      <c r="A861" s="151"/>
      <c r="B861" s="151"/>
    </row>
    <row r="862">
      <c r="A862" s="151"/>
      <c r="B862" s="151"/>
    </row>
    <row r="863">
      <c r="A863" s="151"/>
      <c r="B863" s="151"/>
    </row>
    <row r="864">
      <c r="A864" s="151"/>
      <c r="B864" s="151"/>
    </row>
    <row r="865">
      <c r="A865" s="151"/>
      <c r="B865" s="151"/>
    </row>
    <row r="866">
      <c r="A866" s="151"/>
      <c r="B866" s="151"/>
    </row>
    <row r="867">
      <c r="A867" s="151"/>
      <c r="B867" s="151"/>
    </row>
    <row r="868">
      <c r="A868" s="151"/>
      <c r="B868" s="151"/>
    </row>
    <row r="869">
      <c r="A869" s="151"/>
      <c r="B869" s="151"/>
    </row>
    <row r="870">
      <c r="A870" s="151"/>
      <c r="B870" s="151"/>
    </row>
    <row r="871">
      <c r="A871" s="151"/>
      <c r="B871" s="151"/>
    </row>
    <row r="872">
      <c r="A872" s="151"/>
      <c r="B872" s="151"/>
    </row>
    <row r="873">
      <c r="A873" s="151"/>
      <c r="B873" s="151"/>
    </row>
    <row r="874">
      <c r="A874" s="151"/>
      <c r="B874" s="151"/>
    </row>
    <row r="875">
      <c r="A875" s="151"/>
      <c r="B875" s="151"/>
    </row>
    <row r="876">
      <c r="A876" s="151"/>
      <c r="B876" s="151"/>
    </row>
    <row r="877">
      <c r="A877" s="151"/>
      <c r="B877" s="151"/>
    </row>
    <row r="878">
      <c r="A878" s="151"/>
      <c r="B878" s="151"/>
    </row>
    <row r="879">
      <c r="A879" s="151"/>
      <c r="B879" s="151"/>
    </row>
    <row r="880">
      <c r="A880" s="151"/>
      <c r="B880" s="151"/>
    </row>
    <row r="881">
      <c r="A881" s="151"/>
      <c r="B881" s="151"/>
    </row>
    <row r="882">
      <c r="A882" s="151"/>
      <c r="B882" s="151"/>
    </row>
    <row r="883">
      <c r="A883" s="151"/>
      <c r="B883" s="151"/>
    </row>
    <row r="884">
      <c r="A884" s="151"/>
      <c r="B884" s="151"/>
    </row>
    <row r="885">
      <c r="A885" s="151"/>
      <c r="B885" s="151"/>
    </row>
    <row r="886">
      <c r="A886" s="151"/>
      <c r="B886" s="151"/>
    </row>
    <row r="887">
      <c r="A887" s="151"/>
      <c r="B887" s="151"/>
    </row>
    <row r="888">
      <c r="A888" s="151"/>
      <c r="B888" s="151"/>
    </row>
    <row r="889">
      <c r="A889" s="151"/>
      <c r="B889" s="151"/>
    </row>
    <row r="890">
      <c r="A890" s="151"/>
      <c r="B890" s="151"/>
    </row>
    <row r="891">
      <c r="A891" s="151"/>
      <c r="B891" s="151"/>
    </row>
    <row r="892">
      <c r="A892" s="151"/>
      <c r="B892" s="151"/>
    </row>
    <row r="893">
      <c r="A893" s="151"/>
      <c r="B893" s="151"/>
    </row>
    <row r="894">
      <c r="A894" s="151"/>
      <c r="B894" s="151"/>
    </row>
    <row r="895">
      <c r="A895" s="151"/>
      <c r="B895" s="151"/>
    </row>
    <row r="896">
      <c r="A896" s="151"/>
      <c r="B896" s="151"/>
    </row>
    <row r="897">
      <c r="A897" s="151"/>
      <c r="B897" s="151"/>
    </row>
    <row r="898">
      <c r="A898" s="151"/>
      <c r="B898" s="151"/>
    </row>
    <row r="899">
      <c r="A899" s="151"/>
      <c r="B899" s="151"/>
    </row>
    <row r="900">
      <c r="A900" s="151"/>
      <c r="B900" s="151"/>
    </row>
    <row r="901">
      <c r="A901" s="151"/>
      <c r="B901" s="151"/>
    </row>
    <row r="902">
      <c r="A902" s="151"/>
      <c r="B902" s="151"/>
    </row>
    <row r="903">
      <c r="A903" s="151"/>
      <c r="B903" s="151"/>
    </row>
    <row r="904">
      <c r="A904" s="151"/>
      <c r="B904" s="151"/>
    </row>
    <row r="905">
      <c r="A905" s="151"/>
      <c r="B905" s="151"/>
    </row>
    <row r="906">
      <c r="A906" s="151"/>
      <c r="B906" s="151"/>
    </row>
    <row r="907">
      <c r="A907" s="151"/>
      <c r="B907" s="151"/>
    </row>
    <row r="908">
      <c r="A908" s="151"/>
      <c r="B908" s="151"/>
    </row>
    <row r="909">
      <c r="A909" s="151"/>
      <c r="B909" s="151"/>
    </row>
    <row r="910">
      <c r="A910" s="151"/>
      <c r="B910" s="151"/>
    </row>
    <row r="911">
      <c r="A911" s="151"/>
      <c r="B911" s="151"/>
    </row>
    <row r="912">
      <c r="A912" s="151"/>
      <c r="B912" s="151"/>
    </row>
    <row r="913">
      <c r="A913" s="151"/>
      <c r="B913" s="151"/>
    </row>
    <row r="914">
      <c r="A914" s="151"/>
      <c r="B914" s="151"/>
    </row>
    <row r="915">
      <c r="A915" s="151"/>
      <c r="B915" s="151"/>
    </row>
    <row r="916">
      <c r="A916" s="151"/>
      <c r="B916" s="151"/>
    </row>
    <row r="917">
      <c r="A917" s="151"/>
      <c r="B917" s="151"/>
    </row>
    <row r="918">
      <c r="A918" s="151"/>
      <c r="B918" s="151"/>
    </row>
    <row r="919">
      <c r="A919" s="151"/>
      <c r="B919" s="151"/>
    </row>
    <row r="920">
      <c r="A920" s="151"/>
      <c r="B920" s="151"/>
    </row>
    <row r="921">
      <c r="A921" s="151"/>
      <c r="B921" s="151"/>
    </row>
    <row r="922">
      <c r="A922" s="151"/>
      <c r="B922" s="151"/>
    </row>
    <row r="923">
      <c r="A923" s="151"/>
      <c r="B923" s="151"/>
    </row>
    <row r="924">
      <c r="A924" s="151"/>
      <c r="B924" s="151"/>
    </row>
    <row r="925">
      <c r="A925" s="151"/>
      <c r="B925" s="151"/>
    </row>
    <row r="926">
      <c r="A926" s="151"/>
      <c r="B926" s="151"/>
    </row>
    <row r="927">
      <c r="A927" s="151"/>
      <c r="B927" s="151"/>
    </row>
    <row r="928">
      <c r="A928" s="151"/>
      <c r="B928" s="151"/>
    </row>
    <row r="929">
      <c r="A929" s="151"/>
      <c r="B929" s="151"/>
    </row>
    <row r="930">
      <c r="A930" s="151"/>
      <c r="B930" s="151"/>
    </row>
    <row r="931">
      <c r="A931" s="151"/>
      <c r="B931" s="151"/>
    </row>
    <row r="932">
      <c r="A932" s="151"/>
      <c r="B932" s="151"/>
    </row>
    <row r="933">
      <c r="A933" s="151"/>
      <c r="B933" s="151"/>
    </row>
    <row r="934">
      <c r="A934" s="151"/>
      <c r="B934" s="151"/>
    </row>
    <row r="935">
      <c r="A935" s="151"/>
      <c r="B935" s="151"/>
    </row>
    <row r="936">
      <c r="A936" s="151"/>
      <c r="B936" s="151"/>
    </row>
    <row r="937">
      <c r="A937" s="151"/>
      <c r="B937" s="151"/>
    </row>
    <row r="938">
      <c r="A938" s="151"/>
      <c r="B938" s="151"/>
    </row>
    <row r="939">
      <c r="A939" s="151"/>
      <c r="B939" s="151"/>
    </row>
    <row r="940">
      <c r="A940" s="151"/>
      <c r="B940" s="151"/>
    </row>
    <row r="941">
      <c r="A941" s="151"/>
      <c r="B941" s="151"/>
    </row>
    <row r="942">
      <c r="A942" s="151"/>
      <c r="B942" s="151"/>
    </row>
    <row r="943">
      <c r="A943" s="151"/>
      <c r="B943" s="151"/>
    </row>
    <row r="944">
      <c r="A944" s="151"/>
      <c r="B944" s="151"/>
    </row>
    <row r="945">
      <c r="A945" s="151"/>
      <c r="B945" s="151"/>
    </row>
    <row r="946">
      <c r="A946" s="151"/>
      <c r="B946" s="151"/>
    </row>
    <row r="947">
      <c r="A947" s="151"/>
      <c r="B947" s="151"/>
    </row>
    <row r="948">
      <c r="A948" s="151"/>
      <c r="B948" s="151"/>
    </row>
    <row r="949">
      <c r="A949" s="151"/>
      <c r="B949" s="151"/>
    </row>
    <row r="950">
      <c r="A950" s="151"/>
      <c r="B950" s="151"/>
    </row>
    <row r="951">
      <c r="A951" s="151"/>
      <c r="B951" s="151"/>
    </row>
    <row r="952">
      <c r="A952" s="151"/>
      <c r="B952" s="151"/>
    </row>
    <row r="953">
      <c r="A953" s="151"/>
      <c r="B953" s="151"/>
    </row>
    <row r="954">
      <c r="A954" s="151"/>
      <c r="B954" s="151"/>
    </row>
    <row r="955">
      <c r="A955" s="151"/>
      <c r="B955" s="151"/>
    </row>
    <row r="956">
      <c r="A956" s="151"/>
      <c r="B956" s="151"/>
    </row>
    <row r="957">
      <c r="A957" s="151"/>
      <c r="B957" s="151"/>
    </row>
    <row r="958">
      <c r="A958" s="151"/>
      <c r="B958" s="151"/>
    </row>
    <row r="959">
      <c r="A959" s="151"/>
      <c r="B959" s="151"/>
    </row>
    <row r="960">
      <c r="A960" s="151"/>
      <c r="B960" s="151"/>
    </row>
    <row r="961">
      <c r="A961" s="151"/>
      <c r="B961" s="151"/>
    </row>
    <row r="962">
      <c r="A962" s="151"/>
      <c r="B962" s="151"/>
    </row>
    <row r="963">
      <c r="A963" s="151"/>
      <c r="B963" s="151"/>
    </row>
    <row r="964">
      <c r="A964" s="151"/>
      <c r="B964" s="151"/>
    </row>
    <row r="965">
      <c r="A965" s="151"/>
      <c r="B965" s="151"/>
    </row>
    <row r="966">
      <c r="A966" s="151"/>
      <c r="B966" s="151"/>
    </row>
    <row r="967">
      <c r="A967" s="151"/>
      <c r="B967" s="151"/>
    </row>
    <row r="968">
      <c r="A968" s="151"/>
      <c r="B968" s="151"/>
    </row>
    <row r="969">
      <c r="A969" s="151"/>
      <c r="B969" s="151"/>
    </row>
    <row r="970">
      <c r="A970" s="151"/>
      <c r="B970" s="151"/>
    </row>
    <row r="971">
      <c r="A971" s="151"/>
      <c r="B971" s="151"/>
    </row>
    <row r="972">
      <c r="A972" s="151"/>
      <c r="B972" s="151"/>
    </row>
    <row r="973">
      <c r="A973" s="151"/>
      <c r="B973" s="151"/>
    </row>
    <row r="974">
      <c r="A974" s="151"/>
      <c r="B974" s="151"/>
    </row>
    <row r="975">
      <c r="A975" s="151"/>
      <c r="B975" s="151"/>
    </row>
    <row r="976">
      <c r="A976" s="151"/>
      <c r="B976" s="151"/>
    </row>
    <row r="977">
      <c r="A977" s="151"/>
      <c r="B977" s="151"/>
    </row>
    <row r="978">
      <c r="A978" s="151"/>
      <c r="B978" s="151"/>
    </row>
    <row r="979">
      <c r="A979" s="151"/>
      <c r="B979" s="151"/>
    </row>
    <row r="980">
      <c r="A980" s="151"/>
      <c r="B980" s="151"/>
    </row>
    <row r="981">
      <c r="A981" s="151"/>
      <c r="B981" s="151"/>
    </row>
    <row r="982">
      <c r="A982" s="151"/>
      <c r="B982" s="151"/>
    </row>
    <row r="983">
      <c r="A983" s="151"/>
      <c r="B983" s="151"/>
    </row>
    <row r="984">
      <c r="A984" s="151"/>
      <c r="B984" s="151"/>
    </row>
    <row r="985">
      <c r="A985" s="151"/>
      <c r="B985" s="151"/>
    </row>
    <row r="986">
      <c r="A986" s="151"/>
      <c r="B986" s="151"/>
    </row>
    <row r="987">
      <c r="A987" s="151"/>
      <c r="B987" s="151"/>
    </row>
    <row r="988">
      <c r="A988" s="151"/>
      <c r="B988" s="151"/>
    </row>
    <row r="989">
      <c r="A989" s="151"/>
      <c r="B989" s="151"/>
    </row>
    <row r="990">
      <c r="A990" s="151"/>
      <c r="B990" s="151"/>
    </row>
    <row r="991">
      <c r="A991" s="151"/>
      <c r="B991" s="151"/>
    </row>
    <row r="992">
      <c r="A992" s="151"/>
      <c r="B992" s="151"/>
    </row>
    <row r="993">
      <c r="A993" s="151"/>
      <c r="B993" s="151"/>
    </row>
    <row r="994">
      <c r="A994" s="151"/>
      <c r="B994" s="151"/>
    </row>
    <row r="995">
      <c r="A995" s="151"/>
      <c r="B995" s="151"/>
    </row>
    <row r="996">
      <c r="A996" s="151"/>
      <c r="B996" s="151"/>
    </row>
    <row r="997">
      <c r="A997" s="151"/>
      <c r="B997" s="151"/>
    </row>
    <row r="998">
      <c r="A998" s="151"/>
      <c r="B998" s="151"/>
    </row>
    <row r="999">
      <c r="A999" s="151"/>
      <c r="B999" s="151"/>
    </row>
    <row r="1000">
      <c r="A1000" s="151"/>
      <c r="B1000" s="151"/>
    </row>
  </sheetData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13"/>
    <col customWidth="1" min="14" max="17" width="18.88"/>
  </cols>
  <sheetData>
    <row r="1">
      <c r="A1" s="146" t="s">
        <v>506</v>
      </c>
      <c r="B1" s="147" t="s">
        <v>378</v>
      </c>
      <c r="C1" s="144" t="s">
        <v>380</v>
      </c>
      <c r="D1" s="144" t="s">
        <v>381</v>
      </c>
      <c r="E1" s="144" t="s">
        <v>508</v>
      </c>
      <c r="F1" s="145" t="s">
        <v>592</v>
      </c>
      <c r="G1" s="144" t="s">
        <v>510</v>
      </c>
      <c r="H1" s="144" t="s">
        <v>593</v>
      </c>
      <c r="I1" s="144" t="s">
        <v>594</v>
      </c>
      <c r="J1" s="146" t="s">
        <v>511</v>
      </c>
      <c r="K1" s="146" t="s">
        <v>595</v>
      </c>
      <c r="L1" s="147" t="s">
        <v>429</v>
      </c>
      <c r="M1" s="147" t="s">
        <v>379</v>
      </c>
      <c r="N1" s="148" t="s">
        <v>596</v>
      </c>
      <c r="O1" s="148" t="s">
        <v>597</v>
      </c>
      <c r="P1" s="148" t="s">
        <v>598</v>
      </c>
      <c r="Q1" s="148" t="s">
        <v>599</v>
      </c>
    </row>
    <row r="2">
      <c r="A2" s="152">
        <v>45726.0</v>
      </c>
      <c r="B2" s="152">
        <v>45730.0</v>
      </c>
      <c r="C2" s="121">
        <v>156.0</v>
      </c>
      <c r="D2" s="17" t="s">
        <v>600</v>
      </c>
      <c r="E2" s="17">
        <v>4211069.0</v>
      </c>
      <c r="F2" s="17" t="s">
        <v>601</v>
      </c>
      <c r="G2" s="17" t="s">
        <v>541</v>
      </c>
      <c r="H2" s="17" t="s">
        <v>602</v>
      </c>
      <c r="I2" s="17" t="s">
        <v>544</v>
      </c>
      <c r="J2" s="17">
        <v>1.0</v>
      </c>
      <c r="K2" s="141">
        <v>300000.0</v>
      </c>
      <c r="L2" s="140">
        <f t="shared" ref="L2:L9" si="1">J2*K2</f>
        <v>300000</v>
      </c>
      <c r="M2" s="17" t="s">
        <v>546</v>
      </c>
      <c r="N2" s="17" t="s">
        <v>603</v>
      </c>
      <c r="O2" s="133" t="s">
        <v>604</v>
      </c>
      <c r="P2" s="134" t="str">
        <f>HYPERLINK("https://drive.google.com/file/d/1EgjzUUyiFNNVGEw4u4e4-vFrnovJKPBV/view?usp=drivesdk","Regenerasi_Fitria Mayasari")</f>
        <v>Regenerasi_Fitria Mayasari</v>
      </c>
      <c r="Q2" s="17" t="s">
        <v>605</v>
      </c>
    </row>
    <row r="3">
      <c r="A3" s="152">
        <v>45730.0</v>
      </c>
      <c r="B3" s="152">
        <v>45734.0</v>
      </c>
      <c r="C3" s="17">
        <v>166.0</v>
      </c>
      <c r="D3" s="17" t="s">
        <v>606</v>
      </c>
      <c r="E3" s="17">
        <v>4211002.0</v>
      </c>
      <c r="F3" s="17" t="s">
        <v>607</v>
      </c>
      <c r="G3" s="17" t="s">
        <v>541</v>
      </c>
      <c r="H3" s="17" t="s">
        <v>608</v>
      </c>
      <c r="I3" s="17" t="s">
        <v>544</v>
      </c>
      <c r="J3" s="17">
        <v>1.0</v>
      </c>
      <c r="K3" s="141">
        <v>300000.0</v>
      </c>
      <c r="L3" s="140">
        <f t="shared" si="1"/>
        <v>300000</v>
      </c>
      <c r="M3" s="17" t="s">
        <v>546</v>
      </c>
      <c r="N3" s="17" t="s">
        <v>609</v>
      </c>
      <c r="O3" s="133" t="s">
        <v>610</v>
      </c>
      <c r="P3" s="134" t="str">
        <f>HYPERLINK("https://drive.google.com/file/d/1az1dqMf8Z9wkDk1tfCI0lXptSGLh8GxF/view?usp=drivesdk","Regenerasi_Afifah Ambar Maharani")</f>
        <v>Regenerasi_Afifah Ambar Maharani</v>
      </c>
      <c r="Q3" s="17" t="s">
        <v>611</v>
      </c>
    </row>
    <row r="4">
      <c r="A4" s="152">
        <v>45737.0</v>
      </c>
      <c r="B4" s="152">
        <v>45737.0</v>
      </c>
      <c r="C4" s="17">
        <v>176.0</v>
      </c>
      <c r="D4" s="17" t="s">
        <v>612</v>
      </c>
      <c r="E4" s="17" t="s">
        <v>613</v>
      </c>
      <c r="F4" s="17" t="s">
        <v>614</v>
      </c>
      <c r="G4" s="17" t="s">
        <v>510</v>
      </c>
      <c r="H4" s="17" t="s">
        <v>615</v>
      </c>
      <c r="I4" s="17" t="s">
        <v>544</v>
      </c>
      <c r="J4" s="17">
        <v>1.0</v>
      </c>
      <c r="K4" s="141">
        <v>300000.0</v>
      </c>
      <c r="L4" s="140">
        <f t="shared" si="1"/>
        <v>300000</v>
      </c>
      <c r="M4" s="17" t="s">
        <v>546</v>
      </c>
      <c r="N4" s="17" t="s">
        <v>616</v>
      </c>
      <c r="O4" s="133" t="s">
        <v>617</v>
      </c>
      <c r="P4" s="134" t="str">
        <f>HYPERLINK("https://drive.google.com/file/d/1_HtZ58MDGsSfsIjaoCkjO7P3I_7sc0iH/view?usp=drivesdk","Regenerasi_Intan Nuraini")</f>
        <v>Regenerasi_Intan Nuraini</v>
      </c>
      <c r="Q4" s="17" t="s">
        <v>618</v>
      </c>
    </row>
    <row r="5">
      <c r="A5" s="153">
        <v>45737.0</v>
      </c>
      <c r="B5" s="153">
        <v>45762.0</v>
      </c>
      <c r="C5" s="17">
        <v>181.0</v>
      </c>
      <c r="D5" s="154" t="s">
        <v>619</v>
      </c>
      <c r="E5" s="154" t="s">
        <v>461</v>
      </c>
      <c r="F5" s="154" t="s">
        <v>620</v>
      </c>
      <c r="G5" s="155" t="s">
        <v>621</v>
      </c>
      <c r="H5" s="17" t="s">
        <v>615</v>
      </c>
      <c r="I5" s="17" t="s">
        <v>544</v>
      </c>
      <c r="J5" s="17">
        <v>1.0</v>
      </c>
      <c r="K5" s="141">
        <v>300000.0</v>
      </c>
      <c r="L5" s="140">
        <f t="shared" si="1"/>
        <v>300000</v>
      </c>
      <c r="M5" s="17" t="s">
        <v>546</v>
      </c>
      <c r="N5" s="17" t="s">
        <v>622</v>
      </c>
      <c r="O5" s="133" t="s">
        <v>623</v>
      </c>
      <c r="P5" s="134" t="str">
        <f>HYPERLINK("https://drive.google.com/file/d/1_lkezOOvx2TrYkdLPU3hmeMJDAkn8iw2/view?usp=drivesdk","Regenerasi_Veronika Adien Arthamarchia")</f>
        <v>Regenerasi_Veronika Adien Arthamarchia</v>
      </c>
      <c r="Q5" s="17" t="s">
        <v>624</v>
      </c>
    </row>
    <row r="6">
      <c r="A6" s="153">
        <v>45737.0</v>
      </c>
      <c r="B6" s="153">
        <v>45762.0</v>
      </c>
      <c r="C6" s="17">
        <v>182.0</v>
      </c>
      <c r="D6" s="154" t="s">
        <v>467</v>
      </c>
      <c r="E6" s="154" t="s">
        <v>468</v>
      </c>
      <c r="F6" s="154" t="s">
        <v>620</v>
      </c>
      <c r="G6" s="155" t="s">
        <v>621</v>
      </c>
      <c r="H6" s="17" t="s">
        <v>625</v>
      </c>
      <c r="I6" s="17" t="s">
        <v>544</v>
      </c>
      <c r="J6" s="17">
        <v>1.0</v>
      </c>
      <c r="K6" s="141">
        <v>300000.0</v>
      </c>
      <c r="L6" s="140">
        <f t="shared" si="1"/>
        <v>300000</v>
      </c>
      <c r="M6" s="17" t="s">
        <v>546</v>
      </c>
      <c r="N6" s="17" t="s">
        <v>626</v>
      </c>
      <c r="O6" s="133" t="s">
        <v>627</v>
      </c>
      <c r="P6" s="134" t="str">
        <f>HYPERLINK("https://drive.google.com/file/d/1p_7d7Ep0UDGgGJIR32PN2KG_kC5EV934/view?usp=drivesdk","Regenerasi_Jasmine Aderia")</f>
        <v>Regenerasi_Jasmine Aderia</v>
      </c>
      <c r="Q6" s="17" t="s">
        <v>628</v>
      </c>
    </row>
    <row r="7">
      <c r="A7" s="153">
        <v>45820.0</v>
      </c>
      <c r="B7" s="153">
        <v>45820.0</v>
      </c>
      <c r="C7" s="17">
        <v>385.0</v>
      </c>
      <c r="D7" s="17" t="s">
        <v>629</v>
      </c>
      <c r="E7" s="136" t="s">
        <v>630</v>
      </c>
      <c r="F7" s="136" t="s">
        <v>631</v>
      </c>
      <c r="G7" s="17" t="s">
        <v>541</v>
      </c>
      <c r="H7" s="17" t="s">
        <v>625</v>
      </c>
      <c r="I7" s="17" t="s">
        <v>544</v>
      </c>
      <c r="J7" s="17">
        <v>1.0</v>
      </c>
      <c r="K7" s="141">
        <v>300000.0</v>
      </c>
      <c r="L7" s="140">
        <f t="shared" si="1"/>
        <v>300000</v>
      </c>
      <c r="M7" s="17" t="s">
        <v>546</v>
      </c>
      <c r="N7" s="17" t="s">
        <v>632</v>
      </c>
      <c r="O7" s="133" t="s">
        <v>633</v>
      </c>
      <c r="P7" s="134" t="str">
        <f>HYPERLINK("https://drive.google.com/file/d/1Zv721vZXAzVEpZ1RDg4c_Jd7DHyqBdZD/view?usp=drivesdk","Regenerasi_Wardah Radhwa Hafizhah")</f>
        <v>Regenerasi_Wardah Radhwa Hafizhah</v>
      </c>
      <c r="Q7" s="17" t="s">
        <v>634</v>
      </c>
    </row>
    <row r="8">
      <c r="A8" s="153">
        <v>45901.0</v>
      </c>
      <c r="B8" s="153">
        <v>45904.0</v>
      </c>
      <c r="C8" s="17">
        <v>567.0</v>
      </c>
      <c r="D8" s="156" t="s">
        <v>635</v>
      </c>
      <c r="E8" s="154">
        <v>8973.0</v>
      </c>
      <c r="F8" s="154" t="s">
        <v>636</v>
      </c>
      <c r="G8" s="155" t="s">
        <v>621</v>
      </c>
      <c r="H8" s="17" t="s">
        <v>625</v>
      </c>
      <c r="I8" s="17" t="s">
        <v>544</v>
      </c>
      <c r="J8" s="17">
        <v>1.0</v>
      </c>
      <c r="K8" s="141">
        <v>300000.0</v>
      </c>
      <c r="L8" s="140">
        <f t="shared" si="1"/>
        <v>300000</v>
      </c>
      <c r="M8" s="17" t="s">
        <v>546</v>
      </c>
      <c r="N8" s="17" t="s">
        <v>637</v>
      </c>
      <c r="O8" s="133" t="s">
        <v>638</v>
      </c>
      <c r="P8" s="134" t="str">
        <f>HYPERLINK("https://drive.google.com/file/d/1mCeHwdA4aWtwlbWPRRoe8jQ66fGqH2rS/view?usp=drivesdk","Regenerasi_Alfaira Nur Kamila")</f>
        <v>Regenerasi_Alfaira Nur Kamila</v>
      </c>
      <c r="Q8" s="17" t="s">
        <v>639</v>
      </c>
    </row>
    <row r="9">
      <c r="A9" s="153">
        <v>45922.0</v>
      </c>
      <c r="B9" s="153">
        <v>45930.0</v>
      </c>
      <c r="C9" s="17">
        <v>616.0</v>
      </c>
      <c r="D9" s="156" t="s">
        <v>640</v>
      </c>
      <c r="E9" s="154" t="s">
        <v>155</v>
      </c>
      <c r="F9" s="17" t="s">
        <v>641</v>
      </c>
      <c r="G9" s="17" t="s">
        <v>541</v>
      </c>
      <c r="H9" s="156" t="s">
        <v>642</v>
      </c>
      <c r="I9" s="17" t="s">
        <v>544</v>
      </c>
      <c r="J9" s="156">
        <v>1.0</v>
      </c>
      <c r="K9" s="141">
        <v>300000.0</v>
      </c>
      <c r="L9" s="140">
        <f t="shared" si="1"/>
        <v>300000</v>
      </c>
      <c r="M9" s="17" t="s">
        <v>546</v>
      </c>
      <c r="N9" s="17" t="s">
        <v>643</v>
      </c>
      <c r="O9" s="133" t="s">
        <v>644</v>
      </c>
      <c r="P9" s="134" t="str">
        <f>HYPERLINK("https://drive.google.com/file/d/11LC2kVe_labbfvLlBwFEWVDJNB9cx_kd/view?usp=drivesdk","Regenerasi_Esti Margi Utami")</f>
        <v>Regenerasi_Esti Margi Utami</v>
      </c>
      <c r="Q9" s="17" t="s">
        <v>645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</hyperlinks>
  <drawing r:id="rId9"/>
  <tableParts count="1"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13"/>
    <col customWidth="1" min="14" max="17" width="18.88"/>
  </cols>
  <sheetData>
    <row r="1">
      <c r="A1" s="146" t="s">
        <v>506</v>
      </c>
      <c r="B1" s="147" t="s">
        <v>378</v>
      </c>
      <c r="C1" s="144" t="s">
        <v>380</v>
      </c>
      <c r="D1" s="144" t="s">
        <v>381</v>
      </c>
      <c r="E1" s="144" t="s">
        <v>508</v>
      </c>
      <c r="F1" s="145" t="s">
        <v>646</v>
      </c>
      <c r="G1" s="144" t="s">
        <v>510</v>
      </c>
      <c r="H1" s="144" t="s">
        <v>647</v>
      </c>
      <c r="I1" s="144" t="s">
        <v>594</v>
      </c>
      <c r="J1" s="146" t="s">
        <v>511</v>
      </c>
      <c r="K1" s="146" t="s">
        <v>595</v>
      </c>
      <c r="L1" s="147" t="s">
        <v>429</v>
      </c>
      <c r="M1" s="147" t="s">
        <v>379</v>
      </c>
      <c r="N1" s="148" t="s">
        <v>648</v>
      </c>
      <c r="O1" s="148" t="s">
        <v>649</v>
      </c>
      <c r="P1" s="148" t="s">
        <v>650</v>
      </c>
      <c r="Q1" s="148" t="s">
        <v>651</v>
      </c>
    </row>
    <row r="2">
      <c r="A2" s="152">
        <v>45805.0</v>
      </c>
      <c r="B2" s="135">
        <v>45810.0</v>
      </c>
      <c r="C2" s="121">
        <v>337.0</v>
      </c>
      <c r="D2" s="17" t="s">
        <v>652</v>
      </c>
      <c r="E2" s="17" t="s">
        <v>653</v>
      </c>
      <c r="F2" s="17" t="s">
        <v>654</v>
      </c>
      <c r="G2" s="17" t="s">
        <v>541</v>
      </c>
      <c r="H2" s="17" t="s">
        <v>655</v>
      </c>
      <c r="I2" s="17" t="s">
        <v>544</v>
      </c>
      <c r="J2" s="17">
        <v>2.0</v>
      </c>
      <c r="K2" s="141">
        <v>60000.0</v>
      </c>
      <c r="L2" s="140">
        <f>J2*K2</f>
        <v>120000</v>
      </c>
      <c r="M2" s="17" t="s">
        <v>546</v>
      </c>
      <c r="N2" s="17" t="s">
        <v>656</v>
      </c>
      <c r="O2" s="133" t="s">
        <v>657</v>
      </c>
      <c r="P2" s="134" t="str">
        <f>HYPERLINK("https://drive.google.com/file/d/1qqJsS7Dh2Uvv9YyFslfT_ehCTDxp9J3O/view?usp=drivesdk","Fitokimia_337")</f>
        <v>Fitokimia_337</v>
      </c>
      <c r="Q2" s="17" t="s">
        <v>658</v>
      </c>
    </row>
  </sheetData>
  <hyperlinks>
    <hyperlink r:id="rId1" ref="O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5.88"/>
    <col customWidth="1" min="7" max="7" width="19.25"/>
  </cols>
  <sheetData>
    <row r="1">
      <c r="A1" s="4" t="s">
        <v>6</v>
      </c>
    </row>
    <row r="2">
      <c r="A2" s="4" t="s">
        <v>7</v>
      </c>
    </row>
    <row r="3">
      <c r="A3" s="4" t="s">
        <v>8</v>
      </c>
    </row>
    <row r="4">
      <c r="A4" s="5"/>
      <c r="B4" s="6"/>
      <c r="C4" s="6"/>
      <c r="D4" s="6"/>
      <c r="E4" s="6"/>
      <c r="F4" s="6"/>
      <c r="G4" s="6"/>
      <c r="H4" s="6"/>
    </row>
    <row r="5">
      <c r="A5" s="7" t="s">
        <v>9</v>
      </c>
      <c r="B5" s="8" t="s">
        <v>10</v>
      </c>
      <c r="C5" s="9"/>
      <c r="D5" s="9"/>
      <c r="E5" s="9"/>
      <c r="F5" s="9"/>
      <c r="G5" s="8" t="s">
        <v>11</v>
      </c>
      <c r="H5" s="8" t="s">
        <v>12</v>
      </c>
    </row>
    <row r="6">
      <c r="A6" s="10">
        <v>1.0</v>
      </c>
      <c r="B6" s="11" t="s">
        <v>13</v>
      </c>
      <c r="C6" s="12"/>
      <c r="D6" s="12"/>
      <c r="E6" s="12"/>
      <c r="F6" s="12"/>
      <c r="G6" s="12"/>
      <c r="H6" s="12"/>
    </row>
    <row r="7">
      <c r="A7" s="13"/>
      <c r="B7" s="14">
        <v>1.0</v>
      </c>
      <c r="C7" s="11" t="s">
        <v>14</v>
      </c>
      <c r="D7" s="12"/>
      <c r="E7" s="12"/>
      <c r="F7" s="12"/>
      <c r="G7" s="11" t="s">
        <v>15</v>
      </c>
      <c r="H7" s="15">
        <v>100000.0</v>
      </c>
    </row>
    <row r="8">
      <c r="A8" s="13"/>
      <c r="B8" s="14">
        <v>2.0</v>
      </c>
      <c r="C8" s="11" t="s">
        <v>16</v>
      </c>
      <c r="D8" s="12"/>
      <c r="E8" s="12"/>
      <c r="F8" s="12"/>
      <c r="G8" s="11" t="s">
        <v>15</v>
      </c>
      <c r="H8" s="15">
        <v>140000.0</v>
      </c>
    </row>
    <row r="9">
      <c r="A9" s="13"/>
      <c r="B9" s="14">
        <v>3.0</v>
      </c>
      <c r="C9" s="11" t="s">
        <v>17</v>
      </c>
      <c r="D9" s="12"/>
      <c r="E9" s="12"/>
      <c r="F9" s="12"/>
      <c r="G9" s="11" t="s">
        <v>15</v>
      </c>
      <c r="H9" s="15">
        <v>150000.0</v>
      </c>
    </row>
    <row r="10">
      <c r="A10" s="13"/>
      <c r="B10" s="14">
        <v>4.0</v>
      </c>
      <c r="C10" s="11" t="s">
        <v>18</v>
      </c>
      <c r="D10" s="12"/>
      <c r="E10" s="12"/>
      <c r="F10" s="12"/>
      <c r="G10" s="11" t="s">
        <v>15</v>
      </c>
      <c r="H10" s="15">
        <v>350000.0</v>
      </c>
    </row>
    <row r="11">
      <c r="A11" s="13"/>
      <c r="B11" s="14">
        <v>5.0</v>
      </c>
      <c r="C11" s="11" t="s">
        <v>19</v>
      </c>
      <c r="D11" s="12"/>
      <c r="E11" s="12"/>
      <c r="F11" s="12"/>
      <c r="G11" s="11" t="s">
        <v>15</v>
      </c>
      <c r="H11" s="15">
        <v>300000.0</v>
      </c>
    </row>
    <row r="12">
      <c r="A12" s="13"/>
      <c r="B12" s="14">
        <v>6.0</v>
      </c>
      <c r="C12" s="11" t="s">
        <v>20</v>
      </c>
      <c r="D12" s="12"/>
      <c r="E12" s="12"/>
      <c r="F12" s="12"/>
      <c r="G12" s="11" t="s">
        <v>15</v>
      </c>
      <c r="H12" s="15">
        <v>50000.0</v>
      </c>
    </row>
    <row r="13">
      <c r="A13" s="13"/>
      <c r="B13" s="14">
        <v>7.0</v>
      </c>
      <c r="C13" s="11" t="s">
        <v>21</v>
      </c>
      <c r="D13" s="12"/>
      <c r="E13" s="12"/>
      <c r="F13" s="12"/>
      <c r="G13" s="11" t="s">
        <v>15</v>
      </c>
      <c r="H13" s="15">
        <v>100000.0</v>
      </c>
    </row>
    <row r="14">
      <c r="A14" s="13"/>
      <c r="B14" s="14">
        <v>8.0</v>
      </c>
      <c r="C14" s="11" t="s">
        <v>22</v>
      </c>
      <c r="D14" s="12"/>
      <c r="E14" s="12"/>
      <c r="F14" s="12"/>
      <c r="G14" s="11" t="s">
        <v>15</v>
      </c>
      <c r="H14" s="15">
        <v>100000.0</v>
      </c>
    </row>
    <row r="15">
      <c r="A15" s="13"/>
      <c r="B15" s="14">
        <v>9.0</v>
      </c>
      <c r="C15" s="11" t="s">
        <v>23</v>
      </c>
      <c r="D15" s="12"/>
      <c r="E15" s="12"/>
      <c r="F15" s="12"/>
      <c r="G15" s="11" t="s">
        <v>15</v>
      </c>
      <c r="H15" s="15">
        <v>90000.0</v>
      </c>
    </row>
    <row r="16">
      <c r="A16" s="13"/>
      <c r="B16" s="14">
        <v>10.0</v>
      </c>
      <c r="C16" s="11" t="s">
        <v>24</v>
      </c>
      <c r="D16" s="12"/>
      <c r="E16" s="12"/>
      <c r="F16" s="12"/>
      <c r="G16" s="11" t="s">
        <v>15</v>
      </c>
      <c r="H16" s="15">
        <v>90000.0</v>
      </c>
    </row>
    <row r="17">
      <c r="A17" s="13"/>
      <c r="B17" s="14">
        <v>11.0</v>
      </c>
      <c r="C17" s="11" t="s">
        <v>25</v>
      </c>
      <c r="D17" s="12"/>
      <c r="E17" s="12"/>
      <c r="F17" s="12"/>
      <c r="G17" s="11" t="s">
        <v>15</v>
      </c>
      <c r="H17" s="15">
        <v>110000.0</v>
      </c>
    </row>
    <row r="18">
      <c r="A18" s="13"/>
      <c r="B18" s="14">
        <v>12.0</v>
      </c>
      <c r="C18" s="11" t="s">
        <v>26</v>
      </c>
      <c r="D18" s="12"/>
      <c r="E18" s="12"/>
      <c r="F18" s="12"/>
      <c r="G18" s="11" t="s">
        <v>15</v>
      </c>
      <c r="H18" s="15">
        <v>100000.0</v>
      </c>
    </row>
    <row r="19">
      <c r="A19" s="13"/>
      <c r="B19" s="14">
        <v>13.0</v>
      </c>
      <c r="C19" s="11" t="s">
        <v>27</v>
      </c>
      <c r="D19" s="12"/>
      <c r="E19" s="12"/>
      <c r="F19" s="12"/>
      <c r="G19" s="11" t="s">
        <v>15</v>
      </c>
      <c r="H19" s="15">
        <v>90000.0</v>
      </c>
    </row>
    <row r="20">
      <c r="A20" s="13"/>
      <c r="B20" s="14">
        <v>14.0</v>
      </c>
      <c r="C20" s="11" t="s">
        <v>28</v>
      </c>
      <c r="D20" s="12"/>
      <c r="E20" s="12"/>
      <c r="F20" s="12"/>
      <c r="G20" s="11" t="s">
        <v>15</v>
      </c>
      <c r="H20" s="15">
        <v>100000.0</v>
      </c>
    </row>
    <row r="21">
      <c r="A21" s="13"/>
      <c r="B21" s="14">
        <v>15.0</v>
      </c>
      <c r="C21" s="11" t="s">
        <v>29</v>
      </c>
      <c r="D21" s="12"/>
      <c r="E21" s="12"/>
      <c r="F21" s="12"/>
      <c r="G21" s="11" t="s">
        <v>15</v>
      </c>
      <c r="H21" s="15">
        <v>80000.0</v>
      </c>
    </row>
    <row r="22">
      <c r="A22" s="13"/>
      <c r="B22" s="14">
        <v>16.0</v>
      </c>
      <c r="C22" s="11" t="s">
        <v>30</v>
      </c>
      <c r="D22" s="12"/>
      <c r="E22" s="12"/>
      <c r="F22" s="12"/>
      <c r="G22" s="11" t="s">
        <v>15</v>
      </c>
      <c r="H22" s="15">
        <v>60000.0</v>
      </c>
    </row>
    <row r="23">
      <c r="A23" s="13"/>
      <c r="B23" s="14">
        <v>17.0</v>
      </c>
      <c r="C23" s="11" t="s">
        <v>31</v>
      </c>
      <c r="D23" s="12"/>
      <c r="E23" s="12"/>
      <c r="F23" s="12"/>
      <c r="G23" s="11" t="s">
        <v>15</v>
      </c>
      <c r="H23" s="15">
        <v>90000.0</v>
      </c>
    </row>
    <row r="24">
      <c r="A24" s="13"/>
      <c r="B24" s="14">
        <v>18.0</v>
      </c>
      <c r="C24" s="11" t="s">
        <v>32</v>
      </c>
      <c r="D24" s="12"/>
      <c r="E24" s="12"/>
      <c r="F24" s="12"/>
      <c r="G24" s="11" t="s">
        <v>15</v>
      </c>
      <c r="H24" s="15">
        <v>90000.0</v>
      </c>
    </row>
    <row r="25">
      <c r="A25" s="13"/>
      <c r="B25" s="14">
        <v>19.0</v>
      </c>
      <c r="C25" s="11" t="s">
        <v>33</v>
      </c>
      <c r="D25" s="12"/>
      <c r="E25" s="12"/>
      <c r="F25" s="12"/>
      <c r="G25" s="11" t="s">
        <v>15</v>
      </c>
      <c r="H25" s="15">
        <v>90000.0</v>
      </c>
    </row>
    <row r="26">
      <c r="A26" s="13"/>
      <c r="B26" s="14">
        <v>20.0</v>
      </c>
      <c r="C26" s="11" t="s">
        <v>34</v>
      </c>
      <c r="D26" s="12"/>
      <c r="E26" s="12"/>
      <c r="F26" s="12"/>
      <c r="G26" s="11" t="s">
        <v>15</v>
      </c>
      <c r="H26" s="15">
        <v>90000.0</v>
      </c>
    </row>
    <row r="27">
      <c r="A27" s="13"/>
      <c r="B27" s="14">
        <v>21.0</v>
      </c>
      <c r="C27" s="11" t="s">
        <v>35</v>
      </c>
      <c r="D27" s="12"/>
      <c r="E27" s="12"/>
      <c r="F27" s="12"/>
      <c r="G27" s="11" t="s">
        <v>15</v>
      </c>
      <c r="H27" s="15">
        <v>90000.0</v>
      </c>
    </row>
    <row r="28">
      <c r="A28" s="13"/>
      <c r="B28" s="14">
        <v>22.0</v>
      </c>
      <c r="C28" s="11" t="s">
        <v>36</v>
      </c>
      <c r="D28" s="12"/>
      <c r="E28" s="12"/>
      <c r="F28" s="12"/>
      <c r="G28" s="11" t="s">
        <v>15</v>
      </c>
      <c r="H28" s="15">
        <v>90000.0</v>
      </c>
    </row>
    <row r="29">
      <c r="A29" s="13"/>
      <c r="B29" s="14">
        <v>23.0</v>
      </c>
      <c r="C29" s="11" t="s">
        <v>37</v>
      </c>
      <c r="D29" s="12"/>
      <c r="E29" s="12"/>
      <c r="F29" s="12"/>
      <c r="G29" s="11" t="s">
        <v>15</v>
      </c>
      <c r="H29" s="15">
        <v>90000.0</v>
      </c>
    </row>
    <row r="30">
      <c r="A30" s="13"/>
      <c r="B30" s="14">
        <v>24.0</v>
      </c>
      <c r="C30" s="11" t="s">
        <v>38</v>
      </c>
      <c r="D30" s="12"/>
      <c r="E30" s="12"/>
      <c r="F30" s="12"/>
      <c r="G30" s="11" t="s">
        <v>15</v>
      </c>
      <c r="H30" s="15">
        <v>90000.0</v>
      </c>
    </row>
    <row r="31">
      <c r="A31" s="13"/>
      <c r="B31" s="14">
        <v>25.0</v>
      </c>
      <c r="C31" s="11" t="s">
        <v>39</v>
      </c>
      <c r="D31" s="12"/>
      <c r="E31" s="12"/>
      <c r="F31" s="12"/>
      <c r="G31" s="11" t="s">
        <v>15</v>
      </c>
      <c r="H31" s="15">
        <v>90000.0</v>
      </c>
    </row>
    <row r="32">
      <c r="A32" s="13"/>
      <c r="B32" s="14">
        <v>26.0</v>
      </c>
      <c r="C32" s="11" t="s">
        <v>40</v>
      </c>
      <c r="D32" s="12"/>
      <c r="E32" s="12"/>
      <c r="F32" s="12"/>
      <c r="G32" s="11" t="s">
        <v>15</v>
      </c>
      <c r="H32" s="15">
        <v>300000.0</v>
      </c>
    </row>
    <row r="33">
      <c r="A33" s="13"/>
      <c r="B33" s="14">
        <v>27.0</v>
      </c>
      <c r="C33" s="11" t="s">
        <v>41</v>
      </c>
      <c r="D33" s="12"/>
      <c r="E33" s="12"/>
      <c r="F33" s="12"/>
      <c r="G33" s="11" t="s">
        <v>15</v>
      </c>
      <c r="H33" s="15">
        <v>225000.0</v>
      </c>
    </row>
    <row r="34">
      <c r="A34" s="13"/>
      <c r="B34" s="14">
        <v>28.0</v>
      </c>
      <c r="C34" s="11" t="s">
        <v>42</v>
      </c>
      <c r="D34" s="12"/>
      <c r="E34" s="12"/>
      <c r="F34" s="12"/>
      <c r="G34" s="11" t="s">
        <v>15</v>
      </c>
      <c r="H34" s="15">
        <v>25000.0</v>
      </c>
    </row>
    <row r="35">
      <c r="A35" s="13"/>
      <c r="B35" s="14">
        <v>29.0</v>
      </c>
      <c r="C35" s="11" t="s">
        <v>43</v>
      </c>
      <c r="D35" s="12"/>
      <c r="E35" s="12"/>
      <c r="F35" s="12"/>
      <c r="G35" s="11" t="s">
        <v>15</v>
      </c>
      <c r="H35" s="15">
        <v>25000.0</v>
      </c>
    </row>
    <row r="36">
      <c r="A36" s="13"/>
      <c r="B36" s="14">
        <v>30.0</v>
      </c>
      <c r="C36" s="11" t="s">
        <v>44</v>
      </c>
      <c r="D36" s="12"/>
      <c r="E36" s="12"/>
      <c r="F36" s="12"/>
      <c r="G36" s="11" t="s">
        <v>15</v>
      </c>
      <c r="H36" s="15">
        <v>25000.0</v>
      </c>
    </row>
    <row r="37">
      <c r="A37" s="13"/>
      <c r="B37" s="14">
        <v>31.0</v>
      </c>
      <c r="C37" s="11" t="s">
        <v>45</v>
      </c>
      <c r="D37" s="12"/>
      <c r="E37" s="12"/>
      <c r="F37" s="12"/>
      <c r="G37" s="11" t="s">
        <v>15</v>
      </c>
      <c r="H37" s="15">
        <v>110000.0</v>
      </c>
    </row>
    <row r="38">
      <c r="A38" s="13"/>
      <c r="B38" s="14">
        <v>32.0</v>
      </c>
      <c r="C38" s="11" t="s">
        <v>46</v>
      </c>
      <c r="D38" s="12"/>
      <c r="E38" s="12"/>
      <c r="F38" s="12"/>
      <c r="G38" s="11" t="s">
        <v>15</v>
      </c>
      <c r="H38" s="15">
        <v>150000.0</v>
      </c>
    </row>
    <row r="39">
      <c r="A39" s="13"/>
      <c r="B39" s="14">
        <v>33.0</v>
      </c>
      <c r="C39" s="11" t="s">
        <v>47</v>
      </c>
      <c r="D39" s="12"/>
      <c r="E39" s="12"/>
      <c r="F39" s="12"/>
      <c r="G39" s="11" t="s">
        <v>15</v>
      </c>
      <c r="H39" s="15">
        <v>250000.0</v>
      </c>
    </row>
    <row r="40">
      <c r="A40" s="13"/>
      <c r="B40" s="14">
        <v>34.0</v>
      </c>
      <c r="C40" s="11" t="s">
        <v>48</v>
      </c>
      <c r="D40" s="12"/>
      <c r="E40" s="12"/>
      <c r="F40" s="12"/>
      <c r="G40" s="11" t="s">
        <v>15</v>
      </c>
      <c r="H40" s="15">
        <v>200000.0</v>
      </c>
    </row>
    <row r="41">
      <c r="A41" s="13"/>
      <c r="B41" s="14">
        <v>35.0</v>
      </c>
      <c r="C41" s="11" t="s">
        <v>49</v>
      </c>
      <c r="D41" s="12"/>
      <c r="E41" s="12"/>
      <c r="F41" s="12"/>
      <c r="G41" s="11" t="s">
        <v>15</v>
      </c>
      <c r="H41" s="15">
        <v>200000.0</v>
      </c>
    </row>
    <row r="42">
      <c r="A42" s="13"/>
      <c r="B42" s="14">
        <v>36.0</v>
      </c>
      <c r="C42" s="11" t="s">
        <v>50</v>
      </c>
      <c r="D42" s="12"/>
      <c r="E42" s="12"/>
      <c r="F42" s="12"/>
      <c r="G42" s="11" t="s">
        <v>15</v>
      </c>
      <c r="H42" s="15">
        <v>150000.0</v>
      </c>
    </row>
    <row r="43">
      <c r="A43" s="13"/>
      <c r="B43" s="14">
        <v>37.0</v>
      </c>
      <c r="C43" s="11" t="s">
        <v>51</v>
      </c>
      <c r="D43" s="12"/>
      <c r="E43" s="12"/>
      <c r="F43" s="12"/>
      <c r="G43" s="11" t="s">
        <v>15</v>
      </c>
      <c r="H43" s="15">
        <v>150000.0</v>
      </c>
    </row>
    <row r="44">
      <c r="A44" s="13"/>
      <c r="B44" s="14">
        <v>38.0</v>
      </c>
      <c r="C44" s="11" t="s">
        <v>52</v>
      </c>
      <c r="D44" s="12"/>
      <c r="E44" s="12"/>
      <c r="F44" s="12"/>
      <c r="G44" s="11" t="s">
        <v>15</v>
      </c>
      <c r="H44" s="15">
        <v>150000.0</v>
      </c>
    </row>
    <row r="45">
      <c r="A45" s="13"/>
      <c r="B45" s="14">
        <v>39.0</v>
      </c>
      <c r="C45" s="11" t="s">
        <v>53</v>
      </c>
      <c r="D45" s="12"/>
      <c r="E45" s="12"/>
      <c r="F45" s="12"/>
      <c r="G45" s="11" t="s">
        <v>15</v>
      </c>
      <c r="H45" s="15">
        <v>50000.0</v>
      </c>
    </row>
    <row r="46">
      <c r="A46" s="13"/>
      <c r="B46" s="14">
        <v>40.0</v>
      </c>
      <c r="C46" s="11" t="s">
        <v>54</v>
      </c>
      <c r="D46" s="12"/>
      <c r="E46" s="12"/>
      <c r="F46" s="12"/>
      <c r="G46" s="11" t="s">
        <v>15</v>
      </c>
      <c r="H46" s="15">
        <v>50000.0</v>
      </c>
    </row>
    <row r="47">
      <c r="A47" s="13"/>
      <c r="B47" s="14">
        <v>41.0</v>
      </c>
      <c r="C47" s="11" t="s">
        <v>55</v>
      </c>
      <c r="D47" s="12"/>
      <c r="E47" s="12"/>
      <c r="F47" s="12"/>
      <c r="G47" s="11" t="s">
        <v>15</v>
      </c>
      <c r="H47" s="15">
        <v>100000.0</v>
      </c>
    </row>
    <row r="48">
      <c r="A48" s="13"/>
      <c r="B48" s="14">
        <v>42.0</v>
      </c>
      <c r="C48" s="11" t="s">
        <v>56</v>
      </c>
      <c r="D48" s="12"/>
      <c r="E48" s="12"/>
      <c r="F48" s="12"/>
      <c r="G48" s="11" t="s">
        <v>15</v>
      </c>
      <c r="H48" s="15">
        <v>100000.0</v>
      </c>
    </row>
    <row r="49">
      <c r="A49" s="13"/>
      <c r="B49" s="14">
        <v>43.0</v>
      </c>
      <c r="C49" s="11" t="s">
        <v>57</v>
      </c>
      <c r="D49" s="12"/>
      <c r="E49" s="12"/>
      <c r="F49" s="12"/>
      <c r="G49" s="11" t="s">
        <v>15</v>
      </c>
      <c r="H49" s="15">
        <v>100000.0</v>
      </c>
    </row>
    <row r="50">
      <c r="A50" s="13"/>
      <c r="B50" s="14">
        <v>44.0</v>
      </c>
      <c r="C50" s="11" t="s">
        <v>58</v>
      </c>
      <c r="D50" s="12"/>
      <c r="E50" s="12"/>
      <c r="F50" s="12"/>
      <c r="G50" s="11" t="s">
        <v>15</v>
      </c>
      <c r="H50" s="15">
        <v>100000.0</v>
      </c>
    </row>
    <row r="51">
      <c r="A51" s="13"/>
      <c r="B51" s="14">
        <v>45.0</v>
      </c>
      <c r="C51" s="11" t="s">
        <v>59</v>
      </c>
      <c r="D51" s="12"/>
      <c r="E51" s="12"/>
      <c r="F51" s="12"/>
      <c r="G51" s="11" t="s">
        <v>15</v>
      </c>
      <c r="H51" s="15">
        <v>100000.0</v>
      </c>
    </row>
    <row r="52">
      <c r="A52" s="13"/>
      <c r="B52" s="14">
        <v>46.0</v>
      </c>
      <c r="C52" s="11" t="s">
        <v>60</v>
      </c>
      <c r="D52" s="12"/>
      <c r="E52" s="12"/>
      <c r="F52" s="12"/>
      <c r="G52" s="11" t="s">
        <v>15</v>
      </c>
      <c r="H52" s="15">
        <v>100000.0</v>
      </c>
    </row>
    <row r="53">
      <c r="A53" s="13"/>
      <c r="B53" s="14">
        <v>47.0</v>
      </c>
      <c r="C53" s="11" t="s">
        <v>61</v>
      </c>
      <c r="D53" s="12"/>
      <c r="E53" s="12"/>
      <c r="F53" s="12"/>
      <c r="G53" s="11" t="s">
        <v>15</v>
      </c>
      <c r="H53" s="15">
        <v>100000.0</v>
      </c>
    </row>
    <row r="54">
      <c r="A54" s="13"/>
      <c r="B54" s="14">
        <v>48.0</v>
      </c>
      <c r="C54" s="11" t="s">
        <v>62</v>
      </c>
      <c r="D54" s="12"/>
      <c r="E54" s="12"/>
      <c r="F54" s="12"/>
      <c r="G54" s="11" t="s">
        <v>15</v>
      </c>
      <c r="H54" s="15">
        <v>100000.0</v>
      </c>
    </row>
    <row r="55">
      <c r="A55" s="10">
        <v>2.0</v>
      </c>
      <c r="B55" s="11" t="s">
        <v>63</v>
      </c>
      <c r="C55" s="12"/>
      <c r="D55" s="12"/>
      <c r="E55" s="12"/>
      <c r="F55" s="12"/>
      <c r="G55" s="12"/>
      <c r="H55" s="12"/>
    </row>
    <row r="56">
      <c r="A56" s="13"/>
      <c r="B56" s="14">
        <v>1.0</v>
      </c>
      <c r="C56" s="11" t="s">
        <v>64</v>
      </c>
      <c r="D56" s="12"/>
      <c r="E56" s="12"/>
      <c r="F56" s="12"/>
      <c r="G56" s="11" t="s">
        <v>15</v>
      </c>
      <c r="H56" s="15">
        <v>100000.0</v>
      </c>
    </row>
    <row r="57">
      <c r="A57" s="13"/>
      <c r="B57" s="14">
        <v>2.0</v>
      </c>
      <c r="C57" s="11" t="s">
        <v>65</v>
      </c>
      <c r="D57" s="12"/>
      <c r="E57" s="12"/>
      <c r="F57" s="12"/>
      <c r="G57" s="11" t="s">
        <v>15</v>
      </c>
      <c r="H57" s="15">
        <v>100000.0</v>
      </c>
    </row>
    <row r="58">
      <c r="A58" s="13"/>
      <c r="B58" s="14">
        <v>3.0</v>
      </c>
      <c r="C58" s="11" t="s">
        <v>36</v>
      </c>
      <c r="D58" s="12"/>
      <c r="E58" s="12"/>
      <c r="F58" s="12"/>
      <c r="G58" s="11" t="s">
        <v>15</v>
      </c>
      <c r="H58" s="15">
        <v>200000.0</v>
      </c>
    </row>
    <row r="59">
      <c r="A59" s="13"/>
      <c r="B59" s="14">
        <v>4.0</v>
      </c>
      <c r="C59" s="11" t="s">
        <v>66</v>
      </c>
      <c r="D59" s="12"/>
      <c r="E59" s="12"/>
      <c r="F59" s="12"/>
      <c r="G59" s="11" t="s">
        <v>15</v>
      </c>
      <c r="H59" s="15">
        <v>200000.0</v>
      </c>
    </row>
    <row r="60">
      <c r="A60" s="13"/>
      <c r="B60" s="14">
        <v>5.0</v>
      </c>
      <c r="C60" s="11" t="s">
        <v>67</v>
      </c>
      <c r="D60" s="12"/>
      <c r="E60" s="12"/>
      <c r="F60" s="12"/>
      <c r="G60" s="11" t="s">
        <v>15</v>
      </c>
      <c r="H60" s="15">
        <v>150000.0</v>
      </c>
    </row>
    <row r="61">
      <c r="A61" s="13"/>
      <c r="B61" s="14">
        <v>6.0</v>
      </c>
      <c r="C61" s="11" t="s">
        <v>68</v>
      </c>
      <c r="D61" s="12"/>
      <c r="E61" s="12"/>
      <c r="F61" s="12"/>
      <c r="G61" s="11" t="s">
        <v>15</v>
      </c>
      <c r="H61" s="15">
        <v>90000.0</v>
      </c>
    </row>
    <row r="62">
      <c r="A62" s="13"/>
      <c r="B62" s="14">
        <v>7.0</v>
      </c>
      <c r="C62" s="11" t="s">
        <v>69</v>
      </c>
      <c r="D62" s="12"/>
      <c r="E62" s="12"/>
      <c r="F62" s="12"/>
      <c r="G62" s="11" t="s">
        <v>15</v>
      </c>
      <c r="H62" s="15">
        <v>150000.0</v>
      </c>
    </row>
    <row r="63">
      <c r="A63" s="13"/>
      <c r="B63" s="14">
        <v>8.0</v>
      </c>
      <c r="C63" s="11" t="s">
        <v>70</v>
      </c>
      <c r="D63" s="12"/>
      <c r="E63" s="12"/>
      <c r="F63" s="12"/>
      <c r="G63" s="11" t="s">
        <v>15</v>
      </c>
      <c r="H63" s="15">
        <v>100000.0</v>
      </c>
    </row>
    <row r="64">
      <c r="A64" s="13"/>
      <c r="B64" s="12"/>
      <c r="C64" s="12"/>
      <c r="D64" s="12"/>
      <c r="E64" s="12"/>
      <c r="F64" s="12"/>
      <c r="G64" s="12"/>
      <c r="H64" s="12"/>
    </row>
    <row r="65">
      <c r="A65" s="13"/>
      <c r="B65" s="11" t="s">
        <v>71</v>
      </c>
      <c r="C65" s="12"/>
      <c r="D65" s="12"/>
      <c r="E65" s="12"/>
      <c r="F65" s="12"/>
      <c r="G65" s="12"/>
      <c r="H65" s="12"/>
    </row>
    <row r="66">
      <c r="A66" s="13"/>
      <c r="B66" s="14">
        <v>1.0</v>
      </c>
      <c r="C66" s="11" t="s">
        <v>72</v>
      </c>
      <c r="D66" s="12"/>
      <c r="E66" s="12"/>
      <c r="F66" s="12"/>
      <c r="G66" s="11" t="s">
        <v>15</v>
      </c>
      <c r="H66" s="15">
        <v>100000.0</v>
      </c>
    </row>
    <row r="67">
      <c r="A67" s="13"/>
      <c r="B67" s="11" t="s">
        <v>73</v>
      </c>
      <c r="C67" s="12"/>
      <c r="D67" s="12"/>
      <c r="E67" s="12"/>
      <c r="F67" s="12"/>
      <c r="G67" s="12"/>
      <c r="H67" s="12"/>
    </row>
    <row r="68">
      <c r="A68" s="13"/>
      <c r="B68" s="14">
        <v>1.0</v>
      </c>
      <c r="C68" s="11" t="s">
        <v>74</v>
      </c>
      <c r="D68" s="12"/>
      <c r="E68" s="12"/>
      <c r="F68" s="12"/>
      <c r="G68" s="11" t="s">
        <v>15</v>
      </c>
      <c r="H68" s="15">
        <v>100000.0</v>
      </c>
    </row>
    <row r="69">
      <c r="A69" s="13"/>
      <c r="B69" s="12"/>
      <c r="C69" s="12"/>
      <c r="D69" s="12"/>
      <c r="E69" s="12"/>
      <c r="F69" s="12"/>
      <c r="G69" s="12"/>
      <c r="H69" s="12"/>
    </row>
    <row r="70">
      <c r="A70" s="10">
        <v>3.0</v>
      </c>
      <c r="B70" s="11" t="s">
        <v>75</v>
      </c>
      <c r="C70" s="12"/>
      <c r="D70" s="12"/>
      <c r="E70" s="12"/>
      <c r="F70" s="12"/>
      <c r="G70" s="12"/>
      <c r="H70" s="12"/>
    </row>
    <row r="71">
      <c r="A71" s="13"/>
      <c r="B71" s="11" t="s">
        <v>76</v>
      </c>
      <c r="C71" s="11" t="s">
        <v>77</v>
      </c>
      <c r="D71" s="12"/>
      <c r="E71" s="12"/>
      <c r="F71" s="12"/>
      <c r="G71" s="11" t="s">
        <v>15</v>
      </c>
      <c r="H71" s="15">
        <v>600000.0</v>
      </c>
    </row>
    <row r="72">
      <c r="A72" s="13"/>
      <c r="B72" s="11" t="s">
        <v>78</v>
      </c>
      <c r="C72" s="11" t="s">
        <v>79</v>
      </c>
      <c r="D72" s="12"/>
      <c r="E72" s="12"/>
      <c r="F72" s="12"/>
      <c r="G72" s="11" t="s">
        <v>15</v>
      </c>
      <c r="H72" s="15">
        <v>300000.0</v>
      </c>
    </row>
    <row r="73">
      <c r="A73" s="13"/>
      <c r="B73" s="11" t="s">
        <v>80</v>
      </c>
      <c r="C73" s="11" t="s">
        <v>81</v>
      </c>
      <c r="D73" s="12"/>
      <c r="E73" s="12"/>
      <c r="F73" s="12"/>
      <c r="G73" s="11" t="s">
        <v>15</v>
      </c>
      <c r="H73" s="15">
        <v>300000.0</v>
      </c>
    </row>
    <row r="74">
      <c r="A74" s="13"/>
      <c r="B74" s="12"/>
      <c r="C74" s="12"/>
      <c r="D74" s="12"/>
      <c r="E74" s="12"/>
      <c r="F74" s="12"/>
      <c r="G74" s="12"/>
      <c r="H74" s="12"/>
    </row>
    <row r="75">
      <c r="A75" s="10">
        <v>4.0</v>
      </c>
      <c r="B75" s="11" t="s">
        <v>82</v>
      </c>
      <c r="C75" s="12"/>
      <c r="D75" s="12"/>
      <c r="E75" s="12"/>
      <c r="F75" s="12"/>
      <c r="G75" s="12"/>
      <c r="H75" s="12"/>
    </row>
    <row r="76">
      <c r="A76" s="13"/>
      <c r="B76" s="11" t="s">
        <v>76</v>
      </c>
      <c r="C76" s="11" t="s">
        <v>83</v>
      </c>
      <c r="D76" s="12"/>
      <c r="E76" s="12"/>
      <c r="F76" s="12"/>
      <c r="G76" s="12"/>
      <c r="H76" s="12"/>
    </row>
    <row r="77">
      <c r="A77" s="13"/>
      <c r="B77" s="12"/>
      <c r="C77" s="14">
        <v>1.0</v>
      </c>
      <c r="D77" s="11" t="s">
        <v>84</v>
      </c>
      <c r="E77" s="12"/>
      <c r="F77" s="12"/>
      <c r="G77" s="11" t="s">
        <v>15</v>
      </c>
      <c r="H77" s="15">
        <v>500000.0</v>
      </c>
    </row>
    <row r="78">
      <c r="A78" s="13"/>
      <c r="B78" s="12"/>
      <c r="C78" s="14">
        <v>2.0</v>
      </c>
      <c r="D78" s="11" t="s">
        <v>85</v>
      </c>
      <c r="E78" s="12"/>
      <c r="F78" s="12"/>
      <c r="G78" s="11" t="s">
        <v>15</v>
      </c>
      <c r="H78" s="15">
        <v>150000.0</v>
      </c>
    </row>
    <row r="79">
      <c r="A79" s="13"/>
      <c r="B79" s="12"/>
      <c r="C79" s="14">
        <v>3.0</v>
      </c>
      <c r="D79" s="11" t="s">
        <v>86</v>
      </c>
      <c r="E79" s="12"/>
      <c r="F79" s="12"/>
      <c r="G79" s="11" t="s">
        <v>15</v>
      </c>
      <c r="H79" s="15">
        <v>150000.0</v>
      </c>
    </row>
    <row r="80">
      <c r="A80" s="13"/>
      <c r="B80" s="12"/>
      <c r="C80" s="12"/>
      <c r="D80" s="12"/>
      <c r="E80" s="12"/>
      <c r="F80" s="12"/>
      <c r="G80" s="12"/>
      <c r="H80" s="12"/>
    </row>
    <row r="81">
      <c r="A81" s="13"/>
      <c r="B81" s="11" t="s">
        <v>78</v>
      </c>
      <c r="C81" s="11" t="s">
        <v>87</v>
      </c>
      <c r="D81" s="12"/>
      <c r="E81" s="12"/>
      <c r="F81" s="12"/>
      <c r="G81" s="12"/>
      <c r="H81" s="12"/>
    </row>
    <row r="82">
      <c r="A82" s="13"/>
      <c r="B82" s="12"/>
      <c r="C82" s="14">
        <v>1.0</v>
      </c>
      <c r="D82" s="11" t="s">
        <v>88</v>
      </c>
      <c r="E82" s="12"/>
      <c r="F82" s="12"/>
      <c r="G82" s="11" t="s">
        <v>15</v>
      </c>
      <c r="H82" s="15">
        <v>75000.0</v>
      </c>
    </row>
    <row r="83">
      <c r="A83" s="13"/>
      <c r="B83" s="12"/>
      <c r="C83" s="14">
        <v>2.0</v>
      </c>
      <c r="D83" s="11" t="s">
        <v>89</v>
      </c>
      <c r="E83" s="12"/>
      <c r="F83" s="12"/>
      <c r="G83" s="11" t="s">
        <v>15</v>
      </c>
      <c r="H83" s="15">
        <v>75000.0</v>
      </c>
    </row>
    <row r="84">
      <c r="A84" s="13"/>
      <c r="B84" s="12"/>
      <c r="C84" s="14">
        <v>3.0</v>
      </c>
      <c r="D84" s="11" t="s">
        <v>90</v>
      </c>
      <c r="E84" s="12"/>
      <c r="F84" s="12"/>
      <c r="G84" s="11" t="s">
        <v>15</v>
      </c>
      <c r="H84" s="15">
        <v>145000.0</v>
      </c>
    </row>
    <row r="85">
      <c r="A85" s="13"/>
      <c r="B85" s="12"/>
      <c r="C85" s="14">
        <v>4.0</v>
      </c>
      <c r="D85" s="11" t="s">
        <v>91</v>
      </c>
      <c r="E85" s="12"/>
      <c r="F85" s="12"/>
      <c r="G85" s="11" t="s">
        <v>15</v>
      </c>
      <c r="H85" s="15">
        <v>110000.0</v>
      </c>
    </row>
    <row r="86">
      <c r="A86" s="13"/>
      <c r="B86" s="12"/>
      <c r="C86" s="14">
        <v>5.0</v>
      </c>
      <c r="D86" s="11" t="s">
        <v>92</v>
      </c>
      <c r="E86" s="12"/>
      <c r="F86" s="12"/>
      <c r="G86" s="11" t="s">
        <v>15</v>
      </c>
      <c r="H86" s="15">
        <v>85000.0</v>
      </c>
    </row>
    <row r="87">
      <c r="A87" s="13"/>
      <c r="B87" s="12"/>
      <c r="C87" s="14">
        <v>6.0</v>
      </c>
      <c r="D87" s="11" t="s">
        <v>93</v>
      </c>
      <c r="E87" s="12"/>
      <c r="F87" s="12"/>
      <c r="G87" s="11" t="s">
        <v>15</v>
      </c>
      <c r="H87" s="15">
        <v>220000.0</v>
      </c>
    </row>
    <row r="88">
      <c r="A88" s="13"/>
      <c r="B88" s="12"/>
      <c r="C88" s="14">
        <v>7.0</v>
      </c>
      <c r="D88" s="11" t="s">
        <v>94</v>
      </c>
      <c r="E88" s="12"/>
      <c r="F88" s="12"/>
      <c r="G88" s="11" t="s">
        <v>15</v>
      </c>
      <c r="H88" s="15">
        <v>30000.0</v>
      </c>
    </row>
    <row r="89">
      <c r="A89" s="13"/>
      <c r="B89" s="12"/>
      <c r="C89" s="14">
        <v>8.0</v>
      </c>
      <c r="D89" s="11" t="s">
        <v>95</v>
      </c>
      <c r="E89" s="12"/>
      <c r="F89" s="12"/>
      <c r="G89" s="11" t="s">
        <v>15</v>
      </c>
      <c r="H89" s="15">
        <v>60000.0</v>
      </c>
    </row>
    <row r="90">
      <c r="A90" s="13"/>
      <c r="B90" s="12"/>
      <c r="C90" s="14">
        <v>9.0</v>
      </c>
      <c r="D90" s="11" t="s">
        <v>96</v>
      </c>
      <c r="E90" s="12"/>
      <c r="F90" s="12"/>
      <c r="G90" s="11" t="s">
        <v>15</v>
      </c>
      <c r="H90" s="15">
        <v>80000.0</v>
      </c>
    </row>
    <row r="91">
      <c r="A91" s="13"/>
      <c r="B91" s="12"/>
      <c r="C91" s="14">
        <v>10.0</v>
      </c>
      <c r="D91" s="11" t="s">
        <v>97</v>
      </c>
      <c r="E91" s="12"/>
      <c r="F91" s="12"/>
      <c r="G91" s="11" t="s">
        <v>15</v>
      </c>
      <c r="H91" s="15">
        <v>100000.0</v>
      </c>
    </row>
    <row r="92">
      <c r="A92" s="13"/>
      <c r="B92" s="12"/>
      <c r="C92" s="14">
        <v>11.0</v>
      </c>
      <c r="D92" s="11" t="s">
        <v>98</v>
      </c>
      <c r="E92" s="12"/>
      <c r="F92" s="12"/>
      <c r="G92" s="11" t="s">
        <v>15</v>
      </c>
      <c r="H92" s="15">
        <v>100000.0</v>
      </c>
    </row>
    <row r="93">
      <c r="A93" s="13"/>
      <c r="B93" s="12"/>
      <c r="C93" s="14">
        <v>12.0</v>
      </c>
      <c r="D93" s="11" t="s">
        <v>99</v>
      </c>
      <c r="E93" s="12"/>
      <c r="F93" s="12"/>
      <c r="G93" s="11" t="s">
        <v>15</v>
      </c>
      <c r="H93" s="15">
        <v>300000.0</v>
      </c>
    </row>
    <row r="94">
      <c r="A94" s="13"/>
      <c r="B94" s="12"/>
      <c r="C94" s="14">
        <v>13.0</v>
      </c>
      <c r="D94" s="11" t="s">
        <v>100</v>
      </c>
      <c r="E94" s="12"/>
      <c r="F94" s="12"/>
      <c r="G94" s="11" t="s">
        <v>15</v>
      </c>
      <c r="H94" s="15">
        <v>160000.0</v>
      </c>
    </row>
    <row r="95">
      <c r="A95" s="13"/>
      <c r="B95" s="12"/>
      <c r="C95" s="14">
        <v>14.0</v>
      </c>
      <c r="D95" s="11" t="s">
        <v>101</v>
      </c>
      <c r="E95" s="12"/>
      <c r="F95" s="12"/>
      <c r="G95" s="11" t="s">
        <v>15</v>
      </c>
      <c r="H95" s="15">
        <v>300000.0</v>
      </c>
    </row>
    <row r="96">
      <c r="A96" s="13"/>
      <c r="B96" s="12"/>
      <c r="C96" s="14">
        <v>15.0</v>
      </c>
      <c r="D96" s="11" t="s">
        <v>102</v>
      </c>
      <c r="E96" s="12"/>
      <c r="F96" s="12"/>
      <c r="G96" s="11" t="s">
        <v>15</v>
      </c>
      <c r="H96" s="15">
        <v>200000.0</v>
      </c>
    </row>
    <row r="97">
      <c r="A97" s="13"/>
      <c r="B97" s="12"/>
      <c r="C97" s="14">
        <v>16.0</v>
      </c>
      <c r="D97" s="11" t="s">
        <v>103</v>
      </c>
      <c r="E97" s="12"/>
      <c r="F97" s="12"/>
      <c r="G97" s="11" t="s">
        <v>15</v>
      </c>
      <c r="H97" s="15">
        <v>150000.0</v>
      </c>
    </row>
    <row r="98">
      <c r="A98" s="13"/>
      <c r="B98" s="12"/>
      <c r="C98" s="14">
        <v>17.0</v>
      </c>
      <c r="D98" s="11" t="s">
        <v>104</v>
      </c>
      <c r="E98" s="12"/>
      <c r="F98" s="12"/>
      <c r="G98" s="11" t="s">
        <v>15</v>
      </c>
      <c r="H98" s="15">
        <v>150000.0</v>
      </c>
    </row>
    <row r="99">
      <c r="A99" s="13"/>
      <c r="B99" s="12"/>
      <c r="C99" s="12"/>
      <c r="D99" s="12"/>
      <c r="E99" s="12"/>
      <c r="F99" s="12"/>
      <c r="G99" s="12"/>
      <c r="H99" s="12"/>
    </row>
    <row r="100">
      <c r="A100" s="13"/>
      <c r="B100" s="11" t="s">
        <v>80</v>
      </c>
      <c r="C100" s="11" t="s">
        <v>105</v>
      </c>
      <c r="D100" s="12"/>
      <c r="E100" s="12"/>
      <c r="F100" s="12"/>
      <c r="G100" s="12"/>
      <c r="H100" s="12"/>
    </row>
    <row r="101">
      <c r="A101" s="13"/>
      <c r="B101" s="12"/>
      <c r="C101" s="14">
        <v>1.0</v>
      </c>
      <c r="D101" s="11" t="s">
        <v>106</v>
      </c>
      <c r="E101" s="12"/>
      <c r="F101" s="12"/>
      <c r="G101" s="11" t="s">
        <v>15</v>
      </c>
      <c r="H101" s="15">
        <v>30000.0</v>
      </c>
    </row>
    <row r="102">
      <c r="A102" s="13"/>
      <c r="B102" s="12"/>
      <c r="C102" s="14">
        <v>2.0</v>
      </c>
      <c r="D102" s="11" t="s">
        <v>107</v>
      </c>
      <c r="E102" s="12"/>
      <c r="F102" s="12"/>
      <c r="G102" s="11" t="s">
        <v>15</v>
      </c>
      <c r="H102" s="15">
        <v>25000.0</v>
      </c>
    </row>
    <row r="103">
      <c r="A103" s="13"/>
      <c r="B103" s="12"/>
      <c r="C103" s="14">
        <v>3.0</v>
      </c>
      <c r="D103" s="11" t="s">
        <v>54</v>
      </c>
      <c r="E103" s="12"/>
      <c r="F103" s="12"/>
      <c r="G103" s="11" t="s">
        <v>15</v>
      </c>
      <c r="H103" s="15">
        <v>50000.0</v>
      </c>
    </row>
    <row r="104">
      <c r="A104" s="13"/>
      <c r="B104" s="12"/>
      <c r="C104" s="14">
        <v>4.0</v>
      </c>
      <c r="D104" s="11" t="s">
        <v>53</v>
      </c>
      <c r="E104" s="12"/>
      <c r="F104" s="12"/>
      <c r="G104" s="11" t="s">
        <v>15</v>
      </c>
      <c r="H104" s="15">
        <v>50000.0</v>
      </c>
    </row>
    <row r="105">
      <c r="A105" s="13"/>
      <c r="B105" s="12"/>
      <c r="C105" s="14">
        <v>5.0</v>
      </c>
      <c r="D105" s="11" t="s">
        <v>108</v>
      </c>
      <c r="E105" s="12"/>
      <c r="F105" s="12"/>
      <c r="G105" s="11" t="s">
        <v>15</v>
      </c>
      <c r="H105" s="15">
        <v>100000.0</v>
      </c>
    </row>
    <row r="106">
      <c r="A106" s="13"/>
      <c r="B106" s="12"/>
      <c r="C106" s="14">
        <v>6.0</v>
      </c>
      <c r="D106" s="11" t="s">
        <v>109</v>
      </c>
      <c r="E106" s="12"/>
      <c r="F106" s="12"/>
      <c r="G106" s="11" t="s">
        <v>15</v>
      </c>
      <c r="H106" s="15">
        <v>30000.0</v>
      </c>
    </row>
    <row r="107">
      <c r="A107" s="13"/>
      <c r="B107" s="12"/>
      <c r="C107" s="14">
        <v>7.0</v>
      </c>
      <c r="D107" s="11" t="s">
        <v>24</v>
      </c>
      <c r="E107" s="12"/>
      <c r="F107" s="12"/>
      <c r="G107" s="11" t="s">
        <v>15</v>
      </c>
      <c r="H107" s="15">
        <v>90000.0</v>
      </c>
    </row>
    <row r="108">
      <c r="A108" s="13"/>
      <c r="B108" s="12"/>
      <c r="C108" s="14">
        <v>8.0</v>
      </c>
      <c r="D108" s="11" t="s">
        <v>23</v>
      </c>
      <c r="E108" s="12"/>
      <c r="F108" s="12"/>
      <c r="G108" s="11" t="s">
        <v>15</v>
      </c>
      <c r="H108" s="15">
        <v>90000.0</v>
      </c>
    </row>
    <row r="109">
      <c r="A109" s="13"/>
      <c r="B109" s="12"/>
      <c r="C109" s="14">
        <v>9.0</v>
      </c>
      <c r="D109" s="11" t="s">
        <v>110</v>
      </c>
      <c r="E109" s="12"/>
      <c r="F109" s="12"/>
      <c r="G109" s="11" t="s">
        <v>15</v>
      </c>
      <c r="H109" s="15">
        <v>110000.0</v>
      </c>
    </row>
    <row r="110">
      <c r="A110" s="13"/>
      <c r="B110" s="12"/>
      <c r="C110" s="14">
        <v>10.0</v>
      </c>
      <c r="D110" s="11" t="s">
        <v>27</v>
      </c>
      <c r="E110" s="12"/>
      <c r="F110" s="12"/>
      <c r="G110" s="11" t="s">
        <v>15</v>
      </c>
      <c r="H110" s="15">
        <v>90000.0</v>
      </c>
    </row>
    <row r="111">
      <c r="A111" s="13"/>
      <c r="B111" s="12"/>
      <c r="C111" s="14">
        <v>11.0</v>
      </c>
      <c r="D111" s="11" t="s">
        <v>111</v>
      </c>
      <c r="E111" s="12"/>
      <c r="F111" s="12"/>
      <c r="G111" s="11" t="s">
        <v>15</v>
      </c>
      <c r="H111" s="15">
        <v>80000.0</v>
      </c>
    </row>
    <row r="112">
      <c r="A112" s="13"/>
      <c r="B112" s="12"/>
      <c r="C112" s="14">
        <v>12.0</v>
      </c>
      <c r="D112" s="11" t="s">
        <v>112</v>
      </c>
      <c r="E112" s="12"/>
      <c r="F112" s="12"/>
      <c r="G112" s="11" t="s">
        <v>15</v>
      </c>
      <c r="H112" s="15">
        <v>150000.0</v>
      </c>
    </row>
    <row r="113">
      <c r="A113" s="13"/>
      <c r="B113" s="12"/>
      <c r="C113" s="14">
        <v>13.0</v>
      </c>
      <c r="D113" s="11" t="s">
        <v>18</v>
      </c>
      <c r="E113" s="12"/>
      <c r="F113" s="12"/>
      <c r="G113" s="11" t="s">
        <v>15</v>
      </c>
      <c r="H113" s="15">
        <v>350000.0</v>
      </c>
    </row>
    <row r="114">
      <c r="A114" s="13"/>
      <c r="B114" s="12"/>
      <c r="C114" s="14">
        <v>14.0</v>
      </c>
      <c r="D114" s="11" t="s">
        <v>31</v>
      </c>
      <c r="E114" s="12"/>
      <c r="F114" s="12"/>
      <c r="G114" s="11" t="s">
        <v>15</v>
      </c>
      <c r="H114" s="15">
        <v>90000.0</v>
      </c>
    </row>
    <row r="115">
      <c r="A115" s="13"/>
      <c r="B115" s="12"/>
      <c r="C115" s="14">
        <v>15.0</v>
      </c>
      <c r="D115" s="11" t="s">
        <v>32</v>
      </c>
      <c r="E115" s="12"/>
      <c r="F115" s="12"/>
      <c r="G115" s="11" t="s">
        <v>15</v>
      </c>
      <c r="H115" s="15">
        <v>90000.0</v>
      </c>
    </row>
    <row r="116">
      <c r="A116" s="13"/>
      <c r="B116" s="12"/>
      <c r="C116" s="14">
        <v>16.0</v>
      </c>
      <c r="D116" s="11" t="s">
        <v>33</v>
      </c>
      <c r="E116" s="12"/>
      <c r="F116" s="12"/>
      <c r="G116" s="11" t="s">
        <v>15</v>
      </c>
      <c r="H116" s="15">
        <v>90000.0</v>
      </c>
    </row>
    <row r="117">
      <c r="A117" s="13"/>
      <c r="B117" s="12"/>
      <c r="C117" s="14">
        <v>17.0</v>
      </c>
      <c r="D117" s="11" t="s">
        <v>40</v>
      </c>
      <c r="E117" s="12"/>
      <c r="F117" s="12"/>
      <c r="G117" s="11" t="s">
        <v>15</v>
      </c>
      <c r="H117" s="15">
        <v>300000.0</v>
      </c>
    </row>
    <row r="118">
      <c r="A118" s="13"/>
      <c r="B118" s="12"/>
      <c r="C118" s="14">
        <v>18.0</v>
      </c>
      <c r="D118" s="11" t="s">
        <v>113</v>
      </c>
      <c r="E118" s="12"/>
      <c r="F118" s="12"/>
      <c r="G118" s="12"/>
      <c r="H118" s="12"/>
    </row>
    <row r="119">
      <c r="A119" s="13"/>
      <c r="B119" s="12"/>
      <c r="C119" s="14">
        <v>19.0</v>
      </c>
      <c r="D119" s="11" t="s">
        <v>114</v>
      </c>
      <c r="E119" s="12"/>
      <c r="F119" s="12"/>
      <c r="G119" s="11" t="s">
        <v>15</v>
      </c>
      <c r="H119" s="15">
        <v>200000.0</v>
      </c>
    </row>
    <row r="120">
      <c r="A120" s="13"/>
      <c r="B120" s="12"/>
      <c r="C120" s="14">
        <v>20.0</v>
      </c>
      <c r="D120" s="11" t="s">
        <v>115</v>
      </c>
      <c r="E120" s="12"/>
      <c r="F120" s="12"/>
      <c r="G120" s="11" t="s">
        <v>15</v>
      </c>
      <c r="H120" s="15">
        <v>200000.0</v>
      </c>
    </row>
    <row r="121">
      <c r="A121" s="13"/>
      <c r="B121" s="12"/>
      <c r="C121" s="14">
        <v>21.0</v>
      </c>
      <c r="D121" s="11" t="s">
        <v>116</v>
      </c>
      <c r="E121" s="12"/>
      <c r="F121" s="12"/>
      <c r="G121" s="11" t="s">
        <v>15</v>
      </c>
      <c r="H121" s="15">
        <v>150000.0</v>
      </c>
    </row>
    <row r="122">
      <c r="A122" s="13"/>
      <c r="B122" s="12"/>
      <c r="C122" s="14">
        <v>22.0</v>
      </c>
      <c r="D122" s="11" t="s">
        <v>117</v>
      </c>
      <c r="E122" s="12"/>
      <c r="F122" s="12"/>
      <c r="G122" s="11" t="s">
        <v>15</v>
      </c>
      <c r="H122" s="15">
        <v>600000.0</v>
      </c>
    </row>
    <row r="123">
      <c r="A123" s="13"/>
      <c r="B123" s="12"/>
      <c r="C123" s="14">
        <v>23.0</v>
      </c>
      <c r="D123" s="11" t="s">
        <v>118</v>
      </c>
      <c r="E123" s="12"/>
      <c r="F123" s="12"/>
      <c r="G123" s="11" t="s">
        <v>15</v>
      </c>
      <c r="H123" s="15">
        <v>60000.0</v>
      </c>
    </row>
    <row r="124">
      <c r="A124" s="13"/>
      <c r="B124" s="12"/>
      <c r="C124" s="14">
        <v>24.0</v>
      </c>
      <c r="D124" s="11" t="s">
        <v>119</v>
      </c>
      <c r="E124" s="12"/>
      <c r="F124" s="12"/>
      <c r="G124" s="11" t="s">
        <v>15</v>
      </c>
      <c r="H124" s="15">
        <v>110000.0</v>
      </c>
    </row>
    <row r="125">
      <c r="A125" s="13"/>
      <c r="B125" s="12"/>
      <c r="C125" s="14">
        <v>25.0</v>
      </c>
      <c r="D125" s="11" t="s">
        <v>120</v>
      </c>
      <c r="E125" s="12"/>
      <c r="F125" s="12"/>
      <c r="G125" s="11" t="s">
        <v>15</v>
      </c>
      <c r="H125" s="15">
        <v>110000.0</v>
      </c>
    </row>
    <row r="126">
      <c r="A126" s="13"/>
      <c r="B126" s="12"/>
      <c r="C126" s="14">
        <v>26.0</v>
      </c>
      <c r="D126" s="11" t="s">
        <v>121</v>
      </c>
      <c r="E126" s="12"/>
      <c r="F126" s="12"/>
      <c r="G126" s="11" t="s">
        <v>15</v>
      </c>
      <c r="H126" s="15">
        <v>130000.0</v>
      </c>
    </row>
    <row r="127">
      <c r="A127" s="13"/>
      <c r="B127" s="12"/>
      <c r="C127" s="14">
        <v>27.0</v>
      </c>
      <c r="D127" s="11" t="s">
        <v>122</v>
      </c>
      <c r="E127" s="12"/>
      <c r="F127" s="12"/>
      <c r="G127" s="11" t="s">
        <v>15</v>
      </c>
      <c r="H127" s="15">
        <v>150000.0</v>
      </c>
    </row>
    <row r="128">
      <c r="A128" s="13"/>
      <c r="B128" s="12"/>
      <c r="C128" s="14">
        <v>28.0</v>
      </c>
      <c r="D128" s="11" t="s">
        <v>123</v>
      </c>
      <c r="E128" s="12"/>
      <c r="F128" s="12"/>
      <c r="G128" s="11" t="s">
        <v>15</v>
      </c>
      <c r="H128" s="15">
        <v>400000.0</v>
      </c>
    </row>
    <row r="129">
      <c r="A129" s="13"/>
      <c r="B129" s="12"/>
      <c r="C129" s="14">
        <v>29.0</v>
      </c>
      <c r="D129" s="11" t="s">
        <v>62</v>
      </c>
      <c r="E129" s="12"/>
      <c r="F129" s="12"/>
      <c r="G129" s="11" t="s">
        <v>15</v>
      </c>
      <c r="H129" s="15">
        <v>100000.0</v>
      </c>
    </row>
    <row r="130">
      <c r="A130" s="13"/>
      <c r="B130" s="12"/>
      <c r="C130" s="14">
        <v>30.0</v>
      </c>
      <c r="D130" s="11" t="s">
        <v>124</v>
      </c>
      <c r="E130" s="12"/>
      <c r="F130" s="12"/>
      <c r="G130" s="12"/>
      <c r="H130" s="12"/>
    </row>
    <row r="131">
      <c r="A131" s="13"/>
      <c r="B131" s="12"/>
      <c r="C131" s="14">
        <v>31.0</v>
      </c>
      <c r="D131" s="11" t="s">
        <v>36</v>
      </c>
      <c r="E131" s="12"/>
      <c r="F131" s="12"/>
      <c r="G131" s="11" t="s">
        <v>15</v>
      </c>
      <c r="H131" s="15">
        <v>110000.0</v>
      </c>
    </row>
    <row r="132">
      <c r="A132" s="13"/>
      <c r="B132" s="12"/>
      <c r="C132" s="14">
        <v>32.0</v>
      </c>
      <c r="D132" s="11" t="s">
        <v>33</v>
      </c>
      <c r="E132" s="12"/>
      <c r="F132" s="12"/>
      <c r="G132" s="11" t="s">
        <v>15</v>
      </c>
      <c r="H132" s="15">
        <v>110000.0</v>
      </c>
    </row>
    <row r="133">
      <c r="A133" s="13"/>
      <c r="B133" s="12"/>
      <c r="C133" s="14">
        <v>33.0</v>
      </c>
      <c r="D133" s="11" t="s">
        <v>34</v>
      </c>
      <c r="E133" s="12"/>
      <c r="F133" s="12"/>
      <c r="G133" s="11" t="s">
        <v>15</v>
      </c>
      <c r="H133" s="15">
        <v>110000.0</v>
      </c>
    </row>
    <row r="134">
      <c r="A134" s="13"/>
      <c r="B134" s="12"/>
      <c r="C134" s="14">
        <v>34.0</v>
      </c>
      <c r="D134" s="11" t="s">
        <v>125</v>
      </c>
      <c r="E134" s="12"/>
      <c r="F134" s="12"/>
      <c r="G134" s="11" t="s">
        <v>15</v>
      </c>
      <c r="H134" s="15">
        <v>160000.0</v>
      </c>
    </row>
    <row r="135">
      <c r="A135" s="13"/>
      <c r="B135" s="12"/>
      <c r="C135" s="14">
        <v>35.0</v>
      </c>
      <c r="D135" s="11" t="s">
        <v>126</v>
      </c>
      <c r="E135" s="12"/>
      <c r="F135" s="12"/>
      <c r="G135" s="11" t="s">
        <v>15</v>
      </c>
      <c r="H135" s="15">
        <v>80000.0</v>
      </c>
    </row>
    <row r="136">
      <c r="A136" s="13"/>
      <c r="B136" s="12"/>
      <c r="C136" s="14">
        <v>36.0</v>
      </c>
      <c r="D136" s="11" t="s">
        <v>127</v>
      </c>
      <c r="E136" s="12"/>
      <c r="F136" s="12"/>
      <c r="G136" s="11" t="s">
        <v>15</v>
      </c>
      <c r="H136" s="15">
        <v>80000.0</v>
      </c>
    </row>
    <row r="137">
      <c r="A137" s="13"/>
      <c r="B137" s="12"/>
      <c r="C137" s="14">
        <v>37.0</v>
      </c>
      <c r="D137" s="11" t="s">
        <v>128</v>
      </c>
      <c r="E137" s="12"/>
      <c r="F137" s="12"/>
      <c r="G137" s="11" t="s">
        <v>15</v>
      </c>
      <c r="H137" s="15">
        <v>80000.0</v>
      </c>
    </row>
    <row r="138">
      <c r="A138" s="13"/>
      <c r="B138" s="12"/>
      <c r="C138" s="12"/>
      <c r="D138" s="12"/>
      <c r="E138" s="12"/>
      <c r="F138" s="12"/>
      <c r="G138" s="12"/>
      <c r="H138" s="12"/>
    </row>
    <row r="139">
      <c r="A139" s="13"/>
      <c r="B139" s="11" t="s">
        <v>129</v>
      </c>
      <c r="C139" s="11" t="s">
        <v>130</v>
      </c>
      <c r="D139" s="12"/>
      <c r="E139" s="12"/>
      <c r="F139" s="12"/>
      <c r="G139" s="12"/>
      <c r="H139" s="12"/>
    </row>
    <row r="140">
      <c r="A140" s="13"/>
      <c r="B140" s="12"/>
      <c r="C140" s="14">
        <v>1.0</v>
      </c>
      <c r="D140" s="11" t="s">
        <v>131</v>
      </c>
      <c r="E140" s="12"/>
      <c r="F140" s="12"/>
      <c r="G140" s="11" t="s">
        <v>15</v>
      </c>
      <c r="H140" s="15">
        <v>100000.0</v>
      </c>
    </row>
    <row r="141">
      <c r="A141" s="13"/>
      <c r="B141" s="12"/>
      <c r="C141" s="14">
        <v>2.0</v>
      </c>
      <c r="D141" s="11" t="s">
        <v>132</v>
      </c>
      <c r="E141" s="12"/>
      <c r="F141" s="12"/>
      <c r="G141" s="11" t="s">
        <v>15</v>
      </c>
      <c r="H141" s="15">
        <v>150000.0</v>
      </c>
    </row>
    <row r="142">
      <c r="A142" s="13"/>
      <c r="B142" s="12"/>
      <c r="C142" s="14">
        <v>3.0</v>
      </c>
      <c r="D142" s="11" t="s">
        <v>133</v>
      </c>
      <c r="E142" s="12"/>
      <c r="F142" s="12"/>
      <c r="G142" s="11" t="s">
        <v>15</v>
      </c>
      <c r="H142" s="15">
        <v>100000.0</v>
      </c>
    </row>
    <row r="143">
      <c r="A143" s="13"/>
      <c r="B143" s="12"/>
      <c r="C143" s="14">
        <v>4.0</v>
      </c>
      <c r="D143" s="11" t="s">
        <v>134</v>
      </c>
      <c r="E143" s="12"/>
      <c r="F143" s="12"/>
      <c r="G143" s="11" t="s">
        <v>15</v>
      </c>
      <c r="H143" s="15">
        <v>120000.0</v>
      </c>
    </row>
    <row r="144">
      <c r="A144" s="13"/>
      <c r="B144" s="12"/>
      <c r="C144" s="12"/>
      <c r="D144" s="12"/>
      <c r="E144" s="12"/>
      <c r="F144" s="12"/>
      <c r="G144" s="12"/>
      <c r="H144" s="12"/>
    </row>
    <row r="145">
      <c r="A145" s="13"/>
      <c r="B145" s="11" t="s">
        <v>135</v>
      </c>
      <c r="C145" s="11" t="s">
        <v>136</v>
      </c>
      <c r="D145" s="12"/>
      <c r="E145" s="12"/>
      <c r="F145" s="12"/>
      <c r="G145" s="12"/>
      <c r="H145" s="12"/>
    </row>
    <row r="146">
      <c r="A146" s="13"/>
      <c r="B146" s="12"/>
      <c r="C146" s="14">
        <v>1.0</v>
      </c>
      <c r="D146" s="11" t="s">
        <v>137</v>
      </c>
      <c r="E146" s="12"/>
      <c r="F146" s="12"/>
      <c r="G146" s="11" t="s">
        <v>15</v>
      </c>
      <c r="H146" s="15">
        <v>100000.0</v>
      </c>
    </row>
    <row r="147">
      <c r="A147" s="13"/>
      <c r="B147" s="12"/>
      <c r="C147" s="14">
        <v>2.0</v>
      </c>
      <c r="D147" s="11" t="s">
        <v>138</v>
      </c>
      <c r="E147" s="12"/>
      <c r="F147" s="12"/>
      <c r="G147" s="11" t="s">
        <v>15</v>
      </c>
      <c r="H147" s="15">
        <v>150000.0</v>
      </c>
    </row>
    <row r="148">
      <c r="A148" s="13"/>
      <c r="B148" s="12"/>
      <c r="C148" s="14">
        <v>3.0</v>
      </c>
      <c r="D148" s="11" t="s">
        <v>139</v>
      </c>
      <c r="E148" s="12"/>
      <c r="F148" s="12"/>
      <c r="G148" s="11" t="s">
        <v>15</v>
      </c>
      <c r="H148" s="15">
        <v>100000.0</v>
      </c>
    </row>
    <row r="149">
      <c r="A149" s="13"/>
      <c r="B149" s="12"/>
      <c r="C149" s="14">
        <v>4.0</v>
      </c>
      <c r="D149" s="11" t="s">
        <v>140</v>
      </c>
      <c r="E149" s="12"/>
      <c r="F149" s="12"/>
      <c r="G149" s="11" t="s">
        <v>15</v>
      </c>
      <c r="H149" s="15">
        <v>150000.0</v>
      </c>
    </row>
    <row r="150">
      <c r="A150" s="13"/>
      <c r="B150" s="12"/>
      <c r="C150" s="14">
        <v>5.0</v>
      </c>
      <c r="D150" s="11" t="s">
        <v>141</v>
      </c>
      <c r="E150" s="12"/>
      <c r="F150" s="12"/>
      <c r="G150" s="11" t="s">
        <v>15</v>
      </c>
      <c r="H150" s="15">
        <v>150000.0</v>
      </c>
    </row>
    <row r="151">
      <c r="A151" s="13"/>
      <c r="B151" s="12"/>
      <c r="C151" s="14">
        <v>6.0</v>
      </c>
      <c r="D151" s="11" t="s">
        <v>142</v>
      </c>
      <c r="E151" s="12"/>
      <c r="F151" s="12"/>
      <c r="G151" s="11" t="s">
        <v>15</v>
      </c>
      <c r="H151" s="15">
        <v>325000.0</v>
      </c>
    </row>
    <row r="152">
      <c r="A152" s="13"/>
      <c r="B152" s="12"/>
      <c r="C152" s="14">
        <v>7.0</v>
      </c>
      <c r="D152" s="11" t="s">
        <v>143</v>
      </c>
      <c r="E152" s="12"/>
      <c r="F152" s="12"/>
      <c r="G152" s="11" t="s">
        <v>15</v>
      </c>
      <c r="H152" s="15">
        <v>110000.0</v>
      </c>
    </row>
    <row r="153">
      <c r="A153" s="13"/>
      <c r="B153" s="12"/>
      <c r="C153" s="14">
        <v>8.0</v>
      </c>
      <c r="D153" s="11" t="s">
        <v>144</v>
      </c>
      <c r="E153" s="12"/>
      <c r="F153" s="12"/>
      <c r="G153" s="11" t="s">
        <v>15</v>
      </c>
      <c r="H153" s="15">
        <v>110000.0</v>
      </c>
    </row>
    <row r="154">
      <c r="A154" s="13"/>
      <c r="B154" s="12"/>
      <c r="C154" s="14">
        <v>9.0</v>
      </c>
      <c r="D154" s="11" t="s">
        <v>145</v>
      </c>
      <c r="E154" s="12"/>
      <c r="F154" s="12"/>
      <c r="G154" s="11" t="s">
        <v>15</v>
      </c>
      <c r="H154" s="15">
        <v>300000.0</v>
      </c>
    </row>
    <row r="155">
      <c r="A155" s="13"/>
      <c r="B155" s="12"/>
      <c r="C155" s="14">
        <v>10.0</v>
      </c>
      <c r="D155" s="11" t="s">
        <v>146</v>
      </c>
      <c r="E155" s="12"/>
      <c r="F155" s="12"/>
      <c r="G155" s="11" t="s">
        <v>15</v>
      </c>
      <c r="H155" s="15">
        <v>200000.0</v>
      </c>
    </row>
    <row r="156">
      <c r="A156" s="13"/>
      <c r="B156" s="12"/>
      <c r="C156" s="12"/>
      <c r="D156" s="12"/>
      <c r="E156" s="12"/>
      <c r="F156" s="12"/>
      <c r="G156" s="12"/>
      <c r="H156" s="12"/>
    </row>
    <row r="157">
      <c r="A157" s="13"/>
      <c r="B157" s="11" t="s">
        <v>147</v>
      </c>
      <c r="C157" s="11" t="s">
        <v>148</v>
      </c>
      <c r="D157" s="12"/>
      <c r="E157" s="12"/>
      <c r="F157" s="12"/>
      <c r="G157" s="12"/>
      <c r="H157" s="12"/>
    </row>
    <row r="158">
      <c r="A158" s="13"/>
      <c r="B158" s="12"/>
      <c r="C158" s="14">
        <v>1.0</v>
      </c>
      <c r="D158" s="11" t="s">
        <v>149</v>
      </c>
      <c r="E158" s="12"/>
      <c r="F158" s="12"/>
      <c r="G158" s="12"/>
      <c r="H158" s="12"/>
    </row>
    <row r="159">
      <c r="A159" s="13"/>
      <c r="B159" s="12"/>
      <c r="C159" s="12"/>
      <c r="D159" s="11" t="s">
        <v>150</v>
      </c>
      <c r="E159" s="11" t="s">
        <v>151</v>
      </c>
      <c r="F159" s="12"/>
      <c r="G159" s="12"/>
      <c r="H159" s="12"/>
    </row>
    <row r="160">
      <c r="A160" s="13"/>
      <c r="B160" s="12"/>
      <c r="C160" s="12"/>
      <c r="D160" s="12"/>
      <c r="E160" s="11" t="s">
        <v>152</v>
      </c>
      <c r="F160" s="12"/>
      <c r="G160" s="11" t="s">
        <v>15</v>
      </c>
      <c r="H160" s="15">
        <v>100000.0</v>
      </c>
    </row>
    <row r="161">
      <c r="A161" s="13"/>
      <c r="B161" s="12"/>
      <c r="C161" s="12"/>
      <c r="D161" s="12"/>
      <c r="E161" s="11" t="s">
        <v>153</v>
      </c>
      <c r="F161" s="12"/>
      <c r="G161" s="11" t="s">
        <v>15</v>
      </c>
      <c r="H161" s="15">
        <v>100000.0</v>
      </c>
    </row>
    <row r="162">
      <c r="A162" s="13"/>
      <c r="B162" s="12"/>
      <c r="C162" s="12"/>
      <c r="D162" s="12"/>
      <c r="E162" s="11" t="s">
        <v>154</v>
      </c>
      <c r="F162" s="12"/>
      <c r="G162" s="12"/>
      <c r="H162" s="12"/>
    </row>
    <row r="163">
      <c r="A163" s="13"/>
      <c r="B163" s="12"/>
      <c r="C163" s="12"/>
      <c r="D163" s="12"/>
      <c r="E163" s="11" t="s">
        <v>155</v>
      </c>
      <c r="F163" s="11" t="s">
        <v>156</v>
      </c>
      <c r="G163" s="11" t="s">
        <v>15</v>
      </c>
      <c r="H163" s="15">
        <v>200000.0</v>
      </c>
    </row>
    <row r="164">
      <c r="A164" s="13"/>
      <c r="B164" s="12"/>
      <c r="C164" s="12"/>
      <c r="D164" s="12"/>
      <c r="E164" s="11" t="s">
        <v>155</v>
      </c>
      <c r="F164" s="11" t="s">
        <v>157</v>
      </c>
      <c r="G164" s="11" t="s">
        <v>15</v>
      </c>
      <c r="H164" s="15">
        <v>150000.0</v>
      </c>
    </row>
    <row r="165">
      <c r="A165" s="13"/>
      <c r="B165" s="12"/>
      <c r="C165" s="12"/>
      <c r="D165" s="12"/>
      <c r="E165" s="11" t="s">
        <v>155</v>
      </c>
      <c r="F165" s="11" t="s">
        <v>158</v>
      </c>
      <c r="G165" s="11" t="s">
        <v>15</v>
      </c>
      <c r="H165" s="15">
        <v>200000.0</v>
      </c>
    </row>
    <row r="166">
      <c r="A166" s="13"/>
      <c r="B166" s="12"/>
      <c r="C166" s="12"/>
      <c r="D166" s="12"/>
      <c r="E166" s="11" t="s">
        <v>155</v>
      </c>
      <c r="F166" s="11" t="s">
        <v>159</v>
      </c>
      <c r="G166" s="11" t="s">
        <v>15</v>
      </c>
      <c r="H166" s="15">
        <v>200000.0</v>
      </c>
    </row>
    <row r="167">
      <c r="A167" s="13"/>
      <c r="B167" s="12"/>
      <c r="C167" s="12"/>
      <c r="D167" s="12"/>
      <c r="E167" s="11" t="s">
        <v>155</v>
      </c>
      <c r="F167" s="11" t="s">
        <v>160</v>
      </c>
      <c r="G167" s="11" t="s">
        <v>15</v>
      </c>
      <c r="H167" s="15">
        <v>400000.0</v>
      </c>
    </row>
    <row r="168">
      <c r="A168" s="13"/>
      <c r="B168" s="12"/>
      <c r="C168" s="12"/>
      <c r="D168" s="12"/>
      <c r="E168" s="11" t="s">
        <v>155</v>
      </c>
      <c r="F168" s="11" t="s">
        <v>161</v>
      </c>
      <c r="G168" s="11" t="s">
        <v>15</v>
      </c>
      <c r="H168" s="15">
        <v>400000.0</v>
      </c>
    </row>
    <row r="169">
      <c r="A169" s="13"/>
      <c r="B169" s="12"/>
      <c r="C169" s="12"/>
      <c r="D169" s="12"/>
      <c r="E169" s="11" t="s">
        <v>155</v>
      </c>
      <c r="F169" s="11" t="s">
        <v>162</v>
      </c>
      <c r="G169" s="11" t="s">
        <v>15</v>
      </c>
      <c r="H169" s="15">
        <v>400000.0</v>
      </c>
    </row>
    <row r="170">
      <c r="A170" s="13"/>
      <c r="B170" s="12"/>
      <c r="C170" s="12"/>
      <c r="D170" s="12"/>
      <c r="E170" s="11" t="s">
        <v>163</v>
      </c>
      <c r="F170" s="12"/>
      <c r="G170" s="11" t="s">
        <v>15</v>
      </c>
      <c r="H170" s="15">
        <v>680000.0</v>
      </c>
    </row>
    <row r="171">
      <c r="A171" s="13"/>
      <c r="B171" s="12"/>
      <c r="C171" s="12"/>
      <c r="D171" s="12"/>
      <c r="E171" s="11" t="s">
        <v>163</v>
      </c>
      <c r="F171" s="12"/>
      <c r="G171" s="11" t="s">
        <v>15</v>
      </c>
      <c r="H171" s="15">
        <v>340000.0</v>
      </c>
    </row>
    <row r="172">
      <c r="A172" s="13"/>
      <c r="B172" s="12"/>
      <c r="C172" s="12"/>
      <c r="D172" s="12"/>
      <c r="E172" s="11" t="s">
        <v>164</v>
      </c>
      <c r="F172" s="12"/>
      <c r="G172" s="12"/>
      <c r="H172" s="12"/>
    </row>
    <row r="173">
      <c r="A173" s="13"/>
      <c r="B173" s="12"/>
      <c r="C173" s="12"/>
      <c r="D173" s="12"/>
      <c r="E173" s="11" t="s">
        <v>155</v>
      </c>
      <c r="F173" s="11" t="s">
        <v>36</v>
      </c>
      <c r="G173" s="11" t="s">
        <v>15</v>
      </c>
      <c r="H173" s="15">
        <v>90000.0</v>
      </c>
    </row>
    <row r="174">
      <c r="A174" s="13"/>
      <c r="B174" s="12"/>
      <c r="C174" s="12"/>
      <c r="D174" s="12"/>
      <c r="E174" s="11" t="s">
        <v>155</v>
      </c>
      <c r="F174" s="11" t="s">
        <v>34</v>
      </c>
      <c r="G174" s="11" t="s">
        <v>15</v>
      </c>
      <c r="H174" s="15">
        <v>90000.0</v>
      </c>
    </row>
    <row r="175">
      <c r="A175" s="13"/>
      <c r="B175" s="12"/>
      <c r="C175" s="12"/>
      <c r="D175" s="12"/>
      <c r="E175" s="11" t="s">
        <v>155</v>
      </c>
      <c r="F175" s="11" t="s">
        <v>165</v>
      </c>
      <c r="G175" s="11" t="s">
        <v>15</v>
      </c>
      <c r="H175" s="15">
        <v>160000.0</v>
      </c>
    </row>
    <row r="176">
      <c r="A176" s="13"/>
      <c r="B176" s="12"/>
      <c r="C176" s="12"/>
      <c r="D176" s="12"/>
      <c r="E176" s="11" t="s">
        <v>155</v>
      </c>
      <c r="F176" s="11" t="s">
        <v>40</v>
      </c>
      <c r="G176" s="11" t="s">
        <v>15</v>
      </c>
      <c r="H176" s="15">
        <v>300000.0</v>
      </c>
    </row>
    <row r="177">
      <c r="A177" s="13"/>
      <c r="B177" s="12"/>
      <c r="C177" s="12"/>
      <c r="D177" s="12"/>
      <c r="E177" s="11" t="s">
        <v>166</v>
      </c>
      <c r="F177" s="12"/>
      <c r="G177" s="11" t="s">
        <v>15</v>
      </c>
      <c r="H177" s="15">
        <v>300000.0</v>
      </c>
    </row>
    <row r="178">
      <c r="A178" s="13"/>
      <c r="B178" s="12"/>
      <c r="C178" s="12"/>
      <c r="D178" s="12"/>
      <c r="E178" s="12"/>
      <c r="F178" s="12"/>
      <c r="G178" s="12"/>
      <c r="H178" s="12"/>
    </row>
    <row r="179">
      <c r="A179" s="13"/>
      <c r="B179" s="12"/>
      <c r="C179" s="12"/>
      <c r="D179" s="11" t="s">
        <v>167</v>
      </c>
      <c r="E179" s="11" t="s">
        <v>168</v>
      </c>
      <c r="F179" s="12"/>
      <c r="G179" s="12"/>
      <c r="H179" s="12"/>
    </row>
    <row r="180">
      <c r="A180" s="13"/>
      <c r="B180" s="12"/>
      <c r="C180" s="12"/>
      <c r="D180" s="12"/>
      <c r="E180" s="11" t="s">
        <v>152</v>
      </c>
      <c r="F180" s="12"/>
      <c r="G180" s="11" t="s">
        <v>15</v>
      </c>
      <c r="H180" s="15">
        <v>100000.0</v>
      </c>
    </row>
    <row r="181">
      <c r="A181" s="13"/>
      <c r="B181" s="12"/>
      <c r="C181" s="12"/>
      <c r="D181" s="12"/>
      <c r="E181" s="11" t="s">
        <v>138</v>
      </c>
      <c r="F181" s="12"/>
      <c r="G181" s="11" t="s">
        <v>15</v>
      </c>
      <c r="H181" s="15">
        <v>100000.0</v>
      </c>
    </row>
    <row r="182">
      <c r="A182" s="13"/>
      <c r="B182" s="12"/>
      <c r="C182" s="12"/>
      <c r="D182" s="12"/>
      <c r="E182" s="11" t="s">
        <v>154</v>
      </c>
      <c r="F182" s="12"/>
      <c r="G182" s="12"/>
      <c r="H182" s="12"/>
    </row>
    <row r="183">
      <c r="A183" s="13"/>
      <c r="B183" s="12"/>
      <c r="C183" s="12"/>
      <c r="D183" s="12"/>
      <c r="E183" s="11" t="s">
        <v>155</v>
      </c>
      <c r="F183" s="11" t="s">
        <v>156</v>
      </c>
      <c r="G183" s="11" t="s">
        <v>15</v>
      </c>
      <c r="H183" s="15">
        <v>100000.0</v>
      </c>
    </row>
    <row r="184">
      <c r="A184" s="13"/>
      <c r="B184" s="12"/>
      <c r="C184" s="12"/>
      <c r="D184" s="12"/>
      <c r="E184" s="11" t="s">
        <v>155</v>
      </c>
      <c r="F184" s="11" t="s">
        <v>157</v>
      </c>
      <c r="G184" s="11" t="s">
        <v>15</v>
      </c>
      <c r="H184" s="15">
        <v>150000.0</v>
      </c>
    </row>
    <row r="185">
      <c r="A185" s="13"/>
      <c r="B185" s="12"/>
      <c r="C185" s="12"/>
      <c r="D185" s="12"/>
      <c r="E185" s="11" t="s">
        <v>155</v>
      </c>
      <c r="F185" s="11" t="s">
        <v>158</v>
      </c>
      <c r="G185" s="11" t="s">
        <v>15</v>
      </c>
      <c r="H185" s="15">
        <v>200000.0</v>
      </c>
    </row>
    <row r="186">
      <c r="A186" s="13"/>
      <c r="B186" s="12"/>
      <c r="C186" s="12"/>
      <c r="D186" s="12"/>
      <c r="E186" s="11" t="s">
        <v>155</v>
      </c>
      <c r="F186" s="11" t="s">
        <v>159</v>
      </c>
      <c r="G186" s="11" t="s">
        <v>15</v>
      </c>
      <c r="H186" s="15">
        <v>200000.0</v>
      </c>
    </row>
    <row r="187">
      <c r="A187" s="13"/>
      <c r="B187" s="12"/>
      <c r="C187" s="12"/>
      <c r="D187" s="12"/>
      <c r="E187" s="11" t="s">
        <v>155</v>
      </c>
      <c r="F187" s="11" t="s">
        <v>160</v>
      </c>
      <c r="G187" s="11" t="s">
        <v>15</v>
      </c>
      <c r="H187" s="15">
        <v>400000.0</v>
      </c>
    </row>
    <row r="188">
      <c r="A188" s="13"/>
      <c r="B188" s="12"/>
      <c r="C188" s="12"/>
      <c r="D188" s="12"/>
      <c r="E188" s="11" t="s">
        <v>155</v>
      </c>
      <c r="F188" s="11" t="s">
        <v>161</v>
      </c>
      <c r="G188" s="11" t="s">
        <v>15</v>
      </c>
      <c r="H188" s="15">
        <v>400000.0</v>
      </c>
    </row>
    <row r="189">
      <c r="A189" s="13"/>
      <c r="B189" s="12"/>
      <c r="C189" s="12"/>
      <c r="D189" s="12"/>
      <c r="E189" s="11" t="s">
        <v>155</v>
      </c>
      <c r="F189" s="11" t="s">
        <v>162</v>
      </c>
      <c r="G189" s="11" t="s">
        <v>15</v>
      </c>
      <c r="H189" s="15">
        <v>400000.0</v>
      </c>
    </row>
    <row r="190">
      <c r="A190" s="13"/>
      <c r="B190" s="12"/>
      <c r="C190" s="12"/>
      <c r="D190" s="12"/>
      <c r="E190" s="11" t="s">
        <v>163</v>
      </c>
      <c r="F190" s="12"/>
      <c r="G190" s="11" t="s">
        <v>15</v>
      </c>
      <c r="H190" s="15">
        <v>680000.0</v>
      </c>
    </row>
    <row r="191">
      <c r="A191" s="13"/>
      <c r="B191" s="12"/>
      <c r="C191" s="12"/>
      <c r="D191" s="12"/>
      <c r="E191" s="11" t="s">
        <v>163</v>
      </c>
      <c r="F191" s="12"/>
      <c r="G191" s="11" t="s">
        <v>15</v>
      </c>
      <c r="H191" s="15">
        <v>340000.0</v>
      </c>
    </row>
    <row r="192">
      <c r="A192" s="13"/>
      <c r="B192" s="12"/>
      <c r="C192" s="12"/>
      <c r="D192" s="12"/>
      <c r="E192" s="11" t="s">
        <v>164</v>
      </c>
      <c r="F192" s="12"/>
      <c r="G192" s="12"/>
      <c r="H192" s="12"/>
    </row>
    <row r="193">
      <c r="A193" s="13"/>
      <c r="B193" s="12"/>
      <c r="C193" s="12"/>
      <c r="D193" s="12"/>
      <c r="E193" s="11" t="s">
        <v>155</v>
      </c>
      <c r="F193" s="11" t="s">
        <v>36</v>
      </c>
      <c r="G193" s="11" t="s">
        <v>15</v>
      </c>
      <c r="H193" s="15">
        <v>90000.0</v>
      </c>
    </row>
    <row r="194">
      <c r="A194" s="13"/>
      <c r="B194" s="12"/>
      <c r="C194" s="12"/>
      <c r="D194" s="12"/>
      <c r="E194" s="11" t="s">
        <v>155</v>
      </c>
      <c r="F194" s="11" t="s">
        <v>34</v>
      </c>
      <c r="G194" s="11" t="s">
        <v>15</v>
      </c>
      <c r="H194" s="15">
        <v>90000.0</v>
      </c>
    </row>
    <row r="195">
      <c r="A195" s="13"/>
      <c r="B195" s="12"/>
      <c r="C195" s="12"/>
      <c r="D195" s="12"/>
      <c r="E195" s="11" t="s">
        <v>155</v>
      </c>
      <c r="F195" s="11" t="s">
        <v>165</v>
      </c>
      <c r="G195" s="11" t="s">
        <v>15</v>
      </c>
      <c r="H195" s="15">
        <v>160000.0</v>
      </c>
    </row>
    <row r="196">
      <c r="A196" s="13"/>
      <c r="B196" s="12"/>
      <c r="C196" s="12"/>
      <c r="D196" s="12"/>
      <c r="E196" s="11" t="s">
        <v>155</v>
      </c>
      <c r="F196" s="11" t="s">
        <v>40</v>
      </c>
      <c r="G196" s="11" t="s">
        <v>15</v>
      </c>
      <c r="H196" s="15">
        <v>300000.0</v>
      </c>
    </row>
    <row r="197">
      <c r="A197" s="13"/>
      <c r="B197" s="12"/>
      <c r="C197" s="12"/>
      <c r="D197" s="12"/>
      <c r="E197" s="11" t="s">
        <v>166</v>
      </c>
      <c r="F197" s="12"/>
      <c r="G197" s="11" t="s">
        <v>15</v>
      </c>
      <c r="H197" s="15">
        <v>300000.0</v>
      </c>
    </row>
    <row r="198">
      <c r="A198" s="13"/>
      <c r="B198" s="12"/>
      <c r="C198" s="12"/>
      <c r="D198" s="11" t="s">
        <v>169</v>
      </c>
      <c r="E198" s="11" t="s">
        <v>170</v>
      </c>
      <c r="F198" s="12"/>
      <c r="G198" s="12"/>
      <c r="H198" s="12"/>
    </row>
    <row r="199">
      <c r="A199" s="13"/>
      <c r="B199" s="12"/>
      <c r="C199" s="12"/>
      <c r="D199" s="12"/>
      <c r="E199" s="11" t="s">
        <v>152</v>
      </c>
      <c r="F199" s="12"/>
      <c r="G199" s="11" t="s">
        <v>15</v>
      </c>
      <c r="H199" s="15">
        <v>100000.0</v>
      </c>
    </row>
    <row r="200">
      <c r="A200" s="13"/>
      <c r="B200" s="12"/>
      <c r="C200" s="12"/>
      <c r="D200" s="12"/>
      <c r="E200" s="11" t="s">
        <v>138</v>
      </c>
      <c r="F200" s="12"/>
      <c r="G200" s="11" t="s">
        <v>15</v>
      </c>
      <c r="H200" s="15">
        <v>100000.0</v>
      </c>
    </row>
    <row r="201">
      <c r="A201" s="13"/>
      <c r="B201" s="12"/>
      <c r="C201" s="12"/>
      <c r="D201" s="12"/>
      <c r="E201" s="11" t="s">
        <v>171</v>
      </c>
      <c r="F201" s="12"/>
      <c r="G201" s="11" t="s">
        <v>15</v>
      </c>
      <c r="H201" s="15">
        <v>30000.0</v>
      </c>
    </row>
    <row r="202">
      <c r="A202" s="13"/>
      <c r="B202" s="12"/>
      <c r="C202" s="12"/>
      <c r="D202" s="12"/>
      <c r="E202" s="11" t="s">
        <v>154</v>
      </c>
      <c r="F202" s="12"/>
      <c r="G202" s="12"/>
      <c r="H202" s="12"/>
    </row>
    <row r="203">
      <c r="A203" s="13"/>
      <c r="B203" s="12"/>
      <c r="C203" s="12"/>
      <c r="D203" s="12"/>
      <c r="E203" s="11" t="s">
        <v>155</v>
      </c>
      <c r="F203" s="11" t="s">
        <v>156</v>
      </c>
      <c r="G203" s="11" t="s">
        <v>15</v>
      </c>
      <c r="H203" s="15">
        <v>100000.0</v>
      </c>
    </row>
    <row r="204">
      <c r="A204" s="13"/>
      <c r="B204" s="12"/>
      <c r="C204" s="12"/>
      <c r="D204" s="12"/>
      <c r="E204" s="11" t="s">
        <v>155</v>
      </c>
      <c r="F204" s="11" t="s">
        <v>157</v>
      </c>
      <c r="G204" s="11" t="s">
        <v>15</v>
      </c>
      <c r="H204" s="15">
        <v>150000.0</v>
      </c>
    </row>
    <row r="205">
      <c r="A205" s="13"/>
      <c r="B205" s="12"/>
      <c r="C205" s="12"/>
      <c r="D205" s="12"/>
      <c r="E205" s="11" t="s">
        <v>155</v>
      </c>
      <c r="F205" s="11" t="s">
        <v>158</v>
      </c>
      <c r="G205" s="11" t="s">
        <v>15</v>
      </c>
      <c r="H205" s="15">
        <v>200000.0</v>
      </c>
    </row>
    <row r="206">
      <c r="A206" s="13"/>
      <c r="B206" s="12"/>
      <c r="C206" s="12"/>
      <c r="D206" s="12"/>
      <c r="E206" s="11" t="s">
        <v>155</v>
      </c>
      <c r="F206" s="11" t="s">
        <v>159</v>
      </c>
      <c r="G206" s="11" t="s">
        <v>15</v>
      </c>
      <c r="H206" s="15">
        <v>200000.0</v>
      </c>
    </row>
    <row r="207">
      <c r="A207" s="13"/>
      <c r="B207" s="12"/>
      <c r="C207" s="12"/>
      <c r="D207" s="12"/>
      <c r="E207" s="11" t="s">
        <v>155</v>
      </c>
      <c r="F207" s="11" t="s">
        <v>160</v>
      </c>
      <c r="G207" s="11" t="s">
        <v>15</v>
      </c>
      <c r="H207" s="15">
        <v>400000.0</v>
      </c>
    </row>
    <row r="208">
      <c r="A208" s="13"/>
      <c r="B208" s="12"/>
      <c r="C208" s="12"/>
      <c r="D208" s="12"/>
      <c r="E208" s="11" t="s">
        <v>155</v>
      </c>
      <c r="F208" s="11" t="s">
        <v>161</v>
      </c>
      <c r="G208" s="11" t="s">
        <v>15</v>
      </c>
      <c r="H208" s="15">
        <v>400000.0</v>
      </c>
    </row>
    <row r="209">
      <c r="A209" s="13"/>
      <c r="B209" s="12"/>
      <c r="C209" s="12"/>
      <c r="D209" s="12"/>
      <c r="E209" s="11" t="s">
        <v>155</v>
      </c>
      <c r="F209" s="11" t="s">
        <v>162</v>
      </c>
      <c r="G209" s="11" t="s">
        <v>15</v>
      </c>
      <c r="H209" s="15">
        <v>400000.0</v>
      </c>
    </row>
    <row r="210">
      <c r="A210" s="13"/>
      <c r="B210" s="12"/>
      <c r="C210" s="12"/>
      <c r="D210" s="12"/>
      <c r="E210" s="11" t="s">
        <v>163</v>
      </c>
      <c r="F210" s="12"/>
      <c r="G210" s="11" t="s">
        <v>15</v>
      </c>
      <c r="H210" s="15">
        <v>680000.0</v>
      </c>
    </row>
    <row r="211">
      <c r="A211" s="13"/>
      <c r="B211" s="12"/>
      <c r="C211" s="12"/>
      <c r="D211" s="12"/>
      <c r="E211" s="11" t="s">
        <v>163</v>
      </c>
      <c r="F211" s="12"/>
      <c r="G211" s="11" t="s">
        <v>15</v>
      </c>
      <c r="H211" s="15">
        <v>340000.0</v>
      </c>
    </row>
    <row r="212">
      <c r="A212" s="13"/>
      <c r="B212" s="12"/>
      <c r="C212" s="12"/>
      <c r="D212" s="12"/>
      <c r="E212" s="11" t="s">
        <v>164</v>
      </c>
      <c r="F212" s="12"/>
      <c r="G212" s="12"/>
      <c r="H212" s="12"/>
    </row>
    <row r="213">
      <c r="A213" s="13"/>
      <c r="B213" s="12"/>
      <c r="C213" s="12"/>
      <c r="D213" s="12"/>
      <c r="E213" s="11" t="s">
        <v>155</v>
      </c>
      <c r="F213" s="11" t="s">
        <v>36</v>
      </c>
      <c r="G213" s="11" t="s">
        <v>15</v>
      </c>
      <c r="H213" s="15">
        <v>90000.0</v>
      </c>
    </row>
    <row r="214">
      <c r="A214" s="13"/>
      <c r="B214" s="12"/>
      <c r="C214" s="12"/>
      <c r="D214" s="12"/>
      <c r="E214" s="11" t="s">
        <v>155</v>
      </c>
      <c r="F214" s="11" t="s">
        <v>34</v>
      </c>
      <c r="G214" s="11" t="s">
        <v>15</v>
      </c>
      <c r="H214" s="15">
        <v>90000.0</v>
      </c>
    </row>
    <row r="215">
      <c r="A215" s="13"/>
      <c r="B215" s="12"/>
      <c r="C215" s="12"/>
      <c r="D215" s="12"/>
      <c r="E215" s="11" t="s">
        <v>155</v>
      </c>
      <c r="F215" s="11" t="s">
        <v>165</v>
      </c>
      <c r="G215" s="11" t="s">
        <v>15</v>
      </c>
      <c r="H215" s="15">
        <v>160000.0</v>
      </c>
    </row>
    <row r="216">
      <c r="A216" s="13"/>
      <c r="B216" s="12"/>
      <c r="C216" s="12"/>
      <c r="D216" s="12"/>
      <c r="E216" s="11" t="s">
        <v>155</v>
      </c>
      <c r="F216" s="11" t="s">
        <v>40</v>
      </c>
      <c r="G216" s="11" t="s">
        <v>15</v>
      </c>
      <c r="H216" s="15">
        <v>300000.0</v>
      </c>
    </row>
    <row r="217">
      <c r="A217" s="13"/>
      <c r="B217" s="12"/>
      <c r="C217" s="12"/>
      <c r="D217" s="12"/>
      <c r="E217" s="11" t="s">
        <v>166</v>
      </c>
      <c r="F217" s="12"/>
      <c r="G217" s="11" t="s">
        <v>15</v>
      </c>
      <c r="H217" s="15">
        <v>300000.0</v>
      </c>
    </row>
    <row r="218">
      <c r="A218" s="13"/>
      <c r="B218" s="12"/>
      <c r="C218" s="12"/>
      <c r="D218" s="11" t="s">
        <v>172</v>
      </c>
      <c r="E218" s="11" t="s">
        <v>173</v>
      </c>
      <c r="F218" s="12"/>
      <c r="G218" s="12"/>
      <c r="H218" s="12"/>
    </row>
    <row r="219">
      <c r="A219" s="13"/>
      <c r="B219" s="12"/>
      <c r="C219" s="12"/>
      <c r="D219" s="12"/>
      <c r="E219" s="11" t="s">
        <v>152</v>
      </c>
      <c r="F219" s="12"/>
      <c r="G219" s="11" t="s">
        <v>15</v>
      </c>
      <c r="H219" s="15">
        <v>100000.0</v>
      </c>
    </row>
    <row r="220">
      <c r="A220" s="13"/>
      <c r="B220" s="12"/>
      <c r="C220" s="12"/>
      <c r="D220" s="12"/>
      <c r="E220" s="11" t="s">
        <v>138</v>
      </c>
      <c r="F220" s="12"/>
      <c r="G220" s="11" t="s">
        <v>15</v>
      </c>
      <c r="H220" s="15">
        <v>100000.0</v>
      </c>
    </row>
    <row r="221">
      <c r="A221" s="13"/>
      <c r="B221" s="12"/>
      <c r="C221" s="12"/>
      <c r="D221" s="12"/>
      <c r="E221" s="11" t="s">
        <v>174</v>
      </c>
      <c r="F221" s="12"/>
      <c r="G221" s="11" t="s">
        <v>15</v>
      </c>
      <c r="H221" s="15">
        <v>30000.0</v>
      </c>
    </row>
    <row r="222">
      <c r="A222" s="13"/>
      <c r="B222" s="12"/>
      <c r="C222" s="12"/>
      <c r="D222" s="12"/>
      <c r="E222" s="11" t="s">
        <v>171</v>
      </c>
      <c r="F222" s="12"/>
      <c r="G222" s="11" t="s">
        <v>15</v>
      </c>
      <c r="H222" s="15">
        <v>30000.0</v>
      </c>
    </row>
    <row r="223">
      <c r="A223" s="13"/>
      <c r="B223" s="12"/>
      <c r="C223" s="12"/>
      <c r="D223" s="12"/>
      <c r="E223" s="11" t="s">
        <v>154</v>
      </c>
      <c r="F223" s="12"/>
      <c r="G223" s="12"/>
      <c r="H223" s="12"/>
    </row>
    <row r="224">
      <c r="A224" s="13"/>
      <c r="B224" s="12"/>
      <c r="C224" s="12"/>
      <c r="D224" s="12"/>
      <c r="E224" s="11" t="s">
        <v>155</v>
      </c>
      <c r="F224" s="11" t="s">
        <v>156</v>
      </c>
      <c r="G224" s="11" t="s">
        <v>15</v>
      </c>
      <c r="H224" s="15">
        <v>100000.0</v>
      </c>
    </row>
    <row r="225">
      <c r="A225" s="13"/>
      <c r="B225" s="12"/>
      <c r="C225" s="12"/>
      <c r="D225" s="12"/>
      <c r="E225" s="11" t="s">
        <v>155</v>
      </c>
      <c r="F225" s="11" t="s">
        <v>157</v>
      </c>
      <c r="G225" s="11" t="s">
        <v>15</v>
      </c>
      <c r="H225" s="15">
        <v>150000.0</v>
      </c>
    </row>
    <row r="226">
      <c r="A226" s="13"/>
      <c r="B226" s="12"/>
      <c r="C226" s="12"/>
      <c r="D226" s="12"/>
      <c r="E226" s="11" t="s">
        <v>155</v>
      </c>
      <c r="F226" s="11" t="s">
        <v>158</v>
      </c>
      <c r="G226" s="11" t="s">
        <v>15</v>
      </c>
      <c r="H226" s="15">
        <v>200000.0</v>
      </c>
    </row>
    <row r="227">
      <c r="A227" s="13"/>
      <c r="B227" s="12"/>
      <c r="C227" s="12"/>
      <c r="D227" s="12"/>
      <c r="E227" s="11" t="s">
        <v>155</v>
      </c>
      <c r="F227" s="11" t="s">
        <v>159</v>
      </c>
      <c r="G227" s="11" t="s">
        <v>15</v>
      </c>
      <c r="H227" s="15">
        <v>200000.0</v>
      </c>
    </row>
    <row r="228">
      <c r="A228" s="13"/>
      <c r="B228" s="12"/>
      <c r="C228" s="12"/>
      <c r="D228" s="12"/>
      <c r="E228" s="11" t="s">
        <v>155</v>
      </c>
      <c r="F228" s="11" t="s">
        <v>160</v>
      </c>
      <c r="G228" s="11" t="s">
        <v>15</v>
      </c>
      <c r="H228" s="15">
        <v>400000.0</v>
      </c>
    </row>
    <row r="229">
      <c r="A229" s="13"/>
      <c r="B229" s="12"/>
      <c r="C229" s="12"/>
      <c r="D229" s="12"/>
      <c r="E229" s="11" t="s">
        <v>155</v>
      </c>
      <c r="F229" s="11" t="s">
        <v>161</v>
      </c>
      <c r="G229" s="11" t="s">
        <v>15</v>
      </c>
      <c r="H229" s="15">
        <v>400000.0</v>
      </c>
    </row>
    <row r="230">
      <c r="A230" s="13"/>
      <c r="B230" s="12"/>
      <c r="C230" s="12"/>
      <c r="D230" s="12"/>
      <c r="E230" s="11" t="s">
        <v>155</v>
      </c>
      <c r="F230" s="11" t="s">
        <v>162</v>
      </c>
      <c r="G230" s="11" t="s">
        <v>15</v>
      </c>
      <c r="H230" s="15">
        <v>400000.0</v>
      </c>
    </row>
    <row r="231">
      <c r="A231" s="13"/>
      <c r="B231" s="12"/>
      <c r="C231" s="12"/>
      <c r="D231" s="12"/>
      <c r="E231" s="11" t="s">
        <v>163</v>
      </c>
      <c r="F231" s="12"/>
      <c r="G231" s="11" t="s">
        <v>15</v>
      </c>
      <c r="H231" s="15">
        <v>680000.0</v>
      </c>
    </row>
    <row r="232">
      <c r="A232" s="13"/>
      <c r="B232" s="12"/>
      <c r="C232" s="12"/>
      <c r="D232" s="12"/>
      <c r="E232" s="11" t="s">
        <v>163</v>
      </c>
      <c r="F232" s="12"/>
      <c r="G232" s="11" t="s">
        <v>15</v>
      </c>
      <c r="H232" s="15">
        <v>340000.0</v>
      </c>
    </row>
    <row r="233">
      <c r="A233" s="13"/>
      <c r="B233" s="12"/>
      <c r="C233" s="12"/>
      <c r="D233" s="12"/>
      <c r="E233" s="11" t="s">
        <v>164</v>
      </c>
      <c r="F233" s="12"/>
      <c r="G233" s="12"/>
      <c r="H233" s="12"/>
    </row>
    <row r="234">
      <c r="A234" s="13"/>
      <c r="B234" s="12"/>
      <c r="C234" s="12"/>
      <c r="D234" s="12"/>
      <c r="E234" s="11" t="s">
        <v>155</v>
      </c>
      <c r="F234" s="11" t="s">
        <v>36</v>
      </c>
      <c r="G234" s="11" t="s">
        <v>15</v>
      </c>
      <c r="H234" s="15">
        <v>90000.0</v>
      </c>
    </row>
    <row r="235">
      <c r="A235" s="13"/>
      <c r="B235" s="12"/>
      <c r="C235" s="12"/>
      <c r="D235" s="12"/>
      <c r="E235" s="11" t="s">
        <v>155</v>
      </c>
      <c r="F235" s="11" t="s">
        <v>34</v>
      </c>
      <c r="G235" s="11" t="s">
        <v>15</v>
      </c>
      <c r="H235" s="15">
        <v>90000.0</v>
      </c>
    </row>
    <row r="236">
      <c r="A236" s="13"/>
      <c r="B236" s="12"/>
      <c r="C236" s="12"/>
      <c r="D236" s="12"/>
      <c r="E236" s="11" t="s">
        <v>155</v>
      </c>
      <c r="F236" s="11" t="s">
        <v>165</v>
      </c>
      <c r="G236" s="11" t="s">
        <v>15</v>
      </c>
      <c r="H236" s="15">
        <v>160000.0</v>
      </c>
    </row>
    <row r="237">
      <c r="A237" s="13"/>
      <c r="B237" s="12"/>
      <c r="C237" s="12"/>
      <c r="D237" s="12"/>
      <c r="E237" s="11" t="s">
        <v>155</v>
      </c>
      <c r="F237" s="11" t="s">
        <v>40</v>
      </c>
      <c r="G237" s="11" t="s">
        <v>15</v>
      </c>
      <c r="H237" s="15">
        <v>300000.0</v>
      </c>
    </row>
    <row r="238">
      <c r="A238" s="13"/>
      <c r="B238" s="12"/>
      <c r="C238" s="12"/>
      <c r="D238" s="12"/>
      <c r="E238" s="11" t="s">
        <v>175</v>
      </c>
      <c r="F238" s="12"/>
      <c r="G238" s="11" t="s">
        <v>15</v>
      </c>
      <c r="H238" s="15">
        <v>300000.0</v>
      </c>
    </row>
    <row r="239">
      <c r="A239" s="13"/>
      <c r="B239" s="12"/>
      <c r="C239" s="12"/>
      <c r="D239" s="12"/>
      <c r="E239" s="11" t="s">
        <v>166</v>
      </c>
      <c r="F239" s="12"/>
      <c r="G239" s="11" t="s">
        <v>15</v>
      </c>
      <c r="H239" s="15">
        <v>300000.0</v>
      </c>
    </row>
    <row r="240">
      <c r="A240" s="13"/>
      <c r="B240" s="12"/>
      <c r="C240" s="12"/>
      <c r="D240" s="12"/>
      <c r="E240" s="12"/>
      <c r="F240" s="12"/>
      <c r="G240" s="12"/>
      <c r="H240" s="12"/>
    </row>
    <row r="241">
      <c r="A241" s="13"/>
      <c r="B241" s="12"/>
      <c r="C241" s="14">
        <v>2.0</v>
      </c>
      <c r="D241" s="11" t="s">
        <v>176</v>
      </c>
      <c r="E241" s="12"/>
      <c r="F241" s="12"/>
      <c r="G241" s="12"/>
      <c r="H241" s="12"/>
    </row>
    <row r="242">
      <c r="A242" s="13"/>
      <c r="B242" s="12"/>
      <c r="C242" s="12"/>
      <c r="D242" s="11" t="s">
        <v>150</v>
      </c>
      <c r="E242" s="11" t="s">
        <v>177</v>
      </c>
      <c r="F242" s="12"/>
      <c r="G242" s="12"/>
      <c r="H242" s="12"/>
    </row>
    <row r="243">
      <c r="A243" s="13"/>
      <c r="B243" s="12"/>
      <c r="C243" s="12"/>
      <c r="D243" s="12"/>
      <c r="E243" s="11" t="s">
        <v>178</v>
      </c>
      <c r="F243" s="12"/>
      <c r="G243" s="11" t="s">
        <v>15</v>
      </c>
      <c r="H243" s="15">
        <v>100000.0</v>
      </c>
    </row>
    <row r="244">
      <c r="A244" s="13"/>
      <c r="B244" s="12"/>
      <c r="C244" s="12"/>
      <c r="D244" s="12"/>
      <c r="E244" s="11" t="s">
        <v>179</v>
      </c>
      <c r="F244" s="12"/>
      <c r="G244" s="11" t="s">
        <v>15</v>
      </c>
      <c r="H244" s="15">
        <v>30000.0</v>
      </c>
    </row>
    <row r="245">
      <c r="A245" s="13"/>
      <c r="B245" s="12"/>
      <c r="C245" s="12"/>
      <c r="D245" s="12"/>
      <c r="E245" s="11" t="s">
        <v>154</v>
      </c>
      <c r="F245" s="12"/>
      <c r="G245" s="12"/>
      <c r="H245" s="12"/>
    </row>
    <row r="246">
      <c r="A246" s="13"/>
      <c r="B246" s="12"/>
      <c r="C246" s="12"/>
      <c r="D246" s="12"/>
      <c r="E246" s="11" t="s">
        <v>155</v>
      </c>
      <c r="F246" s="11" t="s">
        <v>156</v>
      </c>
      <c r="G246" s="11" t="s">
        <v>15</v>
      </c>
      <c r="H246" s="15">
        <v>100000.0</v>
      </c>
    </row>
    <row r="247">
      <c r="A247" s="13"/>
      <c r="B247" s="12"/>
      <c r="C247" s="12"/>
      <c r="D247" s="12"/>
      <c r="E247" s="11" t="s">
        <v>155</v>
      </c>
      <c r="F247" s="11" t="s">
        <v>157</v>
      </c>
      <c r="G247" s="11" t="s">
        <v>15</v>
      </c>
      <c r="H247" s="15">
        <v>150000.0</v>
      </c>
    </row>
    <row r="248">
      <c r="A248" s="13"/>
      <c r="B248" s="12"/>
      <c r="C248" s="12"/>
      <c r="D248" s="12"/>
      <c r="E248" s="11" t="s">
        <v>155</v>
      </c>
      <c r="F248" s="11" t="s">
        <v>117</v>
      </c>
      <c r="G248" s="11" t="s">
        <v>15</v>
      </c>
      <c r="H248" s="15">
        <v>400000.0</v>
      </c>
    </row>
    <row r="249">
      <c r="A249" s="13"/>
      <c r="B249" s="12"/>
      <c r="C249" s="12"/>
      <c r="D249" s="12"/>
      <c r="E249" s="11" t="s">
        <v>155</v>
      </c>
      <c r="F249" s="11" t="s">
        <v>180</v>
      </c>
      <c r="G249" s="11" t="s">
        <v>15</v>
      </c>
      <c r="H249" s="15">
        <v>400000.0</v>
      </c>
    </row>
    <row r="250">
      <c r="A250" s="13"/>
      <c r="B250" s="12"/>
      <c r="C250" s="12"/>
      <c r="D250" s="12"/>
      <c r="E250" s="11" t="s">
        <v>166</v>
      </c>
      <c r="F250" s="12"/>
      <c r="G250" s="11" t="s">
        <v>15</v>
      </c>
      <c r="H250" s="15">
        <v>300000.0</v>
      </c>
    </row>
    <row r="251">
      <c r="A251" s="13"/>
      <c r="B251" s="12"/>
      <c r="C251" s="12"/>
      <c r="D251" s="12"/>
      <c r="E251" s="11" t="s">
        <v>175</v>
      </c>
      <c r="F251" s="12"/>
      <c r="G251" s="11" t="s">
        <v>15</v>
      </c>
      <c r="H251" s="15">
        <v>300000.0</v>
      </c>
    </row>
    <row r="252">
      <c r="A252" s="13"/>
      <c r="B252" s="12"/>
      <c r="C252" s="12"/>
      <c r="D252" s="12"/>
      <c r="E252" s="12"/>
      <c r="F252" s="12"/>
      <c r="G252" s="12"/>
      <c r="H252" s="12"/>
    </row>
    <row r="253">
      <c r="A253" s="13"/>
      <c r="B253" s="12"/>
      <c r="C253" s="12"/>
      <c r="D253" s="11" t="s">
        <v>167</v>
      </c>
      <c r="E253" s="11" t="s">
        <v>181</v>
      </c>
      <c r="F253" s="12"/>
      <c r="G253" s="12"/>
      <c r="H253" s="12"/>
    </row>
    <row r="254">
      <c r="A254" s="13"/>
      <c r="B254" s="12"/>
      <c r="C254" s="12"/>
      <c r="D254" s="12"/>
      <c r="E254" s="11" t="s">
        <v>178</v>
      </c>
      <c r="F254" s="12"/>
      <c r="G254" s="11" t="s">
        <v>15</v>
      </c>
      <c r="H254" s="15">
        <v>100000.0</v>
      </c>
    </row>
    <row r="255">
      <c r="A255" s="13"/>
      <c r="B255" s="12"/>
      <c r="C255" s="12"/>
      <c r="D255" s="12"/>
      <c r="E255" s="11" t="s">
        <v>154</v>
      </c>
      <c r="F255" s="12"/>
      <c r="G255" s="12"/>
      <c r="H255" s="12"/>
    </row>
    <row r="256">
      <c r="A256" s="13"/>
      <c r="B256" s="12"/>
      <c r="C256" s="12"/>
      <c r="D256" s="12"/>
      <c r="E256" s="11" t="s">
        <v>155</v>
      </c>
      <c r="F256" s="11" t="s">
        <v>156</v>
      </c>
      <c r="G256" s="11" t="s">
        <v>15</v>
      </c>
      <c r="H256" s="15">
        <v>100000.0</v>
      </c>
    </row>
    <row r="257">
      <c r="A257" s="13"/>
      <c r="B257" s="12"/>
      <c r="C257" s="12"/>
      <c r="D257" s="12"/>
      <c r="E257" s="11" t="s">
        <v>155</v>
      </c>
      <c r="F257" s="11" t="s">
        <v>157</v>
      </c>
      <c r="G257" s="11" t="s">
        <v>15</v>
      </c>
      <c r="H257" s="15">
        <v>150000.0</v>
      </c>
    </row>
    <row r="258">
      <c r="A258" s="13"/>
      <c r="B258" s="12"/>
      <c r="C258" s="12"/>
      <c r="D258" s="12"/>
      <c r="E258" s="11" t="s">
        <v>155</v>
      </c>
      <c r="F258" s="11" t="s">
        <v>117</v>
      </c>
      <c r="G258" s="11" t="s">
        <v>15</v>
      </c>
      <c r="H258" s="15">
        <v>400000.0</v>
      </c>
    </row>
    <row r="259">
      <c r="A259" s="13"/>
      <c r="B259" s="12"/>
      <c r="C259" s="12"/>
      <c r="D259" s="12"/>
      <c r="E259" s="11" t="s">
        <v>155</v>
      </c>
      <c r="F259" s="11" t="s">
        <v>180</v>
      </c>
      <c r="G259" s="11" t="s">
        <v>15</v>
      </c>
      <c r="H259" s="15">
        <v>400000.0</v>
      </c>
    </row>
    <row r="260">
      <c r="A260" s="13"/>
      <c r="B260" s="12"/>
      <c r="C260" s="12"/>
      <c r="D260" s="12"/>
      <c r="E260" s="11" t="s">
        <v>166</v>
      </c>
      <c r="F260" s="12"/>
      <c r="G260" s="11" t="s">
        <v>15</v>
      </c>
      <c r="H260" s="15">
        <v>300000.0</v>
      </c>
    </row>
    <row r="261">
      <c r="A261" s="13"/>
      <c r="B261" s="12"/>
      <c r="C261" s="12"/>
      <c r="D261" s="12"/>
      <c r="E261" s="11" t="s">
        <v>175</v>
      </c>
      <c r="F261" s="12"/>
      <c r="G261" s="11" t="s">
        <v>15</v>
      </c>
      <c r="H261" s="15">
        <v>300000.0</v>
      </c>
    </row>
    <row r="262">
      <c r="A262" s="13"/>
      <c r="B262" s="12"/>
      <c r="C262" s="12"/>
      <c r="D262" s="12"/>
      <c r="E262" s="12"/>
      <c r="F262" s="12"/>
      <c r="G262" s="12"/>
      <c r="H262" s="12"/>
    </row>
    <row r="263">
      <c r="A263" s="13"/>
      <c r="B263" s="12"/>
      <c r="C263" s="12"/>
      <c r="D263" s="11" t="s">
        <v>169</v>
      </c>
      <c r="E263" s="11" t="s">
        <v>182</v>
      </c>
      <c r="F263" s="12"/>
      <c r="G263" s="12"/>
      <c r="H263" s="12"/>
    </row>
    <row r="264">
      <c r="A264" s="13"/>
      <c r="B264" s="12"/>
      <c r="C264" s="12"/>
      <c r="D264" s="12"/>
      <c r="E264" s="11" t="s">
        <v>178</v>
      </c>
      <c r="F264" s="12"/>
      <c r="G264" s="11" t="s">
        <v>15</v>
      </c>
      <c r="H264" s="15">
        <v>100000.0</v>
      </c>
    </row>
    <row r="265">
      <c r="A265" s="13"/>
      <c r="B265" s="12"/>
      <c r="C265" s="12"/>
      <c r="D265" s="12"/>
      <c r="E265" s="11" t="s">
        <v>138</v>
      </c>
      <c r="F265" s="12"/>
      <c r="G265" s="11" t="s">
        <v>15</v>
      </c>
      <c r="H265" s="15">
        <v>100000.0</v>
      </c>
    </row>
    <row r="266">
      <c r="A266" s="13"/>
      <c r="B266" s="12"/>
      <c r="C266" s="12"/>
      <c r="D266" s="12"/>
      <c r="E266" s="11" t="s">
        <v>174</v>
      </c>
      <c r="F266" s="12"/>
      <c r="G266" s="11" t="s">
        <v>15</v>
      </c>
      <c r="H266" s="15">
        <v>30000.0</v>
      </c>
    </row>
    <row r="267">
      <c r="A267" s="13"/>
      <c r="B267" s="12"/>
      <c r="C267" s="12"/>
      <c r="D267" s="12"/>
      <c r="E267" s="11" t="s">
        <v>171</v>
      </c>
      <c r="F267" s="12"/>
      <c r="G267" s="11" t="s">
        <v>15</v>
      </c>
      <c r="H267" s="15">
        <v>25000.0</v>
      </c>
    </row>
    <row r="268">
      <c r="A268" s="13"/>
      <c r="B268" s="12"/>
      <c r="C268" s="12"/>
      <c r="D268" s="12"/>
      <c r="E268" s="11" t="s">
        <v>154</v>
      </c>
      <c r="F268" s="12"/>
      <c r="G268" s="12"/>
      <c r="H268" s="12"/>
    </row>
    <row r="269">
      <c r="A269" s="13"/>
      <c r="B269" s="12"/>
      <c r="C269" s="12"/>
      <c r="D269" s="12"/>
      <c r="E269" s="11" t="s">
        <v>155</v>
      </c>
      <c r="F269" s="11" t="s">
        <v>156</v>
      </c>
      <c r="G269" s="11" t="s">
        <v>15</v>
      </c>
      <c r="H269" s="15">
        <v>100000.0</v>
      </c>
    </row>
    <row r="270">
      <c r="A270" s="13"/>
      <c r="B270" s="12"/>
      <c r="C270" s="12"/>
      <c r="D270" s="12"/>
      <c r="E270" s="11" t="s">
        <v>155</v>
      </c>
      <c r="F270" s="11" t="s">
        <v>157</v>
      </c>
      <c r="G270" s="11" t="s">
        <v>15</v>
      </c>
      <c r="H270" s="15">
        <v>150000.0</v>
      </c>
    </row>
    <row r="271">
      <c r="A271" s="13"/>
      <c r="B271" s="12"/>
      <c r="C271" s="12"/>
      <c r="D271" s="12"/>
      <c r="E271" s="11" t="s">
        <v>166</v>
      </c>
      <c r="F271" s="12"/>
      <c r="G271" s="11" t="s">
        <v>15</v>
      </c>
      <c r="H271" s="15">
        <v>300000.0</v>
      </c>
    </row>
    <row r="272">
      <c r="A272" s="13"/>
      <c r="B272" s="12"/>
      <c r="C272" s="12"/>
      <c r="D272" s="12"/>
      <c r="E272" s="11" t="s">
        <v>175</v>
      </c>
      <c r="F272" s="12"/>
      <c r="G272" s="11" t="s">
        <v>15</v>
      </c>
      <c r="H272" s="15">
        <v>300000.0</v>
      </c>
    </row>
    <row r="273">
      <c r="A273" s="13"/>
      <c r="B273" s="12"/>
      <c r="C273" s="12"/>
      <c r="D273" s="12"/>
      <c r="E273" s="12"/>
      <c r="F273" s="12"/>
      <c r="G273" s="12"/>
      <c r="H273" s="12"/>
    </row>
    <row r="274">
      <c r="A274" s="10">
        <v>5.0</v>
      </c>
      <c r="B274" s="11" t="s">
        <v>183</v>
      </c>
      <c r="C274" s="12"/>
      <c r="D274" s="12"/>
      <c r="E274" s="12"/>
      <c r="F274" s="12"/>
      <c r="G274" s="12"/>
      <c r="H274" s="12"/>
    </row>
    <row r="275">
      <c r="A275" s="13"/>
      <c r="B275" s="14">
        <v>1.0</v>
      </c>
      <c r="C275" s="11" t="s">
        <v>184</v>
      </c>
      <c r="D275" s="12"/>
      <c r="E275" s="12"/>
      <c r="F275" s="12"/>
      <c r="G275" s="11" t="s">
        <v>15</v>
      </c>
      <c r="H275" s="15">
        <v>50000.0</v>
      </c>
    </row>
    <row r="276">
      <c r="A276" s="13"/>
      <c r="B276" s="14">
        <v>2.0</v>
      </c>
      <c r="C276" s="11" t="s">
        <v>185</v>
      </c>
      <c r="D276" s="12"/>
      <c r="E276" s="12"/>
      <c r="F276" s="12"/>
      <c r="G276" s="11" t="s">
        <v>15</v>
      </c>
      <c r="H276" s="15">
        <v>150000.0</v>
      </c>
    </row>
    <row r="277">
      <c r="A277" s="13"/>
      <c r="B277" s="14">
        <v>3.0</v>
      </c>
      <c r="C277" s="11" t="s">
        <v>186</v>
      </c>
      <c r="D277" s="12"/>
      <c r="E277" s="12"/>
      <c r="F277" s="12"/>
      <c r="G277" s="11" t="s">
        <v>15</v>
      </c>
      <c r="H277" s="15">
        <v>150000.0</v>
      </c>
    </row>
    <row r="278">
      <c r="A278" s="13"/>
      <c r="B278" s="14">
        <v>4.0</v>
      </c>
      <c r="C278" s="11" t="s">
        <v>187</v>
      </c>
      <c r="D278" s="12"/>
      <c r="E278" s="12"/>
      <c r="F278" s="12"/>
      <c r="G278" s="11" t="s">
        <v>15</v>
      </c>
      <c r="H278" s="15">
        <v>150000.0</v>
      </c>
    </row>
    <row r="279">
      <c r="A279" s="13"/>
      <c r="B279" s="14">
        <v>5.0</v>
      </c>
      <c r="C279" s="11" t="s">
        <v>188</v>
      </c>
      <c r="D279" s="12"/>
      <c r="E279" s="12"/>
      <c r="F279" s="12"/>
      <c r="G279" s="11" t="s">
        <v>15</v>
      </c>
      <c r="H279" s="15">
        <v>150000.0</v>
      </c>
    </row>
    <row r="280">
      <c r="A280" s="13"/>
      <c r="B280" s="14">
        <v>6.0</v>
      </c>
      <c r="C280" s="11" t="s">
        <v>189</v>
      </c>
      <c r="D280" s="12"/>
      <c r="E280" s="12"/>
      <c r="F280" s="12"/>
      <c r="G280" s="11" t="s">
        <v>190</v>
      </c>
      <c r="H280" s="15">
        <v>300000.0</v>
      </c>
    </row>
    <row r="281">
      <c r="A281" s="13"/>
      <c r="B281" s="14">
        <v>7.0</v>
      </c>
      <c r="C281" s="11" t="s">
        <v>191</v>
      </c>
      <c r="D281" s="12"/>
      <c r="E281" s="12"/>
      <c r="F281" s="12"/>
      <c r="G281" s="11" t="s">
        <v>190</v>
      </c>
      <c r="H281" s="15">
        <v>300000.0</v>
      </c>
    </row>
    <row r="282">
      <c r="A282" s="13"/>
      <c r="B282" s="14">
        <v>8.0</v>
      </c>
      <c r="C282" s="11" t="s">
        <v>192</v>
      </c>
      <c r="D282" s="12"/>
      <c r="E282" s="12"/>
      <c r="F282" s="12"/>
      <c r="G282" s="11" t="s">
        <v>659</v>
      </c>
      <c r="H282" s="15">
        <v>200000.0</v>
      </c>
    </row>
    <row r="283">
      <c r="A283" s="13"/>
      <c r="B283" s="14">
        <v>9.0</v>
      </c>
      <c r="C283" s="11" t="s">
        <v>193</v>
      </c>
      <c r="D283" s="12"/>
      <c r="E283" s="12"/>
      <c r="F283" s="12"/>
      <c r="G283" s="11" t="s">
        <v>659</v>
      </c>
      <c r="H283" s="15">
        <v>200000.0</v>
      </c>
    </row>
    <row r="284">
      <c r="A284" s="13"/>
      <c r="B284" s="11">
        <v>10.0</v>
      </c>
      <c r="C284" s="11" t="s">
        <v>194</v>
      </c>
      <c r="D284" s="12"/>
      <c r="E284" s="12"/>
      <c r="F284" s="12"/>
      <c r="G284" s="11" t="s">
        <v>659</v>
      </c>
      <c r="H284" s="15">
        <v>50000.0</v>
      </c>
    </row>
    <row r="285">
      <c r="A285" s="13"/>
      <c r="B285" s="12"/>
      <c r="C285" s="12"/>
      <c r="D285" s="12"/>
      <c r="E285" s="12"/>
      <c r="F285" s="12"/>
      <c r="G285" s="12"/>
      <c r="H285" s="12"/>
    </row>
    <row r="286">
      <c r="A286" s="13"/>
      <c r="B286" s="14">
        <v>1.0</v>
      </c>
      <c r="C286" s="11" t="s">
        <v>195</v>
      </c>
      <c r="D286" s="12"/>
      <c r="E286" s="12"/>
      <c r="F286" s="12"/>
      <c r="G286" s="11" t="s">
        <v>15</v>
      </c>
      <c r="H286" s="15">
        <v>300000.0</v>
      </c>
    </row>
    <row r="287">
      <c r="A287" s="13"/>
      <c r="B287" s="14">
        <v>2.0</v>
      </c>
      <c r="C287" s="11" t="s">
        <v>311</v>
      </c>
      <c r="D287" s="12"/>
      <c r="E287" s="12"/>
      <c r="F287" s="12"/>
      <c r="G287" s="11" t="s">
        <v>15</v>
      </c>
      <c r="H287" s="15">
        <v>300000.0</v>
      </c>
    </row>
    <row r="288">
      <c r="A288" s="13"/>
      <c r="B288" s="14">
        <v>3.0</v>
      </c>
      <c r="C288" s="11" t="s">
        <v>197</v>
      </c>
      <c r="D288" s="12"/>
      <c r="E288" s="12"/>
      <c r="F288" s="12"/>
      <c r="G288" s="11" t="s">
        <v>15</v>
      </c>
      <c r="H288" s="15">
        <v>400000.0</v>
      </c>
    </row>
    <row r="289">
      <c r="A289" s="13"/>
      <c r="B289" s="14">
        <v>4.0</v>
      </c>
      <c r="C289" s="11" t="s">
        <v>198</v>
      </c>
      <c r="D289" s="12"/>
      <c r="E289" s="12"/>
      <c r="F289" s="12"/>
      <c r="G289" s="11" t="s">
        <v>15</v>
      </c>
      <c r="H289" s="15">
        <v>30000.0</v>
      </c>
    </row>
    <row r="290">
      <c r="A290" s="13"/>
      <c r="B290" s="14">
        <v>5.0</v>
      </c>
      <c r="C290" s="11" t="s">
        <v>199</v>
      </c>
      <c r="D290" s="12"/>
      <c r="E290" s="12"/>
      <c r="F290" s="12"/>
      <c r="G290" s="11" t="s">
        <v>15</v>
      </c>
      <c r="H290" s="15">
        <v>150000.0</v>
      </c>
    </row>
    <row r="291">
      <c r="A291" s="13"/>
      <c r="B291" s="14">
        <v>6.0</v>
      </c>
      <c r="C291" s="11" t="s">
        <v>200</v>
      </c>
      <c r="D291" s="12"/>
      <c r="E291" s="12"/>
      <c r="F291" s="12"/>
      <c r="G291" s="11" t="s">
        <v>15</v>
      </c>
      <c r="H291" s="15">
        <v>300000.0</v>
      </c>
    </row>
    <row r="292">
      <c r="A292" s="13"/>
      <c r="B292" s="14">
        <v>7.0</v>
      </c>
      <c r="C292" s="11" t="s">
        <v>201</v>
      </c>
      <c r="D292" s="12"/>
      <c r="E292" s="12"/>
      <c r="F292" s="12"/>
      <c r="G292" s="12"/>
      <c r="H292" s="12"/>
    </row>
    <row r="293">
      <c r="A293" s="13"/>
      <c r="B293" s="12"/>
      <c r="C293" s="11" t="s">
        <v>202</v>
      </c>
      <c r="D293" s="11" t="s">
        <v>203</v>
      </c>
      <c r="E293" s="12"/>
      <c r="F293" s="12"/>
      <c r="G293" s="11" t="s">
        <v>15</v>
      </c>
      <c r="H293" s="15">
        <v>300000.0</v>
      </c>
    </row>
    <row r="294">
      <c r="A294" s="13"/>
      <c r="B294" s="12"/>
      <c r="C294" s="11" t="s">
        <v>204</v>
      </c>
      <c r="D294" s="11" t="s">
        <v>205</v>
      </c>
      <c r="E294" s="12"/>
      <c r="F294" s="12"/>
      <c r="G294" s="11" t="s">
        <v>15</v>
      </c>
      <c r="H294" s="15">
        <v>300000.0</v>
      </c>
    </row>
    <row r="295">
      <c r="A295" s="13"/>
      <c r="B295" s="12"/>
      <c r="C295" s="11" t="s">
        <v>206</v>
      </c>
      <c r="D295" s="11" t="s">
        <v>207</v>
      </c>
      <c r="E295" s="12"/>
      <c r="F295" s="12"/>
      <c r="G295" s="11" t="s">
        <v>15</v>
      </c>
      <c r="H295" s="15">
        <v>600000.0</v>
      </c>
    </row>
    <row r="296">
      <c r="A296" s="13"/>
      <c r="B296" s="12"/>
      <c r="C296" s="11" t="s">
        <v>208</v>
      </c>
      <c r="D296" s="11" t="s">
        <v>209</v>
      </c>
      <c r="E296" s="12"/>
      <c r="F296" s="12"/>
      <c r="G296" s="11" t="s">
        <v>15</v>
      </c>
      <c r="H296" s="15">
        <v>600000.0</v>
      </c>
    </row>
    <row r="297">
      <c r="A297" s="13"/>
      <c r="B297" s="12"/>
      <c r="C297" s="11" t="s">
        <v>210</v>
      </c>
      <c r="D297" s="11" t="s">
        <v>211</v>
      </c>
      <c r="E297" s="12"/>
      <c r="F297" s="12"/>
      <c r="G297" s="11" t="s">
        <v>15</v>
      </c>
      <c r="H297" s="15">
        <v>900000.0</v>
      </c>
    </row>
    <row r="298">
      <c r="A298" s="13"/>
      <c r="B298" s="12"/>
      <c r="C298" s="11" t="s">
        <v>212</v>
      </c>
      <c r="D298" s="11" t="s">
        <v>213</v>
      </c>
      <c r="E298" s="12"/>
      <c r="F298" s="12"/>
      <c r="G298" s="11" t="s">
        <v>15</v>
      </c>
      <c r="H298" s="15">
        <v>900000.0</v>
      </c>
    </row>
    <row r="299">
      <c r="A299" s="13"/>
      <c r="B299" s="12"/>
      <c r="C299" s="11" t="s">
        <v>214</v>
      </c>
      <c r="D299" s="11" t="s">
        <v>215</v>
      </c>
      <c r="E299" s="12"/>
      <c r="F299" s="12"/>
      <c r="G299" s="11" t="s">
        <v>15</v>
      </c>
      <c r="H299" s="15">
        <v>1000000.0</v>
      </c>
    </row>
    <row r="300">
      <c r="A300" s="13"/>
      <c r="B300" s="14">
        <v>8.0</v>
      </c>
      <c r="C300" s="11" t="s">
        <v>216</v>
      </c>
      <c r="D300" s="12"/>
      <c r="E300" s="12"/>
      <c r="F300" s="12"/>
      <c r="G300" s="11" t="s">
        <v>15</v>
      </c>
      <c r="H300" s="15">
        <v>100000.0</v>
      </c>
    </row>
    <row r="301">
      <c r="A301" s="13"/>
      <c r="B301" s="14">
        <v>9.0</v>
      </c>
      <c r="C301" s="11" t="s">
        <v>217</v>
      </c>
      <c r="D301" s="12"/>
      <c r="E301" s="12"/>
      <c r="F301" s="12"/>
      <c r="G301" s="11" t="s">
        <v>218</v>
      </c>
      <c r="H301" s="15">
        <v>300000.0</v>
      </c>
    </row>
    <row r="302">
      <c r="A302" s="13"/>
      <c r="B302" s="12"/>
      <c r="C302" s="12"/>
      <c r="D302" s="12"/>
      <c r="E302" s="12"/>
      <c r="F302" s="12"/>
      <c r="G302" s="11" t="s">
        <v>220</v>
      </c>
      <c r="H302" s="15">
        <v>200000.0</v>
      </c>
    </row>
    <row r="303">
      <c r="A303" s="13"/>
      <c r="B303" s="14">
        <v>10.0</v>
      </c>
      <c r="C303" s="11" t="s">
        <v>221</v>
      </c>
      <c r="D303" s="12"/>
      <c r="E303" s="12"/>
      <c r="F303" s="12"/>
      <c r="G303" s="11" t="s">
        <v>15</v>
      </c>
      <c r="H303" s="15">
        <v>300000.0</v>
      </c>
    </row>
    <row r="304">
      <c r="A304" s="13"/>
      <c r="B304" s="14">
        <v>11.0</v>
      </c>
      <c r="C304" s="11" t="s">
        <v>222</v>
      </c>
      <c r="D304" s="12"/>
      <c r="E304" s="12"/>
      <c r="F304" s="12"/>
      <c r="G304" s="11" t="s">
        <v>659</v>
      </c>
      <c r="H304" s="15">
        <v>50000.0</v>
      </c>
    </row>
    <row r="305">
      <c r="A305" s="13"/>
      <c r="B305" s="14">
        <v>12.0</v>
      </c>
      <c r="C305" s="11" t="s">
        <v>223</v>
      </c>
      <c r="D305" s="12"/>
      <c r="E305" s="12"/>
      <c r="F305" s="12"/>
      <c r="G305" s="11" t="s">
        <v>660</v>
      </c>
      <c r="H305" s="15">
        <v>100000.0</v>
      </c>
    </row>
    <row r="306">
      <c r="A306" s="13"/>
      <c r="B306" s="14"/>
      <c r="C306" s="11"/>
      <c r="D306" s="12"/>
      <c r="E306" s="12"/>
      <c r="F306" s="12"/>
      <c r="G306" s="11" t="s">
        <v>661</v>
      </c>
      <c r="H306" s="15">
        <v>5000.0</v>
      </c>
    </row>
    <row r="307">
      <c r="A307" s="13"/>
      <c r="B307" s="14">
        <v>13.0</v>
      </c>
      <c r="C307" s="11" t="s">
        <v>226</v>
      </c>
      <c r="D307" s="12"/>
      <c r="E307" s="12"/>
      <c r="F307" s="12"/>
      <c r="G307" s="11" t="s">
        <v>659</v>
      </c>
      <c r="H307" s="15">
        <v>25000.0</v>
      </c>
    </row>
    <row r="308">
      <c r="A308" s="13"/>
      <c r="B308" s="12"/>
      <c r="C308" s="12"/>
      <c r="D308" s="12"/>
      <c r="E308" s="12"/>
      <c r="F308" s="12"/>
      <c r="G308" s="12"/>
      <c r="H308" s="12"/>
    </row>
    <row r="309">
      <c r="A309" s="10">
        <v>6.0</v>
      </c>
      <c r="B309" s="11" t="s">
        <v>229</v>
      </c>
      <c r="C309" s="12"/>
      <c r="D309" s="12"/>
      <c r="E309" s="12"/>
      <c r="F309" s="12"/>
      <c r="G309" s="12"/>
      <c r="H309" s="12"/>
    </row>
    <row r="310">
      <c r="A310" s="13"/>
      <c r="B310" s="11" t="s">
        <v>76</v>
      </c>
      <c r="C310" s="11" t="s">
        <v>230</v>
      </c>
      <c r="D310" s="12"/>
      <c r="E310" s="12"/>
      <c r="F310" s="12"/>
      <c r="G310" s="12"/>
      <c r="H310" s="12"/>
    </row>
    <row r="311">
      <c r="A311" s="13"/>
      <c r="B311" s="12"/>
      <c r="C311" s="14">
        <v>1.0</v>
      </c>
      <c r="D311" s="11" t="s">
        <v>231</v>
      </c>
      <c r="E311" s="12"/>
      <c r="F311" s="12"/>
      <c r="G311" s="11" t="s">
        <v>232</v>
      </c>
      <c r="H311" s="15">
        <v>200000.0</v>
      </c>
    </row>
    <row r="312">
      <c r="A312" s="13"/>
      <c r="B312" s="12"/>
      <c r="C312" s="14">
        <v>2.0</v>
      </c>
      <c r="D312" s="11" t="s">
        <v>233</v>
      </c>
      <c r="E312" s="12"/>
      <c r="F312" s="12"/>
      <c r="G312" s="11" t="s">
        <v>232</v>
      </c>
      <c r="H312" s="15">
        <v>200000.0</v>
      </c>
    </row>
    <row r="313">
      <c r="A313" s="13"/>
      <c r="B313" s="12"/>
      <c r="C313" s="14">
        <v>3.0</v>
      </c>
      <c r="D313" s="11" t="s">
        <v>234</v>
      </c>
      <c r="E313" s="12"/>
      <c r="F313" s="12"/>
      <c r="G313" s="11" t="s">
        <v>232</v>
      </c>
      <c r="H313" s="15">
        <v>200000.0</v>
      </c>
    </row>
    <row r="314">
      <c r="A314" s="13"/>
      <c r="B314" s="12"/>
      <c r="C314" s="14">
        <v>4.0</v>
      </c>
      <c r="D314" s="11" t="s">
        <v>235</v>
      </c>
      <c r="E314" s="12"/>
      <c r="F314" s="12"/>
      <c r="G314" s="11" t="s">
        <v>232</v>
      </c>
      <c r="H314" s="15">
        <v>200000.0</v>
      </c>
    </row>
    <row r="315">
      <c r="A315" s="13"/>
      <c r="B315" s="12"/>
      <c r="C315" s="14">
        <v>5.0</v>
      </c>
      <c r="D315" s="11" t="s">
        <v>236</v>
      </c>
      <c r="E315" s="12"/>
      <c r="F315" s="12"/>
      <c r="G315" s="11" t="s">
        <v>232</v>
      </c>
      <c r="H315" s="15">
        <v>300000.0</v>
      </c>
    </row>
    <row r="316">
      <c r="A316" s="13"/>
      <c r="B316" s="12"/>
      <c r="C316" s="14">
        <v>6.0</v>
      </c>
      <c r="D316" s="11" t="s">
        <v>237</v>
      </c>
      <c r="E316" s="12"/>
      <c r="F316" s="12"/>
      <c r="G316" s="11" t="s">
        <v>232</v>
      </c>
      <c r="H316" s="15">
        <v>300000.0</v>
      </c>
    </row>
    <row r="317">
      <c r="A317" s="13"/>
      <c r="B317" s="11" t="s">
        <v>78</v>
      </c>
      <c r="C317" s="11" t="s">
        <v>238</v>
      </c>
      <c r="D317" s="12"/>
      <c r="E317" s="12"/>
      <c r="F317" s="12"/>
      <c r="G317" s="12"/>
      <c r="H317" s="12"/>
    </row>
    <row r="318">
      <c r="A318" s="13"/>
      <c r="B318" s="12"/>
      <c r="C318" s="11" t="s">
        <v>150</v>
      </c>
      <c r="D318" s="11" t="s">
        <v>239</v>
      </c>
      <c r="E318" s="12"/>
      <c r="F318" s="12"/>
      <c r="G318" s="11" t="s">
        <v>232</v>
      </c>
      <c r="H318" s="15">
        <v>200000.0</v>
      </c>
    </row>
    <row r="319">
      <c r="A319" s="13"/>
      <c r="B319" s="12"/>
      <c r="C319" s="11" t="s">
        <v>167</v>
      </c>
      <c r="D319" s="11" t="s">
        <v>240</v>
      </c>
      <c r="E319" s="12"/>
      <c r="F319" s="12"/>
      <c r="G319" s="11" t="s">
        <v>232</v>
      </c>
      <c r="H319" s="15">
        <v>200000.0</v>
      </c>
    </row>
    <row r="320">
      <c r="A320" s="13"/>
      <c r="B320" s="12"/>
      <c r="C320" s="11" t="s">
        <v>169</v>
      </c>
      <c r="D320" s="11" t="s">
        <v>241</v>
      </c>
      <c r="E320" s="12"/>
      <c r="F320" s="12"/>
      <c r="G320" s="11" t="s">
        <v>232</v>
      </c>
      <c r="H320" s="15">
        <v>200000.0</v>
      </c>
    </row>
    <row r="321">
      <c r="A321" s="13"/>
      <c r="B321" s="12"/>
      <c r="C321" s="11" t="s">
        <v>172</v>
      </c>
      <c r="D321" s="11" t="s">
        <v>242</v>
      </c>
      <c r="E321" s="12"/>
      <c r="F321" s="12"/>
      <c r="G321" s="11" t="s">
        <v>232</v>
      </c>
      <c r="H321" s="15">
        <v>200000.0</v>
      </c>
    </row>
    <row r="322">
      <c r="A322" s="13"/>
      <c r="B322" s="12"/>
      <c r="C322" s="11" t="s">
        <v>243</v>
      </c>
      <c r="D322" s="11" t="s">
        <v>244</v>
      </c>
      <c r="E322" s="12"/>
      <c r="F322" s="12"/>
      <c r="G322" s="11" t="s">
        <v>232</v>
      </c>
      <c r="H322" s="15">
        <v>200000.0</v>
      </c>
    </row>
    <row r="323">
      <c r="A323" s="13"/>
      <c r="B323" s="11" t="s">
        <v>80</v>
      </c>
      <c r="C323" s="11" t="s">
        <v>245</v>
      </c>
      <c r="D323" s="12"/>
      <c r="E323" s="12"/>
      <c r="F323" s="12"/>
      <c r="G323" s="11" t="s">
        <v>232</v>
      </c>
      <c r="H323" s="15">
        <v>200000.0</v>
      </c>
    </row>
    <row r="324">
      <c r="A324" s="13"/>
      <c r="B324" s="11" t="s">
        <v>129</v>
      </c>
      <c r="C324" s="11" t="s">
        <v>246</v>
      </c>
      <c r="D324" s="12"/>
      <c r="E324" s="12"/>
      <c r="F324" s="12"/>
      <c r="G324" s="11" t="s">
        <v>232</v>
      </c>
      <c r="H324" s="15">
        <v>200000.0</v>
      </c>
    </row>
    <row r="325">
      <c r="A325" s="13"/>
      <c r="B325" s="12"/>
      <c r="C325" s="12"/>
      <c r="D325" s="12"/>
      <c r="E325" s="12"/>
      <c r="F325" s="12"/>
      <c r="G325" s="12"/>
      <c r="H325" s="12"/>
    </row>
    <row r="326">
      <c r="A326" s="10">
        <v>7.0</v>
      </c>
      <c r="B326" s="11" t="s">
        <v>247</v>
      </c>
      <c r="C326" s="12"/>
      <c r="D326" s="12"/>
      <c r="E326" s="12"/>
      <c r="F326" s="12"/>
      <c r="G326" s="12"/>
      <c r="H326" s="12"/>
    </row>
    <row r="327">
      <c r="A327" s="13"/>
      <c r="B327" s="11" t="s">
        <v>76</v>
      </c>
      <c r="C327" s="11" t="s">
        <v>248</v>
      </c>
      <c r="D327" s="12"/>
      <c r="E327" s="12"/>
      <c r="F327" s="12"/>
      <c r="G327" s="11" t="s">
        <v>249</v>
      </c>
      <c r="H327" s="12"/>
    </row>
    <row r="328">
      <c r="A328" s="13"/>
      <c r="B328" s="12"/>
      <c r="C328" s="11" t="s">
        <v>250</v>
      </c>
      <c r="D328" s="12"/>
      <c r="E328" s="12"/>
      <c r="F328" s="12"/>
      <c r="G328" s="12"/>
      <c r="H328" s="15">
        <v>750000.0</v>
      </c>
    </row>
    <row r="329">
      <c r="A329" s="13"/>
      <c r="B329" s="12"/>
      <c r="C329" s="11" t="s">
        <v>251</v>
      </c>
      <c r="D329" s="12"/>
      <c r="E329" s="12"/>
      <c r="F329" s="12"/>
      <c r="G329" s="12"/>
      <c r="H329" s="15">
        <v>850000.0</v>
      </c>
    </row>
    <row r="330">
      <c r="A330" s="13"/>
      <c r="B330" s="11" t="s">
        <v>78</v>
      </c>
      <c r="C330" s="11" t="s">
        <v>252</v>
      </c>
      <c r="D330" s="12"/>
      <c r="E330" s="12"/>
      <c r="F330" s="12"/>
      <c r="G330" s="11" t="s">
        <v>249</v>
      </c>
      <c r="H330" s="15">
        <v>2000000.0</v>
      </c>
    </row>
    <row r="331">
      <c r="A331" s="13"/>
      <c r="B331" s="12"/>
      <c r="C331" s="12"/>
      <c r="D331" s="12"/>
      <c r="E331" s="12"/>
      <c r="F331" s="12"/>
      <c r="G331" s="12"/>
      <c r="H331" s="12"/>
    </row>
    <row r="332">
      <c r="A332" s="10">
        <v>8.0</v>
      </c>
      <c r="B332" s="11" t="s">
        <v>253</v>
      </c>
      <c r="C332" s="12"/>
      <c r="D332" s="12"/>
      <c r="E332" s="12"/>
      <c r="F332" s="12"/>
      <c r="G332" s="12"/>
      <c r="H332" s="12"/>
    </row>
    <row r="333">
      <c r="A333" s="13"/>
      <c r="B333" s="11" t="s">
        <v>76</v>
      </c>
      <c r="C333" s="11" t="s">
        <v>254</v>
      </c>
      <c r="D333" s="12"/>
      <c r="E333" s="12"/>
      <c r="F333" s="12"/>
      <c r="G333" s="11" t="s">
        <v>255</v>
      </c>
      <c r="H333" s="15">
        <v>1000000.0</v>
      </c>
    </row>
    <row r="334">
      <c r="A334" s="13"/>
      <c r="B334" s="11" t="s">
        <v>78</v>
      </c>
      <c r="C334" s="11" t="s">
        <v>256</v>
      </c>
      <c r="D334" s="12"/>
      <c r="E334" s="12"/>
      <c r="F334" s="12"/>
      <c r="G334" s="11" t="s">
        <v>255</v>
      </c>
      <c r="H334" s="15">
        <v>500000.0</v>
      </c>
    </row>
    <row r="335">
      <c r="A335" s="13"/>
      <c r="B335" s="12"/>
      <c r="C335" s="12"/>
      <c r="D335" s="12"/>
      <c r="E335" s="12"/>
      <c r="F335" s="12"/>
      <c r="G335" s="12"/>
      <c r="H335" s="12"/>
    </row>
    <row r="336">
      <c r="A336" s="10">
        <v>9.0</v>
      </c>
      <c r="B336" s="11" t="s">
        <v>257</v>
      </c>
      <c r="C336" s="12"/>
      <c r="D336" s="12"/>
      <c r="E336" s="12"/>
      <c r="F336" s="12"/>
      <c r="G336" s="12"/>
      <c r="H336" s="12"/>
    </row>
    <row r="337">
      <c r="A337" s="13"/>
      <c r="B337" s="14">
        <v>1.0</v>
      </c>
      <c r="C337" s="11" t="s">
        <v>258</v>
      </c>
      <c r="D337" s="12"/>
      <c r="E337" s="12"/>
      <c r="F337" s="12"/>
      <c r="G337" s="11" t="s">
        <v>259</v>
      </c>
      <c r="H337" s="15">
        <v>150000.0</v>
      </c>
    </row>
    <row r="338">
      <c r="A338" s="13"/>
      <c r="B338" s="14">
        <v>2.0</v>
      </c>
      <c r="C338" s="11" t="s">
        <v>260</v>
      </c>
      <c r="D338" s="12"/>
      <c r="E338" s="12"/>
      <c r="F338" s="12"/>
      <c r="G338" s="11" t="s">
        <v>259</v>
      </c>
      <c r="H338" s="15">
        <v>2000000.0</v>
      </c>
    </row>
    <row r="339">
      <c r="A339" s="13"/>
      <c r="B339" s="14">
        <v>3.0</v>
      </c>
      <c r="C339" s="11" t="s">
        <v>261</v>
      </c>
      <c r="D339" s="12"/>
      <c r="E339" s="12"/>
      <c r="F339" s="12"/>
      <c r="G339" s="11" t="s">
        <v>259</v>
      </c>
      <c r="H339" s="15">
        <v>3000000.0</v>
      </c>
    </row>
    <row r="340">
      <c r="A340" s="13"/>
      <c r="B340" s="14">
        <v>4.0</v>
      </c>
      <c r="C340" s="11" t="s">
        <v>262</v>
      </c>
      <c r="D340" s="12"/>
      <c r="E340" s="12"/>
      <c r="F340" s="12"/>
      <c r="G340" s="11" t="s">
        <v>259</v>
      </c>
      <c r="H340" s="15">
        <v>300000.0</v>
      </c>
    </row>
    <row r="341">
      <c r="A341" s="13"/>
      <c r="B341" s="14">
        <v>5.0</v>
      </c>
      <c r="C341" s="11" t="s">
        <v>263</v>
      </c>
      <c r="D341" s="12"/>
      <c r="E341" s="12"/>
      <c r="F341" s="12"/>
      <c r="G341" s="11" t="s">
        <v>259</v>
      </c>
      <c r="H341" s="15">
        <v>150000.0</v>
      </c>
    </row>
    <row r="342">
      <c r="A342" s="13"/>
      <c r="B342" s="14">
        <v>6.0</v>
      </c>
      <c r="C342" s="11" t="s">
        <v>264</v>
      </c>
      <c r="D342" s="12"/>
      <c r="E342" s="12"/>
      <c r="F342" s="12"/>
      <c r="G342" s="11" t="s">
        <v>259</v>
      </c>
      <c r="H342" s="15">
        <v>150000.0</v>
      </c>
    </row>
    <row r="343">
      <c r="A343" s="13"/>
      <c r="B343" s="14">
        <v>7.0</v>
      </c>
      <c r="C343" s="11" t="s">
        <v>265</v>
      </c>
      <c r="D343" s="12"/>
      <c r="E343" s="12"/>
      <c r="F343" s="12"/>
      <c r="G343" s="11" t="s">
        <v>259</v>
      </c>
      <c r="H343" s="15">
        <v>150000.0</v>
      </c>
    </row>
    <row r="344">
      <c r="A344" s="13"/>
      <c r="B344" s="14">
        <v>8.0</v>
      </c>
      <c r="C344" s="11" t="s">
        <v>266</v>
      </c>
      <c r="D344" s="12"/>
      <c r="E344" s="12"/>
      <c r="F344" s="12"/>
      <c r="G344" s="11" t="s">
        <v>259</v>
      </c>
      <c r="H344" s="15">
        <v>150000.0</v>
      </c>
    </row>
    <row r="345">
      <c r="A345" s="13"/>
      <c r="B345" s="14">
        <v>9.0</v>
      </c>
      <c r="C345" s="11" t="s">
        <v>267</v>
      </c>
      <c r="D345" s="12"/>
      <c r="E345" s="12"/>
      <c r="F345" s="12"/>
      <c r="G345" s="11" t="s">
        <v>259</v>
      </c>
      <c r="H345" s="15">
        <v>600000.0</v>
      </c>
    </row>
    <row r="346">
      <c r="A346" s="13"/>
      <c r="B346" s="14">
        <v>10.0</v>
      </c>
      <c r="C346" s="11" t="s">
        <v>268</v>
      </c>
      <c r="D346" s="12"/>
      <c r="E346" s="12"/>
      <c r="F346" s="12"/>
      <c r="G346" s="11" t="s">
        <v>259</v>
      </c>
      <c r="H346" s="15">
        <v>600000.0</v>
      </c>
    </row>
    <row r="347">
      <c r="A347" s="13"/>
      <c r="B347" s="14">
        <v>11.0</v>
      </c>
      <c r="C347" s="11" t="s">
        <v>269</v>
      </c>
      <c r="D347" s="12"/>
      <c r="E347" s="12"/>
      <c r="F347" s="12"/>
      <c r="G347" s="11" t="s">
        <v>259</v>
      </c>
      <c r="H347" s="15">
        <v>600000.0</v>
      </c>
    </row>
    <row r="348">
      <c r="A348" s="5"/>
      <c r="B348" s="6"/>
      <c r="C348" s="6"/>
      <c r="D348" s="6"/>
      <c r="E348" s="6"/>
      <c r="F348" s="6"/>
      <c r="G348" s="6"/>
      <c r="H348" s="6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  <row r="1001">
      <c r="A1001" s="18"/>
    </row>
    <row r="1002">
      <c r="A1002" s="18"/>
    </row>
  </sheetData>
  <mergeCells count="3">
    <mergeCell ref="A1:H1"/>
    <mergeCell ref="A2:H2"/>
    <mergeCell ref="A3:H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13"/>
    <col customWidth="1" min="14" max="17" width="18.88"/>
  </cols>
  <sheetData>
    <row r="1">
      <c r="A1" s="146" t="s">
        <v>506</v>
      </c>
      <c r="B1" s="147" t="s">
        <v>378</v>
      </c>
      <c r="C1" s="144" t="s">
        <v>380</v>
      </c>
      <c r="D1" s="144" t="s">
        <v>381</v>
      </c>
      <c r="E1" s="144" t="s">
        <v>508</v>
      </c>
      <c r="F1" s="145" t="s">
        <v>662</v>
      </c>
      <c r="G1" s="144" t="s">
        <v>510</v>
      </c>
      <c r="H1" s="144" t="s">
        <v>593</v>
      </c>
      <c r="I1" s="144" t="s">
        <v>594</v>
      </c>
      <c r="J1" s="146" t="s">
        <v>511</v>
      </c>
      <c r="K1" s="146" t="s">
        <v>595</v>
      </c>
      <c r="L1" s="147" t="s">
        <v>429</v>
      </c>
      <c r="M1" s="147" t="s">
        <v>379</v>
      </c>
      <c r="N1" s="148" t="s">
        <v>663</v>
      </c>
      <c r="O1" s="148" t="s">
        <v>664</v>
      </c>
      <c r="P1" s="148" t="s">
        <v>665</v>
      </c>
      <c r="Q1" s="148" t="s">
        <v>666</v>
      </c>
    </row>
    <row r="2">
      <c r="A2" s="152">
        <v>45670.0</v>
      </c>
      <c r="B2" s="135">
        <v>45714.0</v>
      </c>
      <c r="C2" s="157" t="s">
        <v>667</v>
      </c>
      <c r="D2" s="17" t="s">
        <v>668</v>
      </c>
      <c r="E2" s="17" t="s">
        <v>669</v>
      </c>
      <c r="F2" s="17" t="s">
        <v>670</v>
      </c>
      <c r="G2" s="17" t="s">
        <v>541</v>
      </c>
      <c r="H2" s="17" t="s">
        <v>671</v>
      </c>
      <c r="I2" s="17" t="s">
        <v>544</v>
      </c>
      <c r="J2" s="17">
        <v>6.0</v>
      </c>
      <c r="K2" s="141">
        <v>500000.0</v>
      </c>
      <c r="L2" s="140">
        <f>J2*K2</f>
        <v>3000000</v>
      </c>
      <c r="M2" s="17" t="s">
        <v>546</v>
      </c>
      <c r="N2" s="17" t="s">
        <v>672</v>
      </c>
      <c r="O2" s="133" t="s">
        <v>673</v>
      </c>
      <c r="P2" s="134" t="str">
        <f>HYPERLINK("https://drive.google.com/file/d/1uCAxmB5Y2TkcVhQf03UHQ3nl104pe2ph/view?usp=drivesdk","Ekstraksi_013")</f>
        <v>Ekstraksi_013</v>
      </c>
      <c r="Q2" s="17" t="s">
        <v>674</v>
      </c>
    </row>
  </sheetData>
  <hyperlinks>
    <hyperlink r:id="rId1" ref="O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7" width="18.88"/>
  </cols>
  <sheetData>
    <row r="1">
      <c r="A1" s="158" t="s">
        <v>506</v>
      </c>
      <c r="B1" s="144" t="s">
        <v>378</v>
      </c>
      <c r="C1" s="144" t="s">
        <v>380</v>
      </c>
      <c r="D1" s="144" t="s">
        <v>381</v>
      </c>
      <c r="E1" s="144" t="s">
        <v>508</v>
      </c>
      <c r="F1" s="145" t="s">
        <v>675</v>
      </c>
      <c r="G1" s="144" t="s">
        <v>510</v>
      </c>
      <c r="H1" s="158" t="s">
        <v>507</v>
      </c>
      <c r="I1" s="158" t="s">
        <v>594</v>
      </c>
      <c r="J1" s="146" t="s">
        <v>511</v>
      </c>
      <c r="K1" s="158" t="s">
        <v>595</v>
      </c>
      <c r="L1" s="158" t="s">
        <v>676</v>
      </c>
      <c r="M1" s="144" t="s">
        <v>379</v>
      </c>
      <c r="N1" s="148" t="s">
        <v>677</v>
      </c>
      <c r="O1" s="148" t="s">
        <v>678</v>
      </c>
      <c r="P1" s="148" t="s">
        <v>679</v>
      </c>
      <c r="Q1" s="148" t="s">
        <v>680</v>
      </c>
    </row>
    <row r="2">
      <c r="A2" s="135">
        <v>45834.0</v>
      </c>
      <c r="B2" s="135">
        <v>45965.0</v>
      </c>
      <c r="C2" s="17">
        <v>436.0</v>
      </c>
      <c r="D2" s="136" t="s">
        <v>681</v>
      </c>
      <c r="E2" s="136" t="s">
        <v>682</v>
      </c>
      <c r="F2" s="17" t="s">
        <v>683</v>
      </c>
      <c r="G2" s="17" t="s">
        <v>541</v>
      </c>
      <c r="H2" s="17" t="s">
        <v>684</v>
      </c>
      <c r="I2" s="17" t="s">
        <v>588</v>
      </c>
      <c r="J2" s="17">
        <v>3.0</v>
      </c>
      <c r="K2" s="141">
        <v>100000.0</v>
      </c>
      <c r="L2" s="140">
        <f>J2*K2</f>
        <v>300000</v>
      </c>
      <c r="M2" s="17" t="s">
        <v>588</v>
      </c>
      <c r="N2" s="17" t="s">
        <v>685</v>
      </c>
      <c r="O2" s="133" t="s">
        <v>686</v>
      </c>
      <c r="P2" s="134" t="str">
        <f>HYPERLINK("https://drive.google.com/file/d/1fM9po5ZwdyrPXRQxsno2qdndXPeyCE5W/view?usp=drivesdk","Organoleptik_&lt;Agenda&gt;&gt;")</f>
        <v>Organoleptik_&lt;Agenda&gt;&gt;</v>
      </c>
      <c r="Q2" s="17" t="s">
        <v>687</v>
      </c>
    </row>
  </sheetData>
  <hyperlinks>
    <hyperlink r:id="rId1" ref="O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21.25"/>
    <col customWidth="1" min="3" max="3" width="7.5"/>
    <col customWidth="1" min="4" max="4" width="19.38"/>
    <col customWidth="1" min="6" max="6" width="25.25"/>
    <col customWidth="1" min="21" max="21" width="7.38"/>
    <col customWidth="1" min="29" max="29" width="9.38"/>
    <col customWidth="1" min="30" max="30" width="10.5"/>
    <col customWidth="1" min="31" max="31" width="13.63"/>
    <col customWidth="1" min="32" max="36" width="18.88"/>
  </cols>
  <sheetData>
    <row r="1">
      <c r="A1" s="146" t="s">
        <v>688</v>
      </c>
      <c r="B1" s="147" t="s">
        <v>378</v>
      </c>
      <c r="C1" s="144" t="s">
        <v>380</v>
      </c>
      <c r="D1" s="144" t="s">
        <v>381</v>
      </c>
      <c r="E1" s="144" t="s">
        <v>508</v>
      </c>
      <c r="F1" s="146" t="s">
        <v>689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46" t="s">
        <v>595</v>
      </c>
      <c r="L1" s="146" t="s">
        <v>676</v>
      </c>
      <c r="M1" s="146" t="s">
        <v>692</v>
      </c>
      <c r="N1" s="146" t="s">
        <v>693</v>
      </c>
      <c r="O1" s="146" t="s">
        <v>694</v>
      </c>
      <c r="P1" s="146" t="s">
        <v>695</v>
      </c>
      <c r="Q1" s="146" t="s">
        <v>696</v>
      </c>
      <c r="R1" s="146" t="s">
        <v>697</v>
      </c>
      <c r="S1" s="146" t="s">
        <v>698</v>
      </c>
      <c r="T1" s="146" t="s">
        <v>699</v>
      </c>
      <c r="U1" s="146" t="s">
        <v>700</v>
      </c>
      <c r="V1" s="146" t="s">
        <v>515</v>
      </c>
      <c r="W1" s="146" t="s">
        <v>701</v>
      </c>
      <c r="X1" s="146" t="s">
        <v>702</v>
      </c>
      <c r="Y1" s="146" t="s">
        <v>519</v>
      </c>
      <c r="Z1" s="146" t="s">
        <v>703</v>
      </c>
      <c r="AA1" s="146" t="s">
        <v>704</v>
      </c>
      <c r="AB1" s="146" t="s">
        <v>705</v>
      </c>
      <c r="AC1" s="159" t="s">
        <v>523</v>
      </c>
      <c r="AD1" s="159" t="s">
        <v>706</v>
      </c>
      <c r="AE1" s="159" t="s">
        <v>707</v>
      </c>
      <c r="AF1" s="147" t="s">
        <v>379</v>
      </c>
      <c r="AG1" s="160" t="s">
        <v>708</v>
      </c>
      <c r="AH1" s="160" t="s">
        <v>709</v>
      </c>
      <c r="AI1" s="160" t="s">
        <v>710</v>
      </c>
      <c r="AJ1" s="160" t="s">
        <v>711</v>
      </c>
    </row>
    <row r="2">
      <c r="A2" s="153">
        <v>45520.0</v>
      </c>
      <c r="B2" s="153">
        <v>45531.0</v>
      </c>
      <c r="C2" s="161">
        <v>720.0</v>
      </c>
      <c r="D2" s="162" t="s">
        <v>712</v>
      </c>
      <c r="E2" s="162" t="s">
        <v>713</v>
      </c>
      <c r="F2" s="162" t="s">
        <v>714</v>
      </c>
      <c r="G2" s="155" t="s">
        <v>541</v>
      </c>
      <c r="H2" s="155" t="s">
        <v>715</v>
      </c>
      <c r="I2" s="155" t="s">
        <v>716</v>
      </c>
      <c r="J2" s="155">
        <v>1.0</v>
      </c>
      <c r="K2" s="163">
        <v>400000.0</v>
      </c>
      <c r="L2" s="164"/>
      <c r="M2" s="164" t="s">
        <v>717</v>
      </c>
      <c r="N2" s="155">
        <v>60.0</v>
      </c>
      <c r="O2" s="155">
        <v>20.0</v>
      </c>
      <c r="P2" s="164">
        <v>45.0</v>
      </c>
      <c r="Q2" s="155">
        <v>45.0</v>
      </c>
      <c r="R2" s="155">
        <v>30.0</v>
      </c>
      <c r="S2" s="155">
        <v>60.0</v>
      </c>
      <c r="T2" s="165">
        <f>SUM(N2:S2)</f>
        <v>260</v>
      </c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 t="s">
        <v>453</v>
      </c>
      <c r="AG2" s="155" t="s">
        <v>718</v>
      </c>
      <c r="AH2" s="166" t="s">
        <v>719</v>
      </c>
      <c r="AI2" s="166" t="str">
        <f>HYPERLINK("https://drive.google.com/file/d/1YQu1FuyLYYFpQ5tlbxyPx2PVPInH-Ye8/view?usp=drivesdk","GC-MS_Nanda Dewi R_720")</f>
        <v>GC-MS_Nanda Dewi R_720</v>
      </c>
      <c r="AJ2" s="155" t="s">
        <v>720</v>
      </c>
    </row>
    <row r="3">
      <c r="A3" s="153"/>
      <c r="B3" s="153"/>
      <c r="C3" s="167"/>
      <c r="D3" s="162"/>
      <c r="E3" s="162"/>
      <c r="F3" s="162"/>
      <c r="G3" s="155"/>
      <c r="H3" s="155"/>
      <c r="I3" s="155"/>
      <c r="J3" s="155"/>
      <c r="K3" s="163"/>
      <c r="L3" s="164"/>
      <c r="M3" s="164"/>
      <c r="N3" s="155"/>
      <c r="O3" s="155"/>
      <c r="P3" s="164"/>
      <c r="Q3" s="155"/>
      <c r="R3" s="155"/>
      <c r="S3" s="155"/>
      <c r="T3" s="16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 t="s">
        <v>721</v>
      </c>
      <c r="AH3" s="166" t="s">
        <v>722</v>
      </c>
      <c r="AI3" s="166" t="str">
        <f>HYPERLINK("https://drive.google.com/file/d/1_ApHqvZC52h7o3wXMli_sun_ConK9Huw/view?usp=drivesdk","GC-MS_Contoh_7xx")</f>
        <v>GC-MS_Contoh_7xx</v>
      </c>
      <c r="AJ3" s="155" t="s">
        <v>720</v>
      </c>
    </row>
    <row r="4">
      <c r="A4" s="153">
        <v>45589.0</v>
      </c>
      <c r="B4" s="153">
        <v>45607.0</v>
      </c>
      <c r="C4" s="168">
        <v>847.0</v>
      </c>
      <c r="D4" s="136" t="s">
        <v>723</v>
      </c>
      <c r="E4" s="136" t="s">
        <v>724</v>
      </c>
      <c r="F4" s="136" t="s">
        <v>725</v>
      </c>
      <c r="G4" s="17" t="s">
        <v>621</v>
      </c>
      <c r="H4" s="155" t="s">
        <v>715</v>
      </c>
      <c r="I4" s="155" t="s">
        <v>716</v>
      </c>
      <c r="J4" s="17">
        <v>3.0</v>
      </c>
      <c r="K4" s="163">
        <v>400000.0</v>
      </c>
      <c r="L4" s="169"/>
      <c r="M4" s="169" t="s">
        <v>726</v>
      </c>
      <c r="N4" s="17">
        <v>60.0</v>
      </c>
      <c r="O4" s="17">
        <v>60.0</v>
      </c>
      <c r="P4" s="17">
        <v>85.0</v>
      </c>
      <c r="Q4" s="17">
        <v>255.0</v>
      </c>
      <c r="R4" s="17">
        <v>90.0</v>
      </c>
      <c r="S4" s="17">
        <v>60.0</v>
      </c>
      <c r="T4" s="165">
        <f t="shared" ref="T4:T34" si="1">SUM(N4:S4)</f>
        <v>610</v>
      </c>
      <c r="U4" s="17">
        <v>3.0</v>
      </c>
      <c r="V4" s="17"/>
      <c r="W4" s="17"/>
      <c r="X4" s="17">
        <v>3.0</v>
      </c>
      <c r="Y4" s="155"/>
      <c r="Z4" s="155"/>
      <c r="AA4" s="155" t="s">
        <v>727</v>
      </c>
      <c r="AB4" s="17" t="s">
        <v>728</v>
      </c>
      <c r="AC4" s="17"/>
      <c r="AD4" s="17"/>
      <c r="AE4" s="17"/>
      <c r="AF4" s="155" t="s">
        <v>453</v>
      </c>
      <c r="AG4" s="17" t="s">
        <v>729</v>
      </c>
      <c r="AH4" s="133" t="s">
        <v>730</v>
      </c>
      <c r="AI4" s="134" t="str">
        <f>HYPERLINK("https://drive.google.com/file/d/1P9V0ZfzjrEUe4ja4Az1Tcbu5SuLJ3t26/view?usp=drivesdk","GC-MS_Mazlan_847")</f>
        <v>GC-MS_Mazlan_847</v>
      </c>
      <c r="AJ4" s="17" t="s">
        <v>731</v>
      </c>
    </row>
    <row r="5">
      <c r="A5" s="153">
        <v>45590.0</v>
      </c>
      <c r="B5" s="153">
        <v>45607.0</v>
      </c>
      <c r="C5" s="168">
        <v>850.0</v>
      </c>
      <c r="D5" s="136" t="s">
        <v>732</v>
      </c>
      <c r="E5" s="136" t="s">
        <v>733</v>
      </c>
      <c r="F5" s="136" t="s">
        <v>734</v>
      </c>
      <c r="G5" s="17" t="s">
        <v>621</v>
      </c>
      <c r="H5" s="155" t="s">
        <v>715</v>
      </c>
      <c r="I5" s="155" t="s">
        <v>716</v>
      </c>
      <c r="J5" s="17">
        <v>1.0</v>
      </c>
      <c r="K5" s="163">
        <v>400000.0</v>
      </c>
      <c r="L5" s="169"/>
      <c r="M5" s="169" t="s">
        <v>735</v>
      </c>
      <c r="N5" s="17">
        <v>60.0</v>
      </c>
      <c r="O5" s="169" t="s">
        <v>155</v>
      </c>
      <c r="P5" s="17">
        <v>60.0</v>
      </c>
      <c r="Q5" s="17">
        <v>60.0</v>
      </c>
      <c r="R5" s="17">
        <v>30.0</v>
      </c>
      <c r="S5" s="17">
        <v>60.0</v>
      </c>
      <c r="T5" s="165">
        <f t="shared" si="1"/>
        <v>270</v>
      </c>
      <c r="U5" s="17">
        <v>0.0</v>
      </c>
      <c r="V5" s="17"/>
      <c r="W5" s="17"/>
      <c r="X5" s="17">
        <v>0.0</v>
      </c>
      <c r="Y5" s="17"/>
      <c r="Z5" s="17"/>
      <c r="AA5" s="17" t="s">
        <v>155</v>
      </c>
      <c r="AB5" s="17">
        <v>0.0</v>
      </c>
      <c r="AC5" s="17"/>
      <c r="AD5" s="17"/>
      <c r="AE5" s="17"/>
      <c r="AF5" s="155" t="s">
        <v>453</v>
      </c>
      <c r="AG5" s="17" t="s">
        <v>736</v>
      </c>
      <c r="AH5" s="133" t="s">
        <v>737</v>
      </c>
      <c r="AI5" s="134" t="str">
        <f>HYPERLINK("https://drive.google.com/file/d/1gDuKlRNUq1dpYf_z2PlFvdkuI_bL_dZu/view?usp=drivesdk","GC-MS_Nindy Samira Rahmi _850")</f>
        <v>GC-MS_Nindy Samira Rahmi _850</v>
      </c>
      <c r="AJ5" s="17" t="s">
        <v>738</v>
      </c>
    </row>
    <row r="6">
      <c r="A6" s="153">
        <v>45589.0</v>
      </c>
      <c r="B6" s="153">
        <v>45611.0</v>
      </c>
      <c r="C6" s="168">
        <v>846.0</v>
      </c>
      <c r="D6" s="17" t="s">
        <v>739</v>
      </c>
      <c r="E6" s="136" t="s">
        <v>740</v>
      </c>
      <c r="F6" s="136" t="s">
        <v>741</v>
      </c>
      <c r="G6" s="17" t="s">
        <v>621</v>
      </c>
      <c r="H6" s="155" t="s">
        <v>715</v>
      </c>
      <c r="I6" s="155" t="s">
        <v>716</v>
      </c>
      <c r="J6" s="17">
        <v>4.0</v>
      </c>
      <c r="K6" s="163">
        <v>400000.0</v>
      </c>
      <c r="L6" s="169"/>
      <c r="M6" s="169" t="s">
        <v>742</v>
      </c>
      <c r="N6" s="17">
        <v>60.0</v>
      </c>
      <c r="O6" s="17">
        <v>60.0</v>
      </c>
      <c r="P6" s="17">
        <v>30.0</v>
      </c>
      <c r="Q6" s="17">
        <v>120.0</v>
      </c>
      <c r="R6" s="17">
        <v>120.0</v>
      </c>
      <c r="S6" s="17">
        <v>60.0</v>
      </c>
      <c r="T6" s="165">
        <f t="shared" si="1"/>
        <v>450</v>
      </c>
      <c r="U6" s="17">
        <v>4.0</v>
      </c>
      <c r="V6" s="17"/>
      <c r="W6" s="17"/>
      <c r="X6" s="17">
        <v>3.0</v>
      </c>
      <c r="Y6" s="155"/>
      <c r="Z6" s="155"/>
      <c r="AA6" s="155" t="s">
        <v>727</v>
      </c>
      <c r="AB6" s="17" t="s">
        <v>728</v>
      </c>
      <c r="AC6" s="17"/>
      <c r="AD6" s="17"/>
      <c r="AE6" s="17"/>
      <c r="AF6" s="155" t="s">
        <v>453</v>
      </c>
      <c r="AG6" s="17" t="s">
        <v>743</v>
      </c>
      <c r="AH6" s="133" t="s">
        <v>744</v>
      </c>
      <c r="AI6" s="134" t="str">
        <f>HYPERLINK("https://drive.google.com/file/d/1RiuTuwmzo6O7qQAcJd-UKR7Doz5pAEiA/view?usp=drivesdk","GC-MS_Halim Maylano_846")</f>
        <v>GC-MS_Halim Maylano_846</v>
      </c>
      <c r="AJ6" s="17" t="s">
        <v>745</v>
      </c>
    </row>
    <row r="7">
      <c r="A7" s="153">
        <v>45617.0</v>
      </c>
      <c r="B7" s="153">
        <v>45630.0</v>
      </c>
      <c r="C7" s="168">
        <v>891.0</v>
      </c>
      <c r="D7" s="136" t="s">
        <v>723</v>
      </c>
      <c r="E7" s="136" t="s">
        <v>724</v>
      </c>
      <c r="F7" s="136" t="s">
        <v>746</v>
      </c>
      <c r="G7" s="17" t="s">
        <v>621</v>
      </c>
      <c r="H7" s="155" t="s">
        <v>715</v>
      </c>
      <c r="I7" s="155" t="s">
        <v>716</v>
      </c>
      <c r="J7" s="17">
        <v>3.0</v>
      </c>
      <c r="K7" s="163">
        <v>400000.0</v>
      </c>
      <c r="L7" s="169"/>
      <c r="M7" s="169" t="s">
        <v>726</v>
      </c>
      <c r="N7" s="17">
        <v>60.0</v>
      </c>
      <c r="O7" s="17">
        <v>60.0</v>
      </c>
      <c r="P7" s="17">
        <v>85.0</v>
      </c>
      <c r="Q7" s="17">
        <v>255.0</v>
      </c>
      <c r="R7" s="17">
        <v>90.0</v>
      </c>
      <c r="S7" s="17">
        <v>60.0</v>
      </c>
      <c r="T7" s="165">
        <f t="shared" si="1"/>
        <v>610</v>
      </c>
      <c r="U7" s="17">
        <v>3.0</v>
      </c>
      <c r="V7" s="122">
        <v>5000.0</v>
      </c>
      <c r="W7" s="122">
        <f t="shared" ref="W7:W34" si="2">U7*V7</f>
        <v>15000</v>
      </c>
      <c r="X7" s="17">
        <v>3.0</v>
      </c>
      <c r="Y7" s="122">
        <v>50000.0</v>
      </c>
      <c r="Z7" s="122">
        <f t="shared" ref="Z7:Z34" si="3">X7*Y7</f>
        <v>150000</v>
      </c>
      <c r="AA7" s="155" t="s">
        <v>727</v>
      </c>
      <c r="AB7" s="17">
        <v>30.0</v>
      </c>
      <c r="AC7" s="122">
        <v>1000.0</v>
      </c>
      <c r="AD7" s="122">
        <f t="shared" ref="AD7:AD11" si="4">AB7*AC7</f>
        <v>30000</v>
      </c>
      <c r="AE7" s="122">
        <f t="shared" ref="AE7:AE34" si="5">W7+Z7+AD7</f>
        <v>195000</v>
      </c>
      <c r="AF7" s="155" t="s">
        <v>453</v>
      </c>
      <c r="AG7" s="17" t="s">
        <v>747</v>
      </c>
      <c r="AH7" s="133" t="s">
        <v>748</v>
      </c>
      <c r="AI7" s="134" t="str">
        <f>HYPERLINK("https://drive.google.com/file/d/1YpE_i7Xo0aCEM7AauGKKeFcbalRV8ZV5/view?usp=drivesdk","GC-MS_Mazlan_891")</f>
        <v>GC-MS_Mazlan_891</v>
      </c>
      <c r="AJ7" s="17" t="s">
        <v>749</v>
      </c>
    </row>
    <row r="8">
      <c r="A8" s="153">
        <v>45625.0</v>
      </c>
      <c r="B8" s="153">
        <v>45630.0</v>
      </c>
      <c r="C8" s="168">
        <v>896.0</v>
      </c>
      <c r="D8" s="136" t="s">
        <v>750</v>
      </c>
      <c r="E8" s="136" t="s">
        <v>733</v>
      </c>
      <c r="F8" s="136" t="s">
        <v>751</v>
      </c>
      <c r="G8" s="17" t="s">
        <v>621</v>
      </c>
      <c r="H8" s="155" t="s">
        <v>715</v>
      </c>
      <c r="I8" s="155" t="s">
        <v>716</v>
      </c>
      <c r="J8" s="17">
        <v>1.0</v>
      </c>
      <c r="K8" s="163">
        <v>400000.0</v>
      </c>
      <c r="L8" s="169"/>
      <c r="M8" s="169" t="s">
        <v>735</v>
      </c>
      <c r="N8" s="17">
        <v>60.0</v>
      </c>
      <c r="O8" s="169" t="s">
        <v>155</v>
      </c>
      <c r="P8" s="17">
        <v>60.0</v>
      </c>
      <c r="Q8" s="17">
        <v>60.0</v>
      </c>
      <c r="R8" s="17">
        <v>30.0</v>
      </c>
      <c r="S8" s="17">
        <v>60.0</v>
      </c>
      <c r="T8" s="165">
        <f t="shared" si="1"/>
        <v>270</v>
      </c>
      <c r="U8" s="17">
        <v>1.0</v>
      </c>
      <c r="V8" s="122">
        <v>5000.0</v>
      </c>
      <c r="W8" s="122">
        <f t="shared" si="2"/>
        <v>5000</v>
      </c>
      <c r="X8" s="17">
        <v>1.0</v>
      </c>
      <c r="Y8" s="122">
        <v>50000.0</v>
      </c>
      <c r="Z8" s="122">
        <f t="shared" si="3"/>
        <v>50000</v>
      </c>
      <c r="AA8" s="17" t="s">
        <v>155</v>
      </c>
      <c r="AB8" s="17">
        <v>0.0</v>
      </c>
      <c r="AC8" s="122">
        <v>0.0</v>
      </c>
      <c r="AD8" s="122">
        <f t="shared" si="4"/>
        <v>0</v>
      </c>
      <c r="AE8" s="122">
        <f t="shared" si="5"/>
        <v>55000</v>
      </c>
      <c r="AF8" s="155" t="s">
        <v>453</v>
      </c>
      <c r="AG8" s="17" t="s">
        <v>752</v>
      </c>
      <c r="AH8" s="133" t="s">
        <v>753</v>
      </c>
      <c r="AI8" s="134" t="str">
        <f>HYPERLINK("https://drive.google.com/file/d/1htjZ1ZPf32I0KYns4PbS2upqYFeo3ZrO/view?usp=drivesdk","GC-MS_Nindy Samira Rahmi_896")</f>
        <v>GC-MS_Nindy Samira Rahmi_896</v>
      </c>
      <c r="AJ8" s="17" t="s">
        <v>749</v>
      </c>
    </row>
    <row r="9">
      <c r="A9" s="153">
        <v>45637.0</v>
      </c>
      <c r="B9" s="153">
        <v>45644.0</v>
      </c>
      <c r="C9" s="168">
        <v>928.0</v>
      </c>
      <c r="D9" s="17" t="s">
        <v>754</v>
      </c>
      <c r="E9" s="17" t="s">
        <v>755</v>
      </c>
      <c r="F9" s="17" t="s">
        <v>734</v>
      </c>
      <c r="G9" s="17" t="s">
        <v>621</v>
      </c>
      <c r="H9" s="17" t="s">
        <v>715</v>
      </c>
      <c r="I9" s="17" t="s">
        <v>716</v>
      </c>
      <c r="J9" s="17">
        <v>1.0</v>
      </c>
      <c r="K9" s="163">
        <v>400000.0</v>
      </c>
      <c r="L9" s="169"/>
      <c r="M9" s="169" t="s">
        <v>756</v>
      </c>
      <c r="N9" s="17">
        <v>60.0</v>
      </c>
      <c r="O9" s="169">
        <v>20.0</v>
      </c>
      <c r="P9" s="17">
        <v>60.0</v>
      </c>
      <c r="Q9" s="17">
        <v>60.0</v>
      </c>
      <c r="R9" s="17">
        <v>30.0</v>
      </c>
      <c r="S9" s="17">
        <v>60.0</v>
      </c>
      <c r="T9" s="165">
        <f t="shared" si="1"/>
        <v>290</v>
      </c>
      <c r="U9" s="17">
        <v>1.0</v>
      </c>
      <c r="V9" s="122">
        <v>3000.0</v>
      </c>
      <c r="W9" s="122">
        <f t="shared" si="2"/>
        <v>3000</v>
      </c>
      <c r="X9" s="17">
        <v>1.0</v>
      </c>
      <c r="Y9" s="122">
        <v>50000.0</v>
      </c>
      <c r="Z9" s="122">
        <f t="shared" si="3"/>
        <v>50000</v>
      </c>
      <c r="AA9" s="155" t="s">
        <v>727</v>
      </c>
      <c r="AB9" s="17">
        <v>10.0</v>
      </c>
      <c r="AC9" s="122">
        <v>1000.0</v>
      </c>
      <c r="AD9" s="122">
        <f t="shared" si="4"/>
        <v>10000</v>
      </c>
      <c r="AE9" s="122">
        <f t="shared" si="5"/>
        <v>63000</v>
      </c>
      <c r="AF9" s="155" t="s">
        <v>453</v>
      </c>
      <c r="AG9" s="17" t="s">
        <v>757</v>
      </c>
      <c r="AH9" s="133" t="s">
        <v>758</v>
      </c>
      <c r="AI9" s="134" t="str">
        <f>HYPERLINK("https://drive.google.com/file/d/1OSur_85z0JFkxMOOnZUm9iqq6CTw32h4/view?usp=drivesdk","GC-MS_Mardiana_928")</f>
        <v>GC-MS_Mardiana_928</v>
      </c>
      <c r="AJ9" s="17" t="s">
        <v>759</v>
      </c>
    </row>
    <row r="10">
      <c r="A10" s="153">
        <v>45595.0</v>
      </c>
      <c r="B10" s="153">
        <v>45644.0</v>
      </c>
      <c r="C10" s="168">
        <v>854.0</v>
      </c>
      <c r="D10" s="136" t="s">
        <v>760</v>
      </c>
      <c r="E10" s="136" t="s">
        <v>761</v>
      </c>
      <c r="F10" s="136" t="s">
        <v>762</v>
      </c>
      <c r="G10" s="17" t="s">
        <v>621</v>
      </c>
      <c r="H10" s="17" t="s">
        <v>715</v>
      </c>
      <c r="I10" s="17" t="s">
        <v>716</v>
      </c>
      <c r="J10" s="17">
        <v>8.0</v>
      </c>
      <c r="K10" s="163">
        <v>400000.0</v>
      </c>
      <c r="L10" s="169"/>
      <c r="M10" s="169" t="s">
        <v>763</v>
      </c>
      <c r="N10" s="17">
        <v>60.0</v>
      </c>
      <c r="O10" s="17">
        <v>160.0</v>
      </c>
      <c r="P10" s="17">
        <v>65.0</v>
      </c>
      <c r="Q10" s="17">
        <v>65.0</v>
      </c>
      <c r="R10" s="17">
        <v>240.0</v>
      </c>
      <c r="S10" s="17">
        <v>60.0</v>
      </c>
      <c r="T10" s="165">
        <f t="shared" si="1"/>
        <v>650</v>
      </c>
      <c r="U10" s="17">
        <v>8.0</v>
      </c>
      <c r="V10" s="122">
        <v>3000.0</v>
      </c>
      <c r="W10" s="122">
        <f t="shared" si="2"/>
        <v>24000</v>
      </c>
      <c r="X10" s="17">
        <v>8.0</v>
      </c>
      <c r="Y10" s="122">
        <v>50000.0</v>
      </c>
      <c r="Z10" s="122">
        <f t="shared" si="3"/>
        <v>400000</v>
      </c>
      <c r="AA10" s="155" t="s">
        <v>727</v>
      </c>
      <c r="AB10" s="17">
        <v>80.0</v>
      </c>
      <c r="AC10" s="122">
        <v>1000.0</v>
      </c>
      <c r="AD10" s="122">
        <f t="shared" si="4"/>
        <v>80000</v>
      </c>
      <c r="AE10" s="122">
        <f t="shared" si="5"/>
        <v>504000</v>
      </c>
      <c r="AF10" s="155" t="s">
        <v>453</v>
      </c>
      <c r="AG10" s="17" t="s">
        <v>764</v>
      </c>
      <c r="AH10" s="133" t="s">
        <v>765</v>
      </c>
      <c r="AI10" s="134" t="str">
        <f>HYPERLINK("https://drive.google.com/file/d/13AB7gKofGw4LOMgQxOt4ayOHpOO82PJo/view?usp=drivesdk","GC-MS_Retno Duwi Hardini_854")</f>
        <v>GC-MS_Retno Duwi Hardini_854</v>
      </c>
      <c r="AJ10" s="17" t="s">
        <v>759</v>
      </c>
    </row>
    <row r="11">
      <c r="A11" s="153">
        <v>45649.0</v>
      </c>
      <c r="B11" s="153">
        <v>45650.0</v>
      </c>
      <c r="C11" s="168">
        <v>947.0</v>
      </c>
      <c r="D11" s="17" t="s">
        <v>754</v>
      </c>
      <c r="E11" s="17" t="s">
        <v>755</v>
      </c>
      <c r="F11" s="17" t="s">
        <v>734</v>
      </c>
      <c r="G11" s="17" t="s">
        <v>621</v>
      </c>
      <c r="H11" s="17" t="s">
        <v>715</v>
      </c>
      <c r="I11" s="17" t="s">
        <v>766</v>
      </c>
      <c r="J11" s="17">
        <v>4.0</v>
      </c>
      <c r="K11" s="163">
        <v>400000.0</v>
      </c>
      <c r="L11" s="169"/>
      <c r="M11" s="169" t="s">
        <v>756</v>
      </c>
      <c r="N11" s="17">
        <v>60.0</v>
      </c>
      <c r="O11" s="17">
        <v>80.0</v>
      </c>
      <c r="P11" s="17">
        <v>60.0</v>
      </c>
      <c r="Q11" s="17">
        <v>240.0</v>
      </c>
      <c r="R11" s="17">
        <v>120.0</v>
      </c>
      <c r="S11" s="17">
        <v>60.0</v>
      </c>
      <c r="T11" s="165">
        <f t="shared" si="1"/>
        <v>620</v>
      </c>
      <c r="U11" s="17">
        <v>4.0</v>
      </c>
      <c r="V11" s="122">
        <v>3000.0</v>
      </c>
      <c r="W11" s="122">
        <f t="shared" si="2"/>
        <v>12000</v>
      </c>
      <c r="X11" s="17">
        <v>4.0</v>
      </c>
      <c r="Y11" s="122">
        <v>50000.0</v>
      </c>
      <c r="Z11" s="122">
        <f t="shared" si="3"/>
        <v>200000</v>
      </c>
      <c r="AA11" s="155" t="s">
        <v>727</v>
      </c>
      <c r="AB11" s="17">
        <v>40.0</v>
      </c>
      <c r="AC11" s="122">
        <v>1000.0</v>
      </c>
      <c r="AD11" s="122">
        <f t="shared" si="4"/>
        <v>40000</v>
      </c>
      <c r="AE11" s="122">
        <f t="shared" si="5"/>
        <v>252000</v>
      </c>
      <c r="AF11" s="155" t="s">
        <v>453</v>
      </c>
      <c r="AG11" s="17" t="s">
        <v>767</v>
      </c>
      <c r="AH11" s="133" t="s">
        <v>768</v>
      </c>
      <c r="AI11" s="134" t="str">
        <f>HYPERLINK("https://drive.google.com/file/d/16tH3cYjHPEUh7qYRPP7JHlD54KSDE2xi/view?usp=drivesdk","GC-MS_Mardiana_947")</f>
        <v>GC-MS_Mardiana_947</v>
      </c>
      <c r="AJ11" s="17" t="s">
        <v>769</v>
      </c>
    </row>
    <row r="12">
      <c r="A12" s="153">
        <v>45672.0</v>
      </c>
      <c r="B12" s="153">
        <v>45701.0</v>
      </c>
      <c r="C12" s="168">
        <v>19.0</v>
      </c>
      <c r="D12" s="136" t="s">
        <v>723</v>
      </c>
      <c r="E12" s="136" t="s">
        <v>724</v>
      </c>
      <c r="F12" s="136" t="s">
        <v>725</v>
      </c>
      <c r="G12" s="17" t="s">
        <v>621</v>
      </c>
      <c r="H12" s="155" t="s">
        <v>715</v>
      </c>
      <c r="I12" s="155" t="s">
        <v>716</v>
      </c>
      <c r="J12" s="17">
        <v>3.0</v>
      </c>
      <c r="K12" s="163">
        <v>400000.0</v>
      </c>
      <c r="L12" s="170">
        <f t="shared" ref="L12:L34" si="6">J12*K12</f>
        <v>1200000</v>
      </c>
      <c r="M12" s="169" t="s">
        <v>770</v>
      </c>
      <c r="N12" s="17">
        <v>60.0</v>
      </c>
      <c r="O12" s="17">
        <v>60.0</v>
      </c>
      <c r="P12" s="17">
        <v>52.0</v>
      </c>
      <c r="Q12" s="17">
        <v>156.0</v>
      </c>
      <c r="R12" s="17">
        <v>90.0</v>
      </c>
      <c r="S12" s="17">
        <v>60.0</v>
      </c>
      <c r="T12" s="165">
        <f t="shared" si="1"/>
        <v>478</v>
      </c>
      <c r="U12" s="17">
        <v>3.0</v>
      </c>
      <c r="V12" s="122">
        <v>3000.0</v>
      </c>
      <c r="W12" s="122">
        <f t="shared" si="2"/>
        <v>9000</v>
      </c>
      <c r="X12" s="17">
        <v>3.0</v>
      </c>
      <c r="Y12" s="122">
        <v>50000.0</v>
      </c>
      <c r="Z12" s="122">
        <f t="shared" si="3"/>
        <v>150000</v>
      </c>
      <c r="AA12" s="17" t="s">
        <v>155</v>
      </c>
      <c r="AB12" s="17">
        <v>0.0</v>
      </c>
      <c r="AC12" s="17">
        <v>0.0</v>
      </c>
      <c r="AD12" s="17">
        <v>0.0</v>
      </c>
      <c r="AE12" s="122">
        <f t="shared" si="5"/>
        <v>159000</v>
      </c>
      <c r="AF12" s="155" t="s">
        <v>453</v>
      </c>
      <c r="AG12" s="17" t="s">
        <v>771</v>
      </c>
      <c r="AH12" s="133" t="s">
        <v>772</v>
      </c>
      <c r="AI12" s="134" t="str">
        <f>HYPERLINK("https://drive.google.com/file/d/1mOiD4tWDsk9iCOri7zP9xQkpA8VmKO-f/view?usp=drivesdk","GC-MS_Mazlan_19")</f>
        <v>GC-MS_Mazlan_19</v>
      </c>
      <c r="AJ12" s="17" t="s">
        <v>773</v>
      </c>
    </row>
    <row r="13">
      <c r="A13" s="153">
        <v>45764.0</v>
      </c>
      <c r="B13" s="153">
        <v>45796.0</v>
      </c>
      <c r="C13" s="168">
        <v>210.0</v>
      </c>
      <c r="D13" s="17" t="s">
        <v>774</v>
      </c>
      <c r="E13" s="17" t="s">
        <v>775</v>
      </c>
      <c r="F13" s="17" t="s">
        <v>776</v>
      </c>
      <c r="G13" s="17" t="s">
        <v>621</v>
      </c>
      <c r="H13" s="155" t="s">
        <v>715</v>
      </c>
      <c r="I13" s="17" t="s">
        <v>777</v>
      </c>
      <c r="J13" s="17">
        <v>1.0</v>
      </c>
      <c r="K13" s="163">
        <v>400000.0</v>
      </c>
      <c r="L13" s="170">
        <f t="shared" si="6"/>
        <v>400000</v>
      </c>
      <c r="M13" s="169" t="s">
        <v>778</v>
      </c>
      <c r="N13" s="17">
        <v>60.0</v>
      </c>
      <c r="O13" s="17">
        <f t="shared" ref="O13:O17" si="7">J13*20</f>
        <v>20</v>
      </c>
      <c r="P13" s="17">
        <v>60.0</v>
      </c>
      <c r="Q13" s="171">
        <f t="shared" ref="Q13:Q34" si="8">J13*(P13+15)</f>
        <v>75</v>
      </c>
      <c r="R13" s="171">
        <f t="shared" ref="R13:R34" si="9">J13*30</f>
        <v>30</v>
      </c>
      <c r="S13" s="17">
        <v>60.0</v>
      </c>
      <c r="T13" s="165">
        <f t="shared" si="1"/>
        <v>305</v>
      </c>
      <c r="U13" s="171">
        <f t="shared" ref="U13:U16" si="10">J13</f>
        <v>1</v>
      </c>
      <c r="V13" s="122">
        <v>3000.0</v>
      </c>
      <c r="W13" s="122">
        <f t="shared" si="2"/>
        <v>3000</v>
      </c>
      <c r="X13" s="171">
        <f t="shared" ref="X13:X18" si="11">U13</f>
        <v>1</v>
      </c>
      <c r="Y13" s="122">
        <v>50000.0</v>
      </c>
      <c r="Z13" s="122">
        <f t="shared" si="3"/>
        <v>50000</v>
      </c>
      <c r="AA13" s="155" t="s">
        <v>727</v>
      </c>
      <c r="AB13" s="17">
        <v>15.0</v>
      </c>
      <c r="AC13" s="122">
        <v>1000.0</v>
      </c>
      <c r="AD13" s="122">
        <f t="shared" ref="AD13:AD29" si="12">AB13*AC13</f>
        <v>15000</v>
      </c>
      <c r="AE13" s="122">
        <f t="shared" si="5"/>
        <v>68000</v>
      </c>
      <c r="AF13" s="155" t="s">
        <v>453</v>
      </c>
      <c r="AG13" s="17" t="s">
        <v>779</v>
      </c>
      <c r="AH13" s="133" t="s">
        <v>780</v>
      </c>
      <c r="AI13" s="134" t="str">
        <f>HYPERLINK("https://drive.google.com/file/d/1ErZTPYI2lyPJx1aPcy67Tw45LPAsAt95/view?usp=drivesdk","GC-MS_Dyah Ayu Fitria Ningsih_210")</f>
        <v>GC-MS_Dyah Ayu Fitria Ningsih_210</v>
      </c>
      <c r="AJ13" s="17" t="s">
        <v>781</v>
      </c>
    </row>
    <row r="14">
      <c r="A14" s="153">
        <v>45764.0</v>
      </c>
      <c r="B14" s="153">
        <v>45796.0</v>
      </c>
      <c r="C14" s="168">
        <v>211.0</v>
      </c>
      <c r="D14" s="17" t="s">
        <v>774</v>
      </c>
      <c r="E14" s="17" t="s">
        <v>782</v>
      </c>
      <c r="F14" s="17" t="s">
        <v>776</v>
      </c>
      <c r="G14" s="17" t="s">
        <v>621</v>
      </c>
      <c r="H14" s="155" t="s">
        <v>715</v>
      </c>
      <c r="I14" s="17" t="s">
        <v>777</v>
      </c>
      <c r="J14" s="17">
        <v>1.0</v>
      </c>
      <c r="K14" s="163">
        <v>400000.0</v>
      </c>
      <c r="L14" s="170">
        <f t="shared" si="6"/>
        <v>400000</v>
      </c>
      <c r="M14" s="169" t="s">
        <v>783</v>
      </c>
      <c r="N14" s="17">
        <v>60.0</v>
      </c>
      <c r="O14" s="17">
        <f t="shared" si="7"/>
        <v>20</v>
      </c>
      <c r="P14" s="17">
        <v>48.0</v>
      </c>
      <c r="Q14" s="171">
        <f t="shared" si="8"/>
        <v>63</v>
      </c>
      <c r="R14" s="171">
        <f t="shared" si="9"/>
        <v>30</v>
      </c>
      <c r="S14" s="17">
        <v>60.0</v>
      </c>
      <c r="T14" s="165">
        <f t="shared" si="1"/>
        <v>281</v>
      </c>
      <c r="U14" s="171">
        <f t="shared" si="10"/>
        <v>1</v>
      </c>
      <c r="V14" s="122">
        <v>3000.0</v>
      </c>
      <c r="W14" s="122">
        <f t="shared" si="2"/>
        <v>3000</v>
      </c>
      <c r="X14" s="171">
        <f t="shared" si="11"/>
        <v>1</v>
      </c>
      <c r="Y14" s="122">
        <v>50000.0</v>
      </c>
      <c r="Z14" s="122">
        <f t="shared" si="3"/>
        <v>50000</v>
      </c>
      <c r="AA14" s="155" t="s">
        <v>727</v>
      </c>
      <c r="AB14" s="17">
        <v>15.0</v>
      </c>
      <c r="AC14" s="122">
        <v>1000.0</v>
      </c>
      <c r="AD14" s="122">
        <f t="shared" si="12"/>
        <v>15000</v>
      </c>
      <c r="AE14" s="122">
        <f t="shared" si="5"/>
        <v>68000</v>
      </c>
      <c r="AF14" s="155" t="s">
        <v>453</v>
      </c>
      <c r="AG14" s="17" t="s">
        <v>784</v>
      </c>
      <c r="AH14" s="133" t="s">
        <v>785</v>
      </c>
      <c r="AI14" s="134" t="str">
        <f>HYPERLINK("https://drive.google.com/file/d/1xY-cDVLs87E-6eESqwuXvKDXC7V2j3bq/view?usp=drivesdk","GC-MS_Dyah Ayu Fitria Ningsih_211")</f>
        <v>GC-MS_Dyah Ayu Fitria Ningsih_211</v>
      </c>
      <c r="AJ14" s="17" t="s">
        <v>781</v>
      </c>
    </row>
    <row r="15">
      <c r="A15" s="153">
        <v>45769.0</v>
      </c>
      <c r="B15" s="153">
        <v>45796.0</v>
      </c>
      <c r="C15" s="168">
        <v>217.0</v>
      </c>
      <c r="D15" s="17" t="s">
        <v>786</v>
      </c>
      <c r="E15" s="17" t="s">
        <v>787</v>
      </c>
      <c r="F15" s="17" t="s">
        <v>788</v>
      </c>
      <c r="G15" s="17" t="s">
        <v>621</v>
      </c>
      <c r="H15" s="155" t="s">
        <v>715</v>
      </c>
      <c r="I15" s="17" t="s">
        <v>777</v>
      </c>
      <c r="J15" s="17">
        <v>3.0</v>
      </c>
      <c r="K15" s="163">
        <v>400000.0</v>
      </c>
      <c r="L15" s="170">
        <f t="shared" si="6"/>
        <v>1200000</v>
      </c>
      <c r="M15" s="169" t="s">
        <v>789</v>
      </c>
      <c r="N15" s="17">
        <v>60.0</v>
      </c>
      <c r="O15" s="17">
        <f t="shared" si="7"/>
        <v>60</v>
      </c>
      <c r="P15" s="17">
        <v>57.0</v>
      </c>
      <c r="Q15" s="171">
        <f t="shared" si="8"/>
        <v>216</v>
      </c>
      <c r="R15" s="171">
        <f t="shared" si="9"/>
        <v>90</v>
      </c>
      <c r="S15" s="17">
        <v>60.0</v>
      </c>
      <c r="T15" s="165">
        <f t="shared" si="1"/>
        <v>543</v>
      </c>
      <c r="U15" s="171">
        <f t="shared" si="10"/>
        <v>3</v>
      </c>
      <c r="V15" s="122">
        <v>3000.0</v>
      </c>
      <c r="W15" s="122">
        <f t="shared" si="2"/>
        <v>9000</v>
      </c>
      <c r="X15" s="171">
        <f t="shared" si="11"/>
        <v>3</v>
      </c>
      <c r="Y15" s="122">
        <v>50000.0</v>
      </c>
      <c r="Z15" s="122">
        <f t="shared" si="3"/>
        <v>150000</v>
      </c>
      <c r="AA15" s="155" t="s">
        <v>727</v>
      </c>
      <c r="AB15" s="17">
        <v>45.0</v>
      </c>
      <c r="AC15" s="122">
        <v>1000.0</v>
      </c>
      <c r="AD15" s="122">
        <f t="shared" si="12"/>
        <v>45000</v>
      </c>
      <c r="AE15" s="122">
        <f t="shared" si="5"/>
        <v>204000</v>
      </c>
      <c r="AF15" s="155" t="s">
        <v>453</v>
      </c>
      <c r="AG15" s="17" t="s">
        <v>790</v>
      </c>
      <c r="AH15" s="133" t="s">
        <v>791</v>
      </c>
      <c r="AI15" s="134" t="str">
        <f>HYPERLINK("https://drive.google.com/file/d/1H_COBmdEIwPWHe9j2iwNsLLOa8OLqWY1/view?usp=drivesdk","GC-MS_Sabella Vegasty_217")</f>
        <v>GC-MS_Sabella Vegasty_217</v>
      </c>
      <c r="AJ15" s="17" t="s">
        <v>781</v>
      </c>
    </row>
    <row r="16">
      <c r="A16" s="153">
        <v>45772.0</v>
      </c>
      <c r="B16" s="153">
        <v>45796.0</v>
      </c>
      <c r="C16" s="168">
        <v>228.0</v>
      </c>
      <c r="D16" s="17" t="s">
        <v>792</v>
      </c>
      <c r="E16" s="17" t="s">
        <v>793</v>
      </c>
      <c r="F16" s="17" t="s">
        <v>776</v>
      </c>
      <c r="G16" s="17" t="s">
        <v>621</v>
      </c>
      <c r="H16" s="155" t="s">
        <v>715</v>
      </c>
      <c r="I16" s="17" t="s">
        <v>777</v>
      </c>
      <c r="J16" s="17">
        <v>1.0</v>
      </c>
      <c r="K16" s="163">
        <v>400000.0</v>
      </c>
      <c r="L16" s="170">
        <f t="shared" si="6"/>
        <v>400000</v>
      </c>
      <c r="M16" s="169" t="s">
        <v>794</v>
      </c>
      <c r="N16" s="17">
        <v>60.0</v>
      </c>
      <c r="O16" s="17">
        <f t="shared" si="7"/>
        <v>20</v>
      </c>
      <c r="P16" s="17">
        <v>56.0</v>
      </c>
      <c r="Q16" s="171">
        <f t="shared" si="8"/>
        <v>71</v>
      </c>
      <c r="R16" s="171">
        <f t="shared" si="9"/>
        <v>30</v>
      </c>
      <c r="S16" s="17">
        <v>60.0</v>
      </c>
      <c r="T16" s="165">
        <f t="shared" si="1"/>
        <v>297</v>
      </c>
      <c r="U16" s="171">
        <f t="shared" si="10"/>
        <v>1</v>
      </c>
      <c r="V16" s="122">
        <v>3000.0</v>
      </c>
      <c r="W16" s="122">
        <f t="shared" si="2"/>
        <v>3000</v>
      </c>
      <c r="X16" s="171">
        <f t="shared" si="11"/>
        <v>1</v>
      </c>
      <c r="Y16" s="122">
        <v>50000.0</v>
      </c>
      <c r="Z16" s="122">
        <f t="shared" si="3"/>
        <v>50000</v>
      </c>
      <c r="AA16" s="155" t="s">
        <v>727</v>
      </c>
      <c r="AB16" s="17">
        <v>15.0</v>
      </c>
      <c r="AC16" s="122">
        <v>1000.0</v>
      </c>
      <c r="AD16" s="122">
        <f t="shared" si="12"/>
        <v>15000</v>
      </c>
      <c r="AE16" s="122">
        <f t="shared" si="5"/>
        <v>68000</v>
      </c>
      <c r="AF16" s="155" t="s">
        <v>453</v>
      </c>
      <c r="AG16" s="17" t="s">
        <v>795</v>
      </c>
      <c r="AH16" s="133" t="s">
        <v>796</v>
      </c>
      <c r="AI16" s="134" t="str">
        <f>HYPERLINK("https://drive.google.com/file/d/1S4RT8KtLq3Plu4UKMkk70X37ZbFr7epw/view?usp=drivesdk","GC-MS_Citra Nurlaela R_228")</f>
        <v>GC-MS_Citra Nurlaela R_228</v>
      </c>
      <c r="AJ16" s="17" t="s">
        <v>781</v>
      </c>
    </row>
    <row r="17">
      <c r="A17" s="172">
        <v>45804.0</v>
      </c>
      <c r="B17" s="173">
        <v>45813.0</v>
      </c>
      <c r="C17" s="174">
        <v>332.0</v>
      </c>
      <c r="D17" s="17" t="s">
        <v>797</v>
      </c>
      <c r="E17" s="17" t="s">
        <v>798</v>
      </c>
      <c r="F17" s="17" t="s">
        <v>799</v>
      </c>
      <c r="G17" s="156" t="s">
        <v>541</v>
      </c>
      <c r="H17" s="17" t="s">
        <v>800</v>
      </c>
      <c r="I17" s="17" t="s">
        <v>777</v>
      </c>
      <c r="J17" s="17">
        <v>1.0</v>
      </c>
      <c r="K17" s="163">
        <v>400000.0</v>
      </c>
      <c r="L17" s="170">
        <f t="shared" si="6"/>
        <v>400000</v>
      </c>
      <c r="M17" s="169" t="s">
        <v>801</v>
      </c>
      <c r="N17" s="17">
        <v>60.0</v>
      </c>
      <c r="O17" s="17">
        <f t="shared" si="7"/>
        <v>20</v>
      </c>
      <c r="P17" s="17">
        <v>65.0</v>
      </c>
      <c r="Q17" s="171">
        <f t="shared" si="8"/>
        <v>80</v>
      </c>
      <c r="R17" s="171">
        <f t="shared" si="9"/>
        <v>30</v>
      </c>
      <c r="S17" s="17">
        <v>60.0</v>
      </c>
      <c r="T17" s="165">
        <f t="shared" si="1"/>
        <v>315</v>
      </c>
      <c r="U17" s="17">
        <v>1.0</v>
      </c>
      <c r="V17" s="122">
        <v>3000.0</v>
      </c>
      <c r="W17" s="122">
        <f t="shared" si="2"/>
        <v>3000</v>
      </c>
      <c r="X17" s="171">
        <f t="shared" si="11"/>
        <v>1</v>
      </c>
      <c r="Y17" s="122">
        <v>50000.0</v>
      </c>
      <c r="Z17" s="122">
        <f t="shared" si="3"/>
        <v>50000</v>
      </c>
      <c r="AA17" s="155" t="s">
        <v>727</v>
      </c>
      <c r="AB17" s="17">
        <v>10.0</v>
      </c>
      <c r="AC17" s="122">
        <v>1000.0</v>
      </c>
      <c r="AD17" s="122">
        <f t="shared" si="12"/>
        <v>10000</v>
      </c>
      <c r="AE17" s="122">
        <f t="shared" si="5"/>
        <v>63000</v>
      </c>
      <c r="AF17" s="155" t="s">
        <v>453</v>
      </c>
      <c r="AG17" s="17" t="s">
        <v>802</v>
      </c>
      <c r="AH17" s="133" t="s">
        <v>803</v>
      </c>
      <c r="AI17" s="134" t="str">
        <f>HYPERLINK("https://drive.google.com/file/d/1UenJrawKMtox-ofjff6S604owWZ1B56t/view?usp=drivesdk","GC-MS_Layla Nadda Zabrina_332")</f>
        <v>GC-MS_Layla Nadda Zabrina_332</v>
      </c>
      <c r="AJ17" s="17" t="s">
        <v>804</v>
      </c>
    </row>
    <row r="18">
      <c r="A18" s="175">
        <v>45811.0</v>
      </c>
      <c r="B18" s="176">
        <v>45813.0</v>
      </c>
      <c r="C18" s="17">
        <v>361.0</v>
      </c>
      <c r="D18" s="17" t="s">
        <v>805</v>
      </c>
      <c r="E18" s="17" t="s">
        <v>806</v>
      </c>
      <c r="F18" s="17" t="s">
        <v>799</v>
      </c>
      <c r="G18" s="156" t="s">
        <v>541</v>
      </c>
      <c r="H18" s="155" t="s">
        <v>715</v>
      </c>
      <c r="I18" s="17" t="s">
        <v>777</v>
      </c>
      <c r="J18" s="17">
        <v>1.0</v>
      </c>
      <c r="K18" s="163">
        <v>400000.0</v>
      </c>
      <c r="L18" s="170">
        <f t="shared" si="6"/>
        <v>400000</v>
      </c>
      <c r="M18" s="169" t="s">
        <v>807</v>
      </c>
      <c r="N18" s="17">
        <v>60.0</v>
      </c>
      <c r="O18" s="17">
        <v>20.0</v>
      </c>
      <c r="P18" s="17">
        <v>77.0</v>
      </c>
      <c r="Q18" s="171">
        <f t="shared" si="8"/>
        <v>92</v>
      </c>
      <c r="R18" s="171">
        <f t="shared" si="9"/>
        <v>30</v>
      </c>
      <c r="S18" s="17">
        <v>60.0</v>
      </c>
      <c r="T18" s="165">
        <f t="shared" si="1"/>
        <v>339</v>
      </c>
      <c r="U18" s="17">
        <v>2.0</v>
      </c>
      <c r="V18" s="122">
        <v>3000.0</v>
      </c>
      <c r="W18" s="122">
        <f t="shared" si="2"/>
        <v>6000</v>
      </c>
      <c r="X18" s="171">
        <f t="shared" si="11"/>
        <v>2</v>
      </c>
      <c r="Y18" s="122">
        <v>50000.0</v>
      </c>
      <c r="Z18" s="122">
        <f t="shared" si="3"/>
        <v>100000</v>
      </c>
      <c r="AA18" s="17" t="s">
        <v>808</v>
      </c>
      <c r="AB18" s="17">
        <v>20.0</v>
      </c>
      <c r="AC18" s="122">
        <v>1000.0</v>
      </c>
      <c r="AD18" s="122">
        <f t="shared" si="12"/>
        <v>20000</v>
      </c>
      <c r="AE18" s="122">
        <f t="shared" si="5"/>
        <v>126000</v>
      </c>
      <c r="AF18" s="155" t="s">
        <v>453</v>
      </c>
      <c r="AG18" s="17" t="s">
        <v>809</v>
      </c>
      <c r="AH18" s="133" t="s">
        <v>810</v>
      </c>
      <c r="AI18" s="134" t="str">
        <f>HYPERLINK("https://drive.google.com/file/d/1ofHlEOZPKxmskCi7xIS1-udo9GIkY9V4/view?usp=drivesdk","GC-MS_Yulia Sandi Iswara_361")</f>
        <v>GC-MS_Yulia Sandi Iswara_361</v>
      </c>
      <c r="AJ18" s="17" t="s">
        <v>811</v>
      </c>
    </row>
    <row r="19">
      <c r="A19" s="177">
        <v>45797.0</v>
      </c>
      <c r="B19" s="177">
        <v>45813.0</v>
      </c>
      <c r="C19" s="17">
        <v>277.0</v>
      </c>
      <c r="D19" s="17" t="s">
        <v>812</v>
      </c>
      <c r="E19" s="17" t="s">
        <v>813</v>
      </c>
      <c r="F19" s="17" t="s">
        <v>814</v>
      </c>
      <c r="G19" s="156" t="s">
        <v>541</v>
      </c>
      <c r="H19" s="155" t="s">
        <v>715</v>
      </c>
      <c r="I19" s="17" t="s">
        <v>777</v>
      </c>
      <c r="J19" s="17">
        <v>3.0</v>
      </c>
      <c r="K19" s="163">
        <v>400000.0</v>
      </c>
      <c r="L19" s="170">
        <f t="shared" si="6"/>
        <v>1200000</v>
      </c>
      <c r="M19" s="169" t="s">
        <v>801</v>
      </c>
      <c r="N19" s="17">
        <v>60.0</v>
      </c>
      <c r="O19" s="17">
        <v>20.0</v>
      </c>
      <c r="P19" s="17">
        <v>65.0</v>
      </c>
      <c r="Q19" s="171">
        <f t="shared" si="8"/>
        <v>240</v>
      </c>
      <c r="R19" s="171">
        <f t="shared" si="9"/>
        <v>90</v>
      </c>
      <c r="S19" s="17">
        <v>60.0</v>
      </c>
      <c r="T19" s="165">
        <f t="shared" si="1"/>
        <v>535</v>
      </c>
      <c r="U19" s="17">
        <v>3.0</v>
      </c>
      <c r="V19" s="122">
        <v>3000.0</v>
      </c>
      <c r="W19" s="122">
        <f t="shared" si="2"/>
        <v>9000</v>
      </c>
      <c r="X19" s="17">
        <v>3.0</v>
      </c>
      <c r="Y19" s="122">
        <v>30000.0</v>
      </c>
      <c r="Z19" s="122">
        <f t="shared" si="3"/>
        <v>90000</v>
      </c>
      <c r="AA19" s="155" t="s">
        <v>727</v>
      </c>
      <c r="AB19" s="17">
        <v>30.0</v>
      </c>
      <c r="AC19" s="122">
        <v>1000.0</v>
      </c>
      <c r="AD19" s="122">
        <f t="shared" si="12"/>
        <v>30000</v>
      </c>
      <c r="AE19" s="122">
        <f t="shared" si="5"/>
        <v>129000</v>
      </c>
      <c r="AF19" s="155" t="s">
        <v>453</v>
      </c>
      <c r="AG19" s="17" t="s">
        <v>815</v>
      </c>
      <c r="AH19" s="133" t="s">
        <v>816</v>
      </c>
      <c r="AI19" s="134" t="str">
        <f>HYPERLINK("https://drive.google.com/file/d/1AnqqmrYH1TH1md8DI44BvdJr64MTIvV5/view?usp=drivesdk","GC-MS_Wanda Khairunnisa Wibowo_277")</f>
        <v>GC-MS_Wanda Khairunnisa Wibowo_277</v>
      </c>
      <c r="AJ19" s="17" t="s">
        <v>817</v>
      </c>
    </row>
    <row r="20">
      <c r="A20" s="177">
        <v>45812.0</v>
      </c>
      <c r="B20" s="177">
        <v>45821.0</v>
      </c>
      <c r="C20" s="17">
        <v>370.0</v>
      </c>
      <c r="D20" s="17" t="s">
        <v>723</v>
      </c>
      <c r="E20" s="17" t="s">
        <v>724</v>
      </c>
      <c r="F20" s="136" t="s">
        <v>725</v>
      </c>
      <c r="G20" s="17" t="s">
        <v>621</v>
      </c>
      <c r="H20" s="155" t="s">
        <v>715</v>
      </c>
      <c r="I20" s="17" t="s">
        <v>777</v>
      </c>
      <c r="J20" s="17">
        <v>3.0</v>
      </c>
      <c r="K20" s="163">
        <v>400000.0</v>
      </c>
      <c r="L20" s="170">
        <f t="shared" si="6"/>
        <v>1200000</v>
      </c>
      <c r="M20" s="169" t="s">
        <v>818</v>
      </c>
      <c r="N20" s="17">
        <v>60.0</v>
      </c>
      <c r="O20" s="17">
        <v>20.0</v>
      </c>
      <c r="P20" s="17">
        <v>36.0</v>
      </c>
      <c r="Q20" s="171">
        <f t="shared" si="8"/>
        <v>153</v>
      </c>
      <c r="R20" s="171">
        <f t="shared" si="9"/>
        <v>90</v>
      </c>
      <c r="S20" s="17">
        <v>60.0</v>
      </c>
      <c r="T20" s="165">
        <f t="shared" si="1"/>
        <v>419</v>
      </c>
      <c r="U20" s="17">
        <v>3.0</v>
      </c>
      <c r="V20" s="122">
        <v>3000.0</v>
      </c>
      <c r="W20" s="122">
        <f t="shared" si="2"/>
        <v>9000</v>
      </c>
      <c r="X20" s="17">
        <v>3.0</v>
      </c>
      <c r="Y20" s="122">
        <v>50000.0</v>
      </c>
      <c r="Z20" s="122">
        <f t="shared" si="3"/>
        <v>150000</v>
      </c>
      <c r="AA20" s="155" t="s">
        <v>727</v>
      </c>
      <c r="AB20" s="17">
        <v>30.0</v>
      </c>
      <c r="AC20" s="122">
        <v>1000.0</v>
      </c>
      <c r="AD20" s="122">
        <f t="shared" si="12"/>
        <v>30000</v>
      </c>
      <c r="AE20" s="122">
        <f t="shared" si="5"/>
        <v>189000</v>
      </c>
      <c r="AF20" s="155" t="s">
        <v>453</v>
      </c>
      <c r="AG20" s="17" t="s">
        <v>819</v>
      </c>
      <c r="AH20" s="133" t="s">
        <v>820</v>
      </c>
      <c r="AI20" s="134" t="str">
        <f>HYPERLINK("https://drive.google.com/file/d/1-EZo-L_qnh9wIxwtlQzhG1T7LadeDfEY/view?usp=drivesdk","GC-MS_Mazlan_370")</f>
        <v>GC-MS_Mazlan_370</v>
      </c>
      <c r="AJ20" s="17" t="s">
        <v>821</v>
      </c>
    </row>
    <row r="21">
      <c r="A21" s="177">
        <v>45825.0</v>
      </c>
      <c r="B21" s="177">
        <v>45827.0</v>
      </c>
      <c r="C21" s="17">
        <v>410.0</v>
      </c>
      <c r="D21" s="17" t="s">
        <v>797</v>
      </c>
      <c r="E21" s="17" t="s">
        <v>798</v>
      </c>
      <c r="F21" s="17" t="s">
        <v>776</v>
      </c>
      <c r="G21" s="156" t="s">
        <v>541</v>
      </c>
      <c r="H21" s="155" t="s">
        <v>715</v>
      </c>
      <c r="I21" s="17" t="s">
        <v>777</v>
      </c>
      <c r="J21" s="17">
        <v>2.0</v>
      </c>
      <c r="K21" s="163">
        <v>400000.0</v>
      </c>
      <c r="L21" s="170">
        <f t="shared" si="6"/>
        <v>800000</v>
      </c>
      <c r="M21" s="169" t="s">
        <v>822</v>
      </c>
      <c r="N21" s="17">
        <v>60.0</v>
      </c>
      <c r="O21" s="17">
        <v>20.0</v>
      </c>
      <c r="P21" s="169">
        <v>65.0</v>
      </c>
      <c r="Q21" s="171">
        <f t="shared" si="8"/>
        <v>160</v>
      </c>
      <c r="R21" s="171">
        <f t="shared" si="9"/>
        <v>60</v>
      </c>
      <c r="S21" s="17">
        <v>60.0</v>
      </c>
      <c r="T21" s="165">
        <f t="shared" si="1"/>
        <v>425</v>
      </c>
      <c r="U21" s="17">
        <v>2.0</v>
      </c>
      <c r="V21" s="122">
        <v>3000.0</v>
      </c>
      <c r="W21" s="122">
        <f t="shared" si="2"/>
        <v>6000</v>
      </c>
      <c r="X21" s="17">
        <v>2.0</v>
      </c>
      <c r="Y21" s="122">
        <v>30000.0</v>
      </c>
      <c r="Z21" s="122">
        <f t="shared" si="3"/>
        <v>60000</v>
      </c>
      <c r="AA21" s="155" t="s">
        <v>727</v>
      </c>
      <c r="AB21" s="17">
        <v>10.0</v>
      </c>
      <c r="AC21" s="122">
        <v>1000.0</v>
      </c>
      <c r="AD21" s="122">
        <f t="shared" si="12"/>
        <v>10000</v>
      </c>
      <c r="AE21" s="122">
        <f t="shared" si="5"/>
        <v>76000</v>
      </c>
      <c r="AF21" s="155" t="s">
        <v>453</v>
      </c>
      <c r="AG21" s="17" t="s">
        <v>823</v>
      </c>
      <c r="AH21" s="133" t="s">
        <v>824</v>
      </c>
      <c r="AI21" s="134" t="str">
        <f>HYPERLINK("https://drive.google.com/file/d/1_REV0hn2OS6CfwHaLKDopwTW8vtEOx1s/view?usp=drivesdk","GC-MS_Layla Nadda Zabrina_410")</f>
        <v>GC-MS_Layla Nadda Zabrina_410</v>
      </c>
      <c r="AJ21" s="17" t="s">
        <v>825</v>
      </c>
    </row>
    <row r="22">
      <c r="A22" s="177">
        <v>45827.0</v>
      </c>
      <c r="B22" s="177">
        <v>45827.0</v>
      </c>
      <c r="C22" s="17">
        <v>405.0</v>
      </c>
      <c r="D22" s="17" t="s">
        <v>826</v>
      </c>
      <c r="E22" s="17" t="s">
        <v>827</v>
      </c>
      <c r="F22" s="17" t="s">
        <v>828</v>
      </c>
      <c r="G22" s="156" t="s">
        <v>541</v>
      </c>
      <c r="H22" s="155" t="s">
        <v>715</v>
      </c>
      <c r="I22" s="17" t="s">
        <v>777</v>
      </c>
      <c r="J22" s="17">
        <v>6.0</v>
      </c>
      <c r="K22" s="163">
        <v>400000.0</v>
      </c>
      <c r="L22" s="170">
        <f t="shared" si="6"/>
        <v>2400000</v>
      </c>
      <c r="M22" s="169" t="s">
        <v>829</v>
      </c>
      <c r="N22" s="17">
        <v>60.0</v>
      </c>
      <c r="O22" s="17">
        <v>20.0</v>
      </c>
      <c r="P22" s="169">
        <v>50.0</v>
      </c>
      <c r="Q22" s="171">
        <f t="shared" si="8"/>
        <v>390</v>
      </c>
      <c r="R22" s="171">
        <f t="shared" si="9"/>
        <v>180</v>
      </c>
      <c r="S22" s="17">
        <v>60.0</v>
      </c>
      <c r="T22" s="165">
        <f t="shared" si="1"/>
        <v>760</v>
      </c>
      <c r="U22" s="169">
        <v>5.0</v>
      </c>
      <c r="V22" s="122">
        <v>3000.0</v>
      </c>
      <c r="W22" s="122">
        <f t="shared" si="2"/>
        <v>15000</v>
      </c>
      <c r="X22" s="17">
        <v>5.0</v>
      </c>
      <c r="Y22" s="122">
        <v>30000.0</v>
      </c>
      <c r="Z22" s="122">
        <f t="shared" si="3"/>
        <v>150000</v>
      </c>
      <c r="AA22" s="17" t="s">
        <v>830</v>
      </c>
      <c r="AB22" s="17">
        <v>60.0</v>
      </c>
      <c r="AC22" s="122">
        <v>1000.0</v>
      </c>
      <c r="AD22" s="122">
        <f t="shared" si="12"/>
        <v>60000</v>
      </c>
      <c r="AE22" s="122">
        <f t="shared" si="5"/>
        <v>225000</v>
      </c>
      <c r="AF22" s="155" t="s">
        <v>453</v>
      </c>
      <c r="AG22" s="17" t="s">
        <v>831</v>
      </c>
      <c r="AH22" s="133" t="s">
        <v>832</v>
      </c>
      <c r="AI22" s="134" t="str">
        <f>HYPERLINK("https://drive.google.com/file/d/1kGc-qh8RxpVi7e50Tat5TX_4F-MD35yX/view?usp=drivesdk","GC-MS_Rohula Utami_405")</f>
        <v>GC-MS_Rohula Utami_405</v>
      </c>
      <c r="AJ22" s="17" t="s">
        <v>825</v>
      </c>
    </row>
    <row r="23">
      <c r="A23" s="177">
        <v>45827.0</v>
      </c>
      <c r="B23" s="177">
        <v>45827.0</v>
      </c>
      <c r="C23" s="17">
        <v>422.0</v>
      </c>
      <c r="D23" s="17" t="s">
        <v>833</v>
      </c>
      <c r="E23" s="17" t="s">
        <v>834</v>
      </c>
      <c r="F23" s="17" t="s">
        <v>835</v>
      </c>
      <c r="G23" s="17" t="s">
        <v>621</v>
      </c>
      <c r="H23" s="155" t="s">
        <v>715</v>
      </c>
      <c r="I23" s="17" t="s">
        <v>777</v>
      </c>
      <c r="J23" s="17">
        <v>3.0</v>
      </c>
      <c r="K23" s="163">
        <v>400000.0</v>
      </c>
      <c r="L23" s="170">
        <f t="shared" si="6"/>
        <v>1200000</v>
      </c>
      <c r="M23" s="169" t="s">
        <v>836</v>
      </c>
      <c r="N23" s="17">
        <v>60.0</v>
      </c>
      <c r="O23" s="17">
        <v>20.0</v>
      </c>
      <c r="P23" s="169">
        <v>62.0</v>
      </c>
      <c r="Q23" s="171">
        <f t="shared" si="8"/>
        <v>231</v>
      </c>
      <c r="R23" s="171">
        <f t="shared" si="9"/>
        <v>90</v>
      </c>
      <c r="S23" s="17">
        <v>60.0</v>
      </c>
      <c r="T23" s="165">
        <f t="shared" si="1"/>
        <v>523</v>
      </c>
      <c r="U23" s="169">
        <v>3.0</v>
      </c>
      <c r="V23" s="122">
        <v>3000.0</v>
      </c>
      <c r="W23" s="122">
        <f t="shared" si="2"/>
        <v>9000</v>
      </c>
      <c r="X23" s="17">
        <v>3.0</v>
      </c>
      <c r="Y23" s="122">
        <v>30000.0</v>
      </c>
      <c r="Z23" s="122">
        <f t="shared" si="3"/>
        <v>90000</v>
      </c>
      <c r="AA23" s="155" t="s">
        <v>727</v>
      </c>
      <c r="AB23" s="17">
        <v>30.0</v>
      </c>
      <c r="AC23" s="122">
        <v>1000.0</v>
      </c>
      <c r="AD23" s="122">
        <f t="shared" si="12"/>
        <v>30000</v>
      </c>
      <c r="AE23" s="122">
        <f t="shared" si="5"/>
        <v>129000</v>
      </c>
      <c r="AF23" s="155" t="s">
        <v>453</v>
      </c>
      <c r="AG23" s="17" t="s">
        <v>837</v>
      </c>
      <c r="AH23" s="133" t="s">
        <v>838</v>
      </c>
      <c r="AI23" s="134" t="str">
        <f>HYPERLINK("https://drive.google.com/file/d/1eOcViftL4I9OUANbnZ_1NadcchR3Xtcc/view?usp=drivesdk","GC-MS_Adelisa Monica Permadani_422")</f>
        <v>GC-MS_Adelisa Monica Permadani_422</v>
      </c>
      <c r="AJ23" s="17" t="s">
        <v>825</v>
      </c>
    </row>
    <row r="24">
      <c r="A24" s="177">
        <v>45845.0</v>
      </c>
      <c r="B24" s="177">
        <v>45847.0</v>
      </c>
      <c r="C24" s="17">
        <v>465.0</v>
      </c>
      <c r="D24" s="17" t="s">
        <v>839</v>
      </c>
      <c r="E24" s="17" t="s">
        <v>840</v>
      </c>
      <c r="F24" s="178" t="s">
        <v>841</v>
      </c>
      <c r="G24" s="17" t="s">
        <v>621</v>
      </c>
      <c r="H24" s="155" t="s">
        <v>715</v>
      </c>
      <c r="I24" s="17" t="s">
        <v>777</v>
      </c>
      <c r="J24" s="17">
        <v>4.0</v>
      </c>
      <c r="K24" s="163">
        <v>400000.0</v>
      </c>
      <c r="L24" s="170">
        <f t="shared" si="6"/>
        <v>1600000</v>
      </c>
      <c r="M24" s="169" t="s">
        <v>842</v>
      </c>
      <c r="N24" s="17">
        <v>60.0</v>
      </c>
      <c r="O24" s="17">
        <v>20.0</v>
      </c>
      <c r="P24" s="17">
        <v>61.0</v>
      </c>
      <c r="Q24" s="171">
        <f t="shared" si="8"/>
        <v>304</v>
      </c>
      <c r="R24" s="171">
        <f t="shared" si="9"/>
        <v>120</v>
      </c>
      <c r="S24" s="17">
        <v>60.0</v>
      </c>
      <c r="T24" s="165">
        <f t="shared" si="1"/>
        <v>625</v>
      </c>
      <c r="U24" s="17">
        <v>4.0</v>
      </c>
      <c r="V24" s="122">
        <v>3000.0</v>
      </c>
      <c r="W24" s="122">
        <f t="shared" si="2"/>
        <v>12000</v>
      </c>
      <c r="X24" s="17">
        <v>4.0</v>
      </c>
      <c r="Y24" s="122">
        <v>30000.0</v>
      </c>
      <c r="Z24" s="122">
        <f t="shared" si="3"/>
        <v>120000</v>
      </c>
      <c r="AA24" s="17" t="s">
        <v>830</v>
      </c>
      <c r="AB24" s="17">
        <v>30.0</v>
      </c>
      <c r="AC24" s="122">
        <v>1000.0</v>
      </c>
      <c r="AD24" s="122">
        <f t="shared" si="12"/>
        <v>30000</v>
      </c>
      <c r="AE24" s="122">
        <f t="shared" si="5"/>
        <v>162000</v>
      </c>
      <c r="AF24" s="155" t="s">
        <v>453</v>
      </c>
      <c r="AG24" s="17" t="s">
        <v>843</v>
      </c>
      <c r="AH24" s="133" t="s">
        <v>844</v>
      </c>
      <c r="AI24" s="134" t="str">
        <f>HYPERLINK("https://drive.google.com/file/d/1EK2XEnuOsQPy_qjqUM_hYIp9HdEef1vu/view?usp=drivesdk","GC-MS_Muhamad Fajrianor Lawi_465")</f>
        <v>GC-MS_Muhamad Fajrianor Lawi_465</v>
      </c>
      <c r="AJ24" s="17" t="s">
        <v>845</v>
      </c>
    </row>
    <row r="25">
      <c r="A25" s="177">
        <v>45849.0</v>
      </c>
      <c r="B25" s="177">
        <v>45849.0</v>
      </c>
      <c r="C25" s="17">
        <v>476.0</v>
      </c>
      <c r="D25" s="17" t="s">
        <v>846</v>
      </c>
      <c r="E25" s="17" t="s">
        <v>847</v>
      </c>
      <c r="F25" s="136" t="s">
        <v>848</v>
      </c>
      <c r="G25" s="156" t="s">
        <v>541</v>
      </c>
      <c r="H25" s="155" t="s">
        <v>715</v>
      </c>
      <c r="I25" s="17" t="s">
        <v>777</v>
      </c>
      <c r="J25" s="17">
        <v>3.0</v>
      </c>
      <c r="K25" s="163">
        <v>400000.0</v>
      </c>
      <c r="L25" s="170">
        <f t="shared" si="6"/>
        <v>1200000</v>
      </c>
      <c r="M25" s="169" t="s">
        <v>849</v>
      </c>
      <c r="N25" s="17">
        <v>60.0</v>
      </c>
      <c r="O25" s="17">
        <v>20.0</v>
      </c>
      <c r="P25" s="17">
        <v>66.0</v>
      </c>
      <c r="Q25" s="171">
        <f t="shared" si="8"/>
        <v>243</v>
      </c>
      <c r="R25" s="171">
        <f t="shared" si="9"/>
        <v>90</v>
      </c>
      <c r="S25" s="17">
        <v>60.0</v>
      </c>
      <c r="T25" s="165">
        <f t="shared" si="1"/>
        <v>539</v>
      </c>
      <c r="U25" s="17">
        <v>3.0</v>
      </c>
      <c r="V25" s="122">
        <v>3000.0</v>
      </c>
      <c r="W25" s="122">
        <f t="shared" si="2"/>
        <v>9000</v>
      </c>
      <c r="X25" s="17">
        <v>3.0</v>
      </c>
      <c r="Y25" s="122">
        <v>30000.0</v>
      </c>
      <c r="Z25" s="122">
        <f t="shared" si="3"/>
        <v>90000</v>
      </c>
      <c r="AA25" s="17" t="s">
        <v>830</v>
      </c>
      <c r="AB25" s="17">
        <v>25.0</v>
      </c>
      <c r="AC25" s="122">
        <v>1000.0</v>
      </c>
      <c r="AD25" s="122">
        <f t="shared" si="12"/>
        <v>25000</v>
      </c>
      <c r="AE25" s="122">
        <f t="shared" si="5"/>
        <v>124000</v>
      </c>
      <c r="AF25" s="155" t="s">
        <v>453</v>
      </c>
      <c r="AG25" s="17" t="s">
        <v>850</v>
      </c>
      <c r="AH25" s="133" t="s">
        <v>851</v>
      </c>
      <c r="AI25" s="134" t="str">
        <f>HYPERLINK("https://drive.google.com/file/d/1pGQ__eSCxKLBcmVq2hyVgvNSXFYav3ds/view?usp=drivesdk","GC-MS_Dwi Ardiana Setyawardhani_476")</f>
        <v>GC-MS_Dwi Ardiana Setyawardhani_476</v>
      </c>
      <c r="AJ25" s="17" t="s">
        <v>852</v>
      </c>
    </row>
    <row r="26">
      <c r="A26" s="177">
        <v>45860.0</v>
      </c>
      <c r="B26" s="177">
        <v>45868.0</v>
      </c>
      <c r="C26" s="179">
        <v>490.0</v>
      </c>
      <c r="D26" s="136" t="s">
        <v>853</v>
      </c>
      <c r="E26" s="136" t="s">
        <v>854</v>
      </c>
      <c r="F26" s="136" t="s">
        <v>855</v>
      </c>
      <c r="G26" s="156" t="s">
        <v>541</v>
      </c>
      <c r="H26" s="155" t="s">
        <v>715</v>
      </c>
      <c r="I26" s="17" t="s">
        <v>777</v>
      </c>
      <c r="J26" s="17">
        <v>2.0</v>
      </c>
      <c r="K26" s="163">
        <v>500000.0</v>
      </c>
      <c r="L26" s="170">
        <f t="shared" si="6"/>
        <v>1000000</v>
      </c>
      <c r="M26" s="169" t="s">
        <v>856</v>
      </c>
      <c r="N26" s="17">
        <v>60.0</v>
      </c>
      <c r="O26" s="17">
        <v>20.0</v>
      </c>
      <c r="P26" s="17">
        <v>72.0</v>
      </c>
      <c r="Q26" s="171">
        <f t="shared" si="8"/>
        <v>174</v>
      </c>
      <c r="R26" s="171">
        <f t="shared" si="9"/>
        <v>60</v>
      </c>
      <c r="S26" s="17">
        <v>60.0</v>
      </c>
      <c r="T26" s="165">
        <f t="shared" si="1"/>
        <v>446</v>
      </c>
      <c r="U26" s="17">
        <v>2.0</v>
      </c>
      <c r="V26" s="122">
        <v>3000.0</v>
      </c>
      <c r="W26" s="122">
        <f t="shared" si="2"/>
        <v>6000</v>
      </c>
      <c r="X26" s="17">
        <v>2.0</v>
      </c>
      <c r="Y26" s="122">
        <v>30000.0</v>
      </c>
      <c r="Z26" s="122">
        <f t="shared" si="3"/>
        <v>60000</v>
      </c>
      <c r="AA26" s="17" t="s">
        <v>727</v>
      </c>
      <c r="AB26" s="17">
        <v>20.0</v>
      </c>
      <c r="AC26" s="122">
        <v>1000.0</v>
      </c>
      <c r="AD26" s="122">
        <f t="shared" si="12"/>
        <v>20000</v>
      </c>
      <c r="AE26" s="122">
        <f t="shared" si="5"/>
        <v>86000</v>
      </c>
      <c r="AF26" s="155" t="s">
        <v>453</v>
      </c>
      <c r="AG26" s="17" t="s">
        <v>857</v>
      </c>
      <c r="AH26" s="133" t="s">
        <v>858</v>
      </c>
      <c r="AI26" s="134" t="str">
        <f>HYPERLINK("https://drive.google.com/file/d/1Qr16cQnvXb8W5g4PB_J7x_yrAlPXhOPR/view?usp=drivesdk","GC-MS_M. Alkindi Sulthan Zhafran S_490")</f>
        <v>GC-MS_M. Alkindi Sulthan Zhafran S_490</v>
      </c>
      <c r="AJ26" s="17" t="s">
        <v>859</v>
      </c>
    </row>
    <row r="27">
      <c r="A27" s="177">
        <v>45863.0</v>
      </c>
      <c r="B27" s="177">
        <v>45869.0</v>
      </c>
      <c r="C27" s="179">
        <v>504.0</v>
      </c>
      <c r="D27" s="178" t="s">
        <v>860</v>
      </c>
      <c r="E27" s="136" t="s">
        <v>847</v>
      </c>
      <c r="F27" s="136" t="s">
        <v>861</v>
      </c>
      <c r="G27" s="156" t="s">
        <v>541</v>
      </c>
      <c r="H27" s="155" t="s">
        <v>715</v>
      </c>
      <c r="I27" s="17" t="s">
        <v>777</v>
      </c>
      <c r="J27" s="17">
        <v>8.0</v>
      </c>
      <c r="K27" s="163">
        <v>400000.0</v>
      </c>
      <c r="L27" s="170">
        <f t="shared" si="6"/>
        <v>3200000</v>
      </c>
      <c r="M27" s="169" t="s">
        <v>849</v>
      </c>
      <c r="N27" s="17">
        <v>60.0</v>
      </c>
      <c r="O27" s="17">
        <v>20.0</v>
      </c>
      <c r="P27" s="17">
        <v>66.0</v>
      </c>
      <c r="Q27" s="171">
        <f t="shared" si="8"/>
        <v>648</v>
      </c>
      <c r="R27" s="171">
        <f t="shared" si="9"/>
        <v>240</v>
      </c>
      <c r="S27" s="17">
        <v>60.0</v>
      </c>
      <c r="T27" s="165">
        <f t="shared" si="1"/>
        <v>1094</v>
      </c>
      <c r="U27" s="17">
        <v>8.0</v>
      </c>
      <c r="V27" s="122">
        <v>3000.0</v>
      </c>
      <c r="W27" s="122">
        <f t="shared" si="2"/>
        <v>24000</v>
      </c>
      <c r="X27" s="17">
        <v>8.0</v>
      </c>
      <c r="Y27" s="122">
        <v>30000.0</v>
      </c>
      <c r="Z27" s="122">
        <f t="shared" si="3"/>
        <v>240000</v>
      </c>
      <c r="AA27" s="17" t="s">
        <v>830</v>
      </c>
      <c r="AB27" s="17">
        <v>80.0</v>
      </c>
      <c r="AC27" s="122">
        <v>1000.0</v>
      </c>
      <c r="AD27" s="122">
        <f t="shared" si="12"/>
        <v>80000</v>
      </c>
      <c r="AE27" s="122">
        <f t="shared" si="5"/>
        <v>344000</v>
      </c>
      <c r="AF27" s="155" t="s">
        <v>453</v>
      </c>
      <c r="AG27" s="17" t="s">
        <v>862</v>
      </c>
      <c r="AH27" s="133" t="s">
        <v>863</v>
      </c>
      <c r="AI27" s="134" t="str">
        <f>HYPERLINK("https://drive.google.com/file/d/1PZtXDTDohq41_OA0xOl5PwEoChGerC1z/view?usp=drivesdk","GC-MS_Prof Dr Dwi Ardiana Setyawardhani _504")</f>
        <v>GC-MS_Prof Dr Dwi Ardiana Setyawardhani _504</v>
      </c>
      <c r="AJ27" s="17" t="s">
        <v>864</v>
      </c>
    </row>
    <row r="28">
      <c r="A28" s="177">
        <v>45868.0</v>
      </c>
      <c r="B28" s="177">
        <v>45870.0</v>
      </c>
      <c r="C28" s="179">
        <v>508.0</v>
      </c>
      <c r="D28" s="136" t="s">
        <v>865</v>
      </c>
      <c r="E28" s="136" t="s">
        <v>866</v>
      </c>
      <c r="F28" s="136" t="s">
        <v>867</v>
      </c>
      <c r="G28" s="156" t="s">
        <v>541</v>
      </c>
      <c r="H28" s="155" t="s">
        <v>715</v>
      </c>
      <c r="I28" s="17" t="s">
        <v>777</v>
      </c>
      <c r="J28" s="17">
        <v>1.0</v>
      </c>
      <c r="K28" s="163">
        <v>500000.0</v>
      </c>
      <c r="L28" s="170">
        <f t="shared" si="6"/>
        <v>500000</v>
      </c>
      <c r="M28" s="169" t="s">
        <v>868</v>
      </c>
      <c r="N28" s="17">
        <v>60.0</v>
      </c>
      <c r="O28" s="17">
        <v>20.0</v>
      </c>
      <c r="P28" s="17">
        <v>55.0</v>
      </c>
      <c r="Q28" s="171">
        <f t="shared" si="8"/>
        <v>70</v>
      </c>
      <c r="R28" s="171">
        <f t="shared" si="9"/>
        <v>30</v>
      </c>
      <c r="S28" s="17">
        <v>60.0</v>
      </c>
      <c r="T28" s="165">
        <f t="shared" si="1"/>
        <v>295</v>
      </c>
      <c r="U28" s="17">
        <v>1.0</v>
      </c>
      <c r="V28" s="122">
        <v>3000.0</v>
      </c>
      <c r="W28" s="122">
        <f t="shared" si="2"/>
        <v>3000</v>
      </c>
      <c r="X28" s="17">
        <v>1.0</v>
      </c>
      <c r="Y28" s="122">
        <v>30000.0</v>
      </c>
      <c r="Z28" s="122">
        <f t="shared" si="3"/>
        <v>30000</v>
      </c>
      <c r="AA28" s="17" t="s">
        <v>830</v>
      </c>
      <c r="AB28" s="17">
        <v>10.0</v>
      </c>
      <c r="AC28" s="122">
        <v>1000.0</v>
      </c>
      <c r="AD28" s="122">
        <f t="shared" si="12"/>
        <v>10000</v>
      </c>
      <c r="AE28" s="122">
        <f t="shared" si="5"/>
        <v>43000</v>
      </c>
      <c r="AF28" s="155" t="s">
        <v>453</v>
      </c>
      <c r="AG28" s="17" t="s">
        <v>869</v>
      </c>
      <c r="AH28" s="133" t="s">
        <v>870</v>
      </c>
      <c r="AI28" s="134" t="str">
        <f>HYPERLINK("https://drive.google.com/file/d/1PcEP5LjYY3S1zKbCF-pbxruzZQciiETK/view?usp=drivesdk","GC-MS_Litaskuri S.Nur.H_508")</f>
        <v>GC-MS_Litaskuri S.Nur.H_508</v>
      </c>
      <c r="AJ28" s="17" t="s">
        <v>864</v>
      </c>
    </row>
    <row r="29">
      <c r="A29" s="177">
        <v>45870.0</v>
      </c>
      <c r="B29" s="177">
        <v>45870.0</v>
      </c>
      <c r="C29" s="179">
        <v>512.0</v>
      </c>
      <c r="D29" s="136" t="s">
        <v>871</v>
      </c>
      <c r="E29" s="136" t="s">
        <v>872</v>
      </c>
      <c r="F29" s="136" t="s">
        <v>734</v>
      </c>
      <c r="G29" s="17" t="s">
        <v>541</v>
      </c>
      <c r="H29" s="155" t="s">
        <v>715</v>
      </c>
      <c r="I29" s="17" t="s">
        <v>777</v>
      </c>
      <c r="J29" s="17">
        <v>1.0</v>
      </c>
      <c r="K29" s="163">
        <v>400000.0</v>
      </c>
      <c r="L29" s="170">
        <f t="shared" si="6"/>
        <v>400000</v>
      </c>
      <c r="M29" s="169" t="s">
        <v>873</v>
      </c>
      <c r="N29" s="17">
        <v>60.0</v>
      </c>
      <c r="O29" s="17">
        <v>20.0</v>
      </c>
      <c r="P29" s="17">
        <v>35.0</v>
      </c>
      <c r="Q29" s="171">
        <f t="shared" si="8"/>
        <v>50</v>
      </c>
      <c r="R29" s="171">
        <f t="shared" si="9"/>
        <v>30</v>
      </c>
      <c r="S29" s="17">
        <v>60.0</v>
      </c>
      <c r="T29" s="165">
        <f t="shared" si="1"/>
        <v>255</v>
      </c>
      <c r="U29" s="17">
        <v>1.0</v>
      </c>
      <c r="V29" s="122">
        <v>3000.0</v>
      </c>
      <c r="W29" s="122">
        <f t="shared" si="2"/>
        <v>3000</v>
      </c>
      <c r="X29" s="17">
        <v>1.0</v>
      </c>
      <c r="Y29" s="122">
        <v>30000.0</v>
      </c>
      <c r="Z29" s="122">
        <f t="shared" si="3"/>
        <v>30000</v>
      </c>
      <c r="AA29" s="17" t="s">
        <v>830</v>
      </c>
      <c r="AB29" s="17">
        <v>10.0</v>
      </c>
      <c r="AC29" s="122">
        <v>1000.0</v>
      </c>
      <c r="AD29" s="122">
        <f t="shared" si="12"/>
        <v>10000</v>
      </c>
      <c r="AE29" s="122">
        <f t="shared" si="5"/>
        <v>43000</v>
      </c>
      <c r="AF29" s="155" t="s">
        <v>453</v>
      </c>
      <c r="AG29" s="17" t="s">
        <v>874</v>
      </c>
      <c r="AH29" s="133" t="s">
        <v>875</v>
      </c>
      <c r="AI29" s="134" t="str">
        <f>HYPERLINK("https://drive.google.com/file/d/12pS2Talcs6P4Ij_S-5oEtG8QaV32r-t-/view?usp=drivesdk","GC-MS_Vito Bintang Saputra_512")</f>
        <v>GC-MS_Vito Bintang Saputra_512</v>
      </c>
      <c r="AJ29" s="17" t="s">
        <v>864</v>
      </c>
    </row>
    <row r="30">
      <c r="A30" s="177">
        <v>45929.0</v>
      </c>
      <c r="B30" s="177">
        <v>45932.0</v>
      </c>
      <c r="C30" s="17">
        <v>644.0</v>
      </c>
      <c r="D30" s="17" t="s">
        <v>876</v>
      </c>
      <c r="E30" s="17" t="s">
        <v>155</v>
      </c>
      <c r="F30" s="17" t="s">
        <v>876</v>
      </c>
      <c r="G30" s="17" t="s">
        <v>541</v>
      </c>
      <c r="H30" s="155" t="s">
        <v>715</v>
      </c>
      <c r="I30" s="17" t="s">
        <v>777</v>
      </c>
      <c r="J30" s="17">
        <v>1.0</v>
      </c>
      <c r="K30" s="163">
        <v>500000.0</v>
      </c>
      <c r="L30" s="170">
        <f t="shared" si="6"/>
        <v>500000</v>
      </c>
      <c r="M30" s="169" t="s">
        <v>877</v>
      </c>
      <c r="N30" s="17">
        <v>60.0</v>
      </c>
      <c r="O30" s="17">
        <v>20.0</v>
      </c>
      <c r="P30" s="17">
        <v>35.0</v>
      </c>
      <c r="Q30" s="171">
        <f t="shared" si="8"/>
        <v>50</v>
      </c>
      <c r="R30" s="171">
        <f t="shared" si="9"/>
        <v>30</v>
      </c>
      <c r="S30" s="17">
        <v>60.0</v>
      </c>
      <c r="T30" s="165">
        <f t="shared" si="1"/>
        <v>255</v>
      </c>
      <c r="U30" s="17">
        <v>1.0</v>
      </c>
      <c r="V30" s="122">
        <v>3000.0</v>
      </c>
      <c r="W30" s="122">
        <f t="shared" si="2"/>
        <v>3000</v>
      </c>
      <c r="X30" s="17">
        <v>1.0</v>
      </c>
      <c r="Y30" s="122">
        <v>30000.0</v>
      </c>
      <c r="Z30" s="122">
        <f t="shared" si="3"/>
        <v>30000</v>
      </c>
      <c r="AE30" s="122">
        <f t="shared" si="5"/>
        <v>33000</v>
      </c>
      <c r="AF30" s="155" t="s">
        <v>453</v>
      </c>
      <c r="AG30" s="17" t="s">
        <v>878</v>
      </c>
      <c r="AH30" s="133" t="s">
        <v>879</v>
      </c>
      <c r="AI30" s="134" t="str">
        <f>HYPERLINK("https://drive.google.com/file/d/1feIBsqmQwQ6803_PZ7NkE3pqI4ifwzFN/view?usp=drivesdk","GC-MS_PT. Indo Acidatama Tbk._644")</f>
        <v>GC-MS_PT. Indo Acidatama Tbk._644</v>
      </c>
      <c r="AJ30" s="17" t="s">
        <v>880</v>
      </c>
    </row>
    <row r="31">
      <c r="A31" s="135">
        <v>45895.0</v>
      </c>
      <c r="B31" s="180">
        <v>45951.0</v>
      </c>
      <c r="C31" s="17">
        <v>561.0</v>
      </c>
      <c r="D31" s="17" t="s">
        <v>881</v>
      </c>
      <c r="E31" s="17" t="s">
        <v>882</v>
      </c>
      <c r="F31" s="17" t="s">
        <v>883</v>
      </c>
      <c r="G31" s="17" t="s">
        <v>541</v>
      </c>
      <c r="H31" s="17" t="s">
        <v>715</v>
      </c>
      <c r="I31" s="17" t="s">
        <v>777</v>
      </c>
      <c r="J31" s="17">
        <v>4.0</v>
      </c>
      <c r="K31" s="163">
        <v>400000.0</v>
      </c>
      <c r="L31" s="170">
        <f t="shared" si="6"/>
        <v>1600000</v>
      </c>
      <c r="M31" s="169" t="s">
        <v>877</v>
      </c>
      <c r="N31" s="17">
        <v>60.0</v>
      </c>
      <c r="O31" s="17">
        <v>20.0</v>
      </c>
      <c r="P31" s="17">
        <v>35.0</v>
      </c>
      <c r="Q31" s="171">
        <f t="shared" si="8"/>
        <v>200</v>
      </c>
      <c r="R31" s="171">
        <f t="shared" si="9"/>
        <v>120</v>
      </c>
      <c r="S31" s="17">
        <v>60.0</v>
      </c>
      <c r="T31" s="165">
        <f t="shared" si="1"/>
        <v>495</v>
      </c>
      <c r="U31" s="17">
        <v>4.0</v>
      </c>
      <c r="V31" s="122">
        <v>3000.0</v>
      </c>
      <c r="W31" s="122">
        <f t="shared" si="2"/>
        <v>12000</v>
      </c>
      <c r="X31" s="17">
        <v>4.0</v>
      </c>
      <c r="Y31" s="122">
        <v>30000.0</v>
      </c>
      <c r="Z31" s="122">
        <f t="shared" si="3"/>
        <v>120000</v>
      </c>
      <c r="AE31" s="122">
        <f t="shared" si="5"/>
        <v>132000</v>
      </c>
      <c r="AF31" s="155" t="s">
        <v>453</v>
      </c>
      <c r="AG31" s="17" t="s">
        <v>884</v>
      </c>
      <c r="AH31" s="133" t="s">
        <v>885</v>
      </c>
      <c r="AI31" s="134" t="str">
        <f>HYPERLINK("https://drive.google.com/file/d/1Y3o3UkkkV-ErdF-GfQIT7nQITnzz6PIJ/view?usp=drivesdk","GC-MS_Putri Aisyah Ali_561")</f>
        <v>GC-MS_Putri Aisyah Ali_561</v>
      </c>
      <c r="AJ31" s="17" t="s">
        <v>886</v>
      </c>
    </row>
    <row r="32">
      <c r="A32" s="135">
        <v>45943.0</v>
      </c>
      <c r="B32" s="180">
        <v>45951.0</v>
      </c>
      <c r="C32" s="17">
        <v>660.0</v>
      </c>
      <c r="D32" s="17" t="s">
        <v>887</v>
      </c>
      <c r="E32" s="17">
        <v>2.23307030092E11</v>
      </c>
      <c r="F32" s="17" t="s">
        <v>888</v>
      </c>
      <c r="G32" s="17" t="s">
        <v>541</v>
      </c>
      <c r="H32" s="17" t="s">
        <v>715</v>
      </c>
      <c r="I32" s="17" t="s">
        <v>777</v>
      </c>
      <c r="J32" s="17">
        <v>2.0</v>
      </c>
      <c r="K32" s="163">
        <v>500000.0</v>
      </c>
      <c r="L32" s="170">
        <f t="shared" si="6"/>
        <v>1000000</v>
      </c>
      <c r="M32" s="169" t="s">
        <v>877</v>
      </c>
      <c r="N32" s="17">
        <v>60.0</v>
      </c>
      <c r="O32" s="17">
        <v>20.0</v>
      </c>
      <c r="P32" s="17">
        <v>35.0</v>
      </c>
      <c r="Q32" s="171">
        <f t="shared" si="8"/>
        <v>100</v>
      </c>
      <c r="R32" s="171">
        <f t="shared" si="9"/>
        <v>60</v>
      </c>
      <c r="S32" s="17">
        <v>60.0</v>
      </c>
      <c r="T32" s="165">
        <f t="shared" si="1"/>
        <v>335</v>
      </c>
      <c r="U32" s="17">
        <v>1.0</v>
      </c>
      <c r="V32" s="122">
        <v>3000.0</v>
      </c>
      <c r="W32" s="122">
        <f t="shared" si="2"/>
        <v>3000</v>
      </c>
      <c r="X32" s="17">
        <v>1.0</v>
      </c>
      <c r="Y32" s="122">
        <v>30000.0</v>
      </c>
      <c r="Z32" s="122">
        <f t="shared" si="3"/>
        <v>30000</v>
      </c>
      <c r="AA32" s="17" t="s">
        <v>830</v>
      </c>
      <c r="AB32" s="17">
        <v>10.0</v>
      </c>
      <c r="AC32" s="122">
        <v>1000.0</v>
      </c>
      <c r="AD32" s="122">
        <f>AB32*AC32</f>
        <v>10000</v>
      </c>
      <c r="AE32" s="122">
        <f t="shared" si="5"/>
        <v>43000</v>
      </c>
      <c r="AF32" s="155" t="s">
        <v>453</v>
      </c>
      <c r="AG32" s="17" t="s">
        <v>889</v>
      </c>
      <c r="AH32" s="133" t="s">
        <v>890</v>
      </c>
      <c r="AI32" s="134" t="str">
        <f>HYPERLINK("https://drive.google.com/file/d/1AuZ9IcUmFvnw1gdgmCjbXcQTnQ9srxWn/view?usp=drivesdk","GC-MS_Jelita Tri Dewi Masta Ziliwu_660")</f>
        <v>GC-MS_Jelita Tri Dewi Masta Ziliwu_660</v>
      </c>
      <c r="AJ32" s="17" t="s">
        <v>891</v>
      </c>
    </row>
    <row r="33">
      <c r="A33" s="135">
        <v>45946.0</v>
      </c>
      <c r="B33" s="180">
        <v>45951.0</v>
      </c>
      <c r="C33" s="17">
        <v>685.0</v>
      </c>
      <c r="D33" s="17" t="s">
        <v>892</v>
      </c>
      <c r="E33" s="17" t="s">
        <v>893</v>
      </c>
      <c r="F33" s="17" t="s">
        <v>894</v>
      </c>
      <c r="G33" s="17" t="s">
        <v>541</v>
      </c>
      <c r="H33" s="17" t="s">
        <v>715</v>
      </c>
      <c r="I33" s="17" t="s">
        <v>777</v>
      </c>
      <c r="J33" s="17">
        <v>5.0</v>
      </c>
      <c r="K33" s="163">
        <v>500000.0</v>
      </c>
      <c r="L33" s="170">
        <f t="shared" si="6"/>
        <v>2500000</v>
      </c>
      <c r="M33" s="169" t="s">
        <v>877</v>
      </c>
      <c r="N33" s="17">
        <v>60.0</v>
      </c>
      <c r="O33" s="17">
        <v>20.0</v>
      </c>
      <c r="P33" s="17">
        <v>35.0</v>
      </c>
      <c r="Q33" s="171">
        <f t="shared" si="8"/>
        <v>250</v>
      </c>
      <c r="R33" s="171">
        <f t="shared" si="9"/>
        <v>150</v>
      </c>
      <c r="S33" s="17">
        <v>60.0</v>
      </c>
      <c r="T33" s="165">
        <f t="shared" si="1"/>
        <v>575</v>
      </c>
      <c r="U33" s="17">
        <v>5.0</v>
      </c>
      <c r="V33" s="122">
        <v>3000.0</v>
      </c>
      <c r="W33" s="122">
        <f t="shared" si="2"/>
        <v>15000</v>
      </c>
      <c r="X33" s="17">
        <v>5.0</v>
      </c>
      <c r="Y33" s="122">
        <v>30000.0</v>
      </c>
      <c r="Z33" s="122">
        <f t="shared" si="3"/>
        <v>150000</v>
      </c>
      <c r="AE33" s="122">
        <f t="shared" si="5"/>
        <v>165000</v>
      </c>
      <c r="AF33" s="155" t="s">
        <v>453</v>
      </c>
      <c r="AG33" s="17" t="s">
        <v>895</v>
      </c>
      <c r="AH33" s="133" t="s">
        <v>896</v>
      </c>
      <c r="AI33" s="134" t="str">
        <f>HYPERLINK("https://drive.google.com/file/d/10xjOq8alyqZZOqkf4_jTZHtwx5N4raIA/view?usp=drivesdk","GC-MS_Rendy Chonata_685")</f>
        <v>GC-MS_Rendy Chonata_685</v>
      </c>
      <c r="AJ33" s="17" t="s">
        <v>897</v>
      </c>
    </row>
    <row r="34">
      <c r="A34" s="149">
        <v>45957.0</v>
      </c>
      <c r="B34" s="149">
        <v>45958.0</v>
      </c>
      <c r="C34" s="17">
        <v>713.0</v>
      </c>
      <c r="D34" s="17" t="s">
        <v>826</v>
      </c>
      <c r="E34" s="17" t="s">
        <v>827</v>
      </c>
      <c r="F34" s="17" t="s">
        <v>898</v>
      </c>
      <c r="G34" s="17" t="s">
        <v>541</v>
      </c>
      <c r="H34" s="17" t="s">
        <v>715</v>
      </c>
      <c r="I34" s="17" t="s">
        <v>777</v>
      </c>
      <c r="J34" s="17">
        <v>5.0</v>
      </c>
      <c r="K34" s="163">
        <v>400000.0</v>
      </c>
      <c r="L34" s="170">
        <f t="shared" si="6"/>
        <v>2000000</v>
      </c>
      <c r="M34" s="169" t="s">
        <v>877</v>
      </c>
      <c r="N34" s="17">
        <v>60.0</v>
      </c>
      <c r="O34" s="17">
        <v>20.0</v>
      </c>
      <c r="P34" s="17">
        <v>35.0</v>
      </c>
      <c r="Q34" s="171">
        <f t="shared" si="8"/>
        <v>250</v>
      </c>
      <c r="R34" s="171">
        <f t="shared" si="9"/>
        <v>150</v>
      </c>
      <c r="S34" s="17">
        <v>60.0</v>
      </c>
      <c r="T34" s="165">
        <f t="shared" si="1"/>
        <v>575</v>
      </c>
      <c r="U34" s="17">
        <v>5.0</v>
      </c>
      <c r="V34" s="122">
        <v>3000.0</v>
      </c>
      <c r="W34" s="122">
        <f t="shared" si="2"/>
        <v>15000</v>
      </c>
      <c r="X34" s="17">
        <v>5.0</v>
      </c>
      <c r="Y34" s="122">
        <v>30000.0</v>
      </c>
      <c r="Z34" s="122">
        <f t="shared" si="3"/>
        <v>150000</v>
      </c>
      <c r="AE34" s="122">
        <f t="shared" si="5"/>
        <v>165000</v>
      </c>
      <c r="AF34" s="155" t="s">
        <v>453</v>
      </c>
      <c r="AG34" s="17" t="s">
        <v>899</v>
      </c>
      <c r="AH34" s="133" t="s">
        <v>900</v>
      </c>
      <c r="AI34" s="134" t="str">
        <f>HYPERLINK("https://drive.google.com/file/d/1UdJP3U5qISpyKIySPdrB3AoPdoIApUdR/view?usp=drivesdk","GC-MS_Rohula Utami_713")</f>
        <v>GC-MS_Rohula Utami_713</v>
      </c>
      <c r="AJ34" s="17" t="s">
        <v>901</v>
      </c>
    </row>
    <row r="35">
      <c r="L35" s="140">
        <f>sum(L12:L34)</f>
        <v>26700000</v>
      </c>
    </row>
  </sheetData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  <hyperlink r:id="rId9" ref="AH10"/>
    <hyperlink r:id="rId10" ref="AH11"/>
    <hyperlink r:id="rId11" ref="AH12"/>
    <hyperlink r:id="rId12" ref="AH13"/>
    <hyperlink r:id="rId13" ref="AH14"/>
    <hyperlink r:id="rId14" ref="AH15"/>
    <hyperlink r:id="rId15" ref="AH16"/>
    <hyperlink r:id="rId16" ref="AH17"/>
    <hyperlink r:id="rId17" ref="AH18"/>
    <hyperlink r:id="rId18" ref="AH19"/>
    <hyperlink r:id="rId19" ref="AH20"/>
    <hyperlink r:id="rId20" ref="AH21"/>
    <hyperlink r:id="rId21" ref="AH22"/>
    <hyperlink r:id="rId22" ref="AH23"/>
    <hyperlink r:id="rId23" ref="AH24"/>
    <hyperlink r:id="rId24" ref="AH25"/>
    <hyperlink r:id="rId25" ref="AH26"/>
    <hyperlink r:id="rId26" ref="AH27"/>
    <hyperlink r:id="rId27" ref="AH28"/>
    <hyperlink r:id="rId28" ref="AH29"/>
    <hyperlink r:id="rId29" ref="AH30"/>
    <hyperlink r:id="rId30" ref="AH31"/>
    <hyperlink r:id="rId31" ref="AH32"/>
    <hyperlink r:id="rId32" ref="AH33"/>
    <hyperlink r:id="rId33" ref="AH34"/>
  </hyperlinks>
  <drawing r:id="rId34"/>
  <tableParts count="1">
    <tablePart r:id="rId3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8.0"/>
    <col customWidth="1" min="18" max="21" width="18.88"/>
  </cols>
  <sheetData>
    <row r="1">
      <c r="A1" s="181" t="s">
        <v>506</v>
      </c>
      <c r="B1" s="124" t="s">
        <v>378</v>
      </c>
      <c r="C1" s="144" t="s">
        <v>380</v>
      </c>
      <c r="D1" s="144" t="s">
        <v>381</v>
      </c>
      <c r="E1" s="144" t="s">
        <v>508</v>
      </c>
      <c r="F1" s="146" t="s">
        <v>902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46" t="s">
        <v>595</v>
      </c>
      <c r="L1" s="146" t="s">
        <v>903</v>
      </c>
      <c r="M1" s="17" t="s">
        <v>904</v>
      </c>
      <c r="N1" s="17" t="s">
        <v>905</v>
      </c>
      <c r="O1" s="17" t="s">
        <v>906</v>
      </c>
      <c r="P1" s="17" t="s">
        <v>907</v>
      </c>
      <c r="Q1" s="147" t="s">
        <v>379</v>
      </c>
      <c r="R1" s="148" t="s">
        <v>908</v>
      </c>
      <c r="S1" s="148" t="s">
        <v>909</v>
      </c>
      <c r="T1" s="148" t="s">
        <v>910</v>
      </c>
      <c r="U1" s="148" t="s">
        <v>911</v>
      </c>
    </row>
    <row r="2">
      <c r="A2" s="135">
        <v>45650.0</v>
      </c>
      <c r="B2" s="135">
        <v>45656.0</v>
      </c>
      <c r="C2" s="17">
        <v>923.0</v>
      </c>
      <c r="D2" s="17" t="s">
        <v>912</v>
      </c>
      <c r="E2" s="17" t="s">
        <v>913</v>
      </c>
      <c r="F2" s="17" t="s">
        <v>914</v>
      </c>
      <c r="G2" s="17" t="s">
        <v>621</v>
      </c>
      <c r="H2" s="17" t="s">
        <v>915</v>
      </c>
      <c r="I2" s="17" t="s">
        <v>572</v>
      </c>
      <c r="J2" s="17">
        <v>108.0</v>
      </c>
      <c r="K2" s="182">
        <v>1600.0</v>
      </c>
      <c r="L2" s="183">
        <f t="shared" ref="L2:L3" si="1">J2*K2</f>
        <v>172800</v>
      </c>
      <c r="M2" s="17" t="s">
        <v>916</v>
      </c>
      <c r="N2" s="17">
        <v>36.0</v>
      </c>
      <c r="O2" s="17">
        <v>500.0</v>
      </c>
      <c r="P2" s="183">
        <f t="shared" ref="P2:P3" si="2">N2*O2</f>
        <v>18000</v>
      </c>
      <c r="Q2" s="17" t="s">
        <v>453</v>
      </c>
      <c r="R2" s="17" t="s">
        <v>917</v>
      </c>
      <c r="S2" s="133" t="s">
        <v>918</v>
      </c>
      <c r="T2" s="134" t="str">
        <f>HYPERLINK("https://drive.google.com/file/d/1c9ycJSfv8Z-SxF3rvfl_Ya58G8K0mLw3/view?usp=drivesdk","Sentrifuse_923")</f>
        <v>Sentrifuse_923</v>
      </c>
      <c r="U2" s="17" t="s">
        <v>919</v>
      </c>
    </row>
    <row r="3">
      <c r="A3" s="135">
        <v>45650.0</v>
      </c>
      <c r="B3" s="135">
        <v>45656.0</v>
      </c>
      <c r="C3" s="17">
        <v>924.0</v>
      </c>
      <c r="D3" s="136" t="s">
        <v>920</v>
      </c>
      <c r="E3" s="136" t="s">
        <v>921</v>
      </c>
      <c r="F3" s="17" t="s">
        <v>914</v>
      </c>
      <c r="G3" s="17" t="s">
        <v>621</v>
      </c>
      <c r="H3" s="17" t="s">
        <v>915</v>
      </c>
      <c r="I3" s="17" t="s">
        <v>572</v>
      </c>
      <c r="J3" s="17">
        <v>108.0</v>
      </c>
      <c r="K3" s="182">
        <v>1600.0</v>
      </c>
      <c r="L3" s="183">
        <f t="shared" si="1"/>
        <v>172800</v>
      </c>
      <c r="M3" s="17" t="s">
        <v>916</v>
      </c>
      <c r="N3" s="17">
        <v>36.0</v>
      </c>
      <c r="O3" s="17">
        <v>500.0</v>
      </c>
      <c r="P3" s="183">
        <f t="shared" si="2"/>
        <v>18000</v>
      </c>
      <c r="Q3" s="17" t="s">
        <v>453</v>
      </c>
      <c r="R3" s="17" t="s">
        <v>922</v>
      </c>
      <c r="S3" s="133" t="s">
        <v>923</v>
      </c>
      <c r="T3" s="134" t="str">
        <f>HYPERLINK("https://drive.google.com/file/d/1RlcjiwkHSLO6JtweNzRMoByhbT4ZYUo1/view?usp=drivesdk","Sentrifuse_924")</f>
        <v>Sentrifuse_924</v>
      </c>
      <c r="U3" s="17" t="s">
        <v>924</v>
      </c>
    </row>
  </sheetData>
  <hyperlinks>
    <hyperlink r:id="rId1" ref="S2"/>
    <hyperlink r:id="rId2" ref="S3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4" t="s">
        <v>925</v>
      </c>
      <c r="B1" s="184" t="s">
        <v>926</v>
      </c>
    </row>
    <row r="2">
      <c r="A2" s="17" t="s">
        <v>927</v>
      </c>
      <c r="B2" s="17" t="s">
        <v>928</v>
      </c>
    </row>
    <row r="3">
      <c r="A3" s="17" t="s">
        <v>219</v>
      </c>
      <c r="B3" s="17" t="s">
        <v>929</v>
      </c>
    </row>
    <row r="4">
      <c r="A4" s="17" t="s">
        <v>930</v>
      </c>
      <c r="B4" s="17" t="s">
        <v>931</v>
      </c>
    </row>
    <row r="5">
      <c r="A5" s="17" t="s">
        <v>932</v>
      </c>
      <c r="B5" s="17" t="s">
        <v>933</v>
      </c>
    </row>
    <row r="6">
      <c r="A6" s="17" t="s">
        <v>934</v>
      </c>
      <c r="B6" s="17" t="s">
        <v>929</v>
      </c>
    </row>
    <row r="7">
      <c r="A7" s="17" t="s">
        <v>935</v>
      </c>
      <c r="B7" s="17" t="s">
        <v>936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2.13"/>
    <col customWidth="1" min="8" max="8" width="17.75"/>
    <col customWidth="1" min="14" max="17" width="18.88"/>
  </cols>
  <sheetData>
    <row r="1">
      <c r="A1" s="181" t="s">
        <v>506</v>
      </c>
      <c r="B1" s="124" t="s">
        <v>378</v>
      </c>
      <c r="C1" s="144" t="s">
        <v>380</v>
      </c>
      <c r="D1" s="144" t="s">
        <v>381</v>
      </c>
      <c r="E1" s="144" t="s">
        <v>508</v>
      </c>
      <c r="F1" s="146" t="s">
        <v>937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46" t="s">
        <v>595</v>
      </c>
      <c r="L1" s="17" t="s">
        <v>907</v>
      </c>
      <c r="M1" s="147" t="s">
        <v>379</v>
      </c>
      <c r="N1" s="148" t="s">
        <v>938</v>
      </c>
      <c r="O1" s="148" t="s">
        <v>939</v>
      </c>
      <c r="P1" s="148" t="s">
        <v>940</v>
      </c>
      <c r="Q1" s="148" t="s">
        <v>941</v>
      </c>
    </row>
    <row r="2">
      <c r="A2" s="152">
        <v>46259.0</v>
      </c>
      <c r="B2" s="152">
        <v>46260.0</v>
      </c>
      <c r="C2" s="17">
        <v>557.0</v>
      </c>
      <c r="D2" s="17" t="s">
        <v>942</v>
      </c>
      <c r="E2" s="136" t="s">
        <v>943</v>
      </c>
      <c r="F2" s="136" t="s">
        <v>944</v>
      </c>
      <c r="G2" s="17" t="s">
        <v>541</v>
      </c>
      <c r="H2" s="17" t="s">
        <v>945</v>
      </c>
      <c r="I2" s="17" t="s">
        <v>543</v>
      </c>
      <c r="J2" s="17">
        <v>1.0</v>
      </c>
      <c r="K2" s="141">
        <v>125000.0</v>
      </c>
      <c r="L2" s="140">
        <f t="shared" ref="L2:L4" si="1">J2*K2</f>
        <v>125000</v>
      </c>
      <c r="M2" s="17" t="s">
        <v>453</v>
      </c>
      <c r="N2" s="17" t="s">
        <v>946</v>
      </c>
      <c r="O2" s="133" t="s">
        <v>947</v>
      </c>
      <c r="P2" s="134" t="str">
        <f>HYPERLINK("https://drive.google.com/file/d/1ibVfvCIC04pMfgxsGH9mTrMtHXWSpxvi/view?usp=drivesdk","Kadar Air_Abu_557")</f>
        <v>Kadar Air_Abu_557</v>
      </c>
      <c r="Q2" s="17" t="s">
        <v>948</v>
      </c>
    </row>
    <row r="3">
      <c r="A3" s="152">
        <v>46259.0</v>
      </c>
      <c r="B3" s="152">
        <v>46260.0</v>
      </c>
      <c r="C3" s="17">
        <v>556.0</v>
      </c>
      <c r="D3" s="17" t="s">
        <v>942</v>
      </c>
      <c r="E3" s="136" t="s">
        <v>943</v>
      </c>
      <c r="F3" s="136" t="s">
        <v>944</v>
      </c>
      <c r="G3" s="17" t="s">
        <v>541</v>
      </c>
      <c r="H3" s="17" t="s">
        <v>949</v>
      </c>
      <c r="I3" s="17" t="s">
        <v>950</v>
      </c>
      <c r="J3" s="17">
        <v>1.0</v>
      </c>
      <c r="K3" s="141">
        <v>80000.0</v>
      </c>
      <c r="L3" s="140">
        <f t="shared" si="1"/>
        <v>80000</v>
      </c>
      <c r="M3" s="17" t="s">
        <v>453</v>
      </c>
      <c r="N3" s="17" t="s">
        <v>951</v>
      </c>
      <c r="O3" s="133" t="s">
        <v>952</v>
      </c>
      <c r="P3" s="134" t="str">
        <f>HYPERLINK("https://drive.google.com/file/d/1nRppHkhST7e6KZAvFt7j6Riq2BCuSnVA/view?usp=drivesdk","Kadar Air_Abu_556")</f>
        <v>Kadar Air_Abu_556</v>
      </c>
      <c r="Q3" s="17" t="s">
        <v>948</v>
      </c>
    </row>
    <row r="4">
      <c r="A4" s="152">
        <v>46294.0</v>
      </c>
      <c r="B4" s="135">
        <v>45939.0</v>
      </c>
      <c r="C4" s="17">
        <v>641.0</v>
      </c>
      <c r="D4" s="17" t="s">
        <v>553</v>
      </c>
      <c r="E4" s="17" t="s">
        <v>155</v>
      </c>
      <c r="F4" s="17" t="s">
        <v>953</v>
      </c>
      <c r="G4" s="17" t="s">
        <v>541</v>
      </c>
      <c r="H4" s="17" t="s">
        <v>949</v>
      </c>
      <c r="I4" s="17" t="s">
        <v>572</v>
      </c>
      <c r="J4" s="17">
        <v>8.0</v>
      </c>
      <c r="K4" s="141">
        <v>100000.0</v>
      </c>
      <c r="L4" s="140">
        <f t="shared" si="1"/>
        <v>800000</v>
      </c>
      <c r="M4" s="17" t="s">
        <v>453</v>
      </c>
      <c r="N4" s="17" t="s">
        <v>954</v>
      </c>
      <c r="O4" s="133" t="s">
        <v>955</v>
      </c>
      <c r="P4" s="134" t="str">
        <f>HYPERLINK("https://drive.google.com/file/d/1TBNdzBu31Mu4P4IoZwDHXkWGR7ANmAm8/view?usp=drivesdk","Kadar Air_Abu_641")</f>
        <v>Kadar Air_Abu_641</v>
      </c>
      <c r="Q4" s="17" t="s">
        <v>956</v>
      </c>
    </row>
  </sheetData>
  <hyperlinks>
    <hyperlink r:id="rId1" ref="O2"/>
    <hyperlink r:id="rId2" ref="O3"/>
    <hyperlink r:id="rId3" ref="O4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7" width="18.88"/>
  </cols>
  <sheetData>
    <row r="1">
      <c r="A1" s="181" t="s">
        <v>506</v>
      </c>
      <c r="B1" s="124" t="s">
        <v>378</v>
      </c>
      <c r="C1" s="144" t="s">
        <v>380</v>
      </c>
      <c r="D1" s="144" t="s">
        <v>381</v>
      </c>
      <c r="E1" s="144" t="s">
        <v>508</v>
      </c>
      <c r="F1" s="146" t="s">
        <v>957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46" t="s">
        <v>595</v>
      </c>
      <c r="L1" s="17" t="s">
        <v>907</v>
      </c>
      <c r="M1" s="147" t="s">
        <v>379</v>
      </c>
      <c r="N1" s="148" t="s">
        <v>958</v>
      </c>
      <c r="O1" s="148" t="s">
        <v>959</v>
      </c>
      <c r="P1" s="148" t="s">
        <v>960</v>
      </c>
      <c r="Q1" s="148" t="s">
        <v>961</v>
      </c>
    </row>
    <row r="2">
      <c r="A2" s="152">
        <v>46259.0</v>
      </c>
      <c r="B2" s="152">
        <v>46260.0</v>
      </c>
      <c r="C2" s="17">
        <v>558.0</v>
      </c>
      <c r="D2" s="17" t="s">
        <v>942</v>
      </c>
      <c r="E2" s="136" t="s">
        <v>943</v>
      </c>
      <c r="F2" s="136" t="s">
        <v>944</v>
      </c>
      <c r="G2" s="17" t="s">
        <v>541</v>
      </c>
      <c r="H2" s="17" t="s">
        <v>962</v>
      </c>
      <c r="I2" s="17" t="s">
        <v>544</v>
      </c>
      <c r="J2" s="17">
        <v>1.0</v>
      </c>
      <c r="K2" s="141">
        <v>100000.0</v>
      </c>
      <c r="L2" s="140">
        <f>J2*K2</f>
        <v>100000</v>
      </c>
      <c r="M2" s="17" t="s">
        <v>453</v>
      </c>
      <c r="N2" s="17" t="s">
        <v>963</v>
      </c>
      <c r="O2" s="133" t="s">
        <v>964</v>
      </c>
      <c r="P2" s="134" t="str">
        <f>HYPERLINK("https://drive.google.com/file/d/1brb3L_04ewOpn1EEnYejZV_wBX1BKYqT/view?usp=drivesdk","Daya_Serap_Iod_558")</f>
        <v>Daya_Serap_Iod_558</v>
      </c>
      <c r="Q2" s="17" t="s">
        <v>965</v>
      </c>
    </row>
  </sheetData>
  <hyperlinks>
    <hyperlink r:id="rId1" ref="O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1.63"/>
    <col customWidth="1" min="3" max="3" width="8.25"/>
    <col customWidth="1" min="4" max="4" width="19.25"/>
    <col customWidth="1" min="6" max="6" width="36.63"/>
    <col customWidth="1" min="26" max="26" width="10.13"/>
    <col customWidth="1" min="27" max="27" width="9.38"/>
    <col customWidth="1" min="28" max="30" width="9.0"/>
    <col customWidth="1" min="31" max="31" width="9.88"/>
    <col customWidth="1" min="33" max="33" width="8.5"/>
    <col customWidth="1" min="34" max="34" width="8.75"/>
    <col customWidth="1" min="37" max="37" width="8.5"/>
    <col customWidth="1" min="38" max="39" width="9.25"/>
    <col customWidth="1" min="40" max="40" width="8.38"/>
    <col customWidth="1" min="41" max="41" width="8.75"/>
    <col customWidth="1" min="42" max="42" width="8.5"/>
    <col customWidth="1" min="43" max="43" width="10.5"/>
    <col customWidth="1" min="44" max="44" width="8.25"/>
    <col customWidth="1" min="45" max="45" width="9.5"/>
    <col customWidth="1" min="47" max="47" width="10.25"/>
    <col customWidth="1" min="48" max="49" width="11.25"/>
    <col customWidth="1" min="50" max="50" width="8.75"/>
    <col customWidth="1" min="52" max="52" width="10.13"/>
    <col customWidth="1" min="54" max="54" width="4.13"/>
    <col customWidth="1" min="55" max="55" width="4.5"/>
    <col customWidth="1" min="56" max="56" width="19.13"/>
    <col customWidth="1" min="57" max="57" width="18.88"/>
  </cols>
  <sheetData>
    <row r="1">
      <c r="A1" s="185" t="s">
        <v>506</v>
      </c>
      <c r="B1" s="186" t="s">
        <v>378</v>
      </c>
      <c r="C1" s="144" t="s">
        <v>380</v>
      </c>
      <c r="D1" s="144" t="s">
        <v>381</v>
      </c>
      <c r="E1" s="144" t="s">
        <v>508</v>
      </c>
      <c r="F1" s="146" t="s">
        <v>966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44" t="s">
        <v>967</v>
      </c>
      <c r="L1" s="146" t="s">
        <v>968</v>
      </c>
      <c r="M1" s="146" t="s">
        <v>969</v>
      </c>
      <c r="N1" s="146" t="s">
        <v>595</v>
      </c>
      <c r="O1" s="144" t="s">
        <v>970</v>
      </c>
      <c r="P1" s="144" t="s">
        <v>971</v>
      </c>
      <c r="Q1" s="144" t="s">
        <v>972</v>
      </c>
      <c r="R1" s="144" t="s">
        <v>973</v>
      </c>
      <c r="S1" s="144" t="s">
        <v>974</v>
      </c>
      <c r="T1" s="144" t="s">
        <v>975</v>
      </c>
      <c r="U1" s="144" t="s">
        <v>976</v>
      </c>
      <c r="V1" s="144" t="s">
        <v>977</v>
      </c>
      <c r="W1" s="144" t="s">
        <v>978</v>
      </c>
      <c r="X1" s="147" t="s">
        <v>979</v>
      </c>
      <c r="Y1" s="147" t="s">
        <v>980</v>
      </c>
      <c r="Z1" s="146" t="s">
        <v>981</v>
      </c>
      <c r="AA1" s="146" t="s">
        <v>982</v>
      </c>
      <c r="AB1" s="187" t="s">
        <v>515</v>
      </c>
      <c r="AC1" s="187" t="s">
        <v>983</v>
      </c>
      <c r="AD1" s="146" t="s">
        <v>700</v>
      </c>
      <c r="AE1" s="187" t="s">
        <v>519</v>
      </c>
      <c r="AF1" s="187" t="s">
        <v>984</v>
      </c>
      <c r="AG1" s="146" t="s">
        <v>985</v>
      </c>
      <c r="AH1" s="188" t="s">
        <v>523</v>
      </c>
      <c r="AI1" s="187" t="s">
        <v>986</v>
      </c>
      <c r="AJ1" s="146" t="s">
        <v>704</v>
      </c>
      <c r="AK1" s="146" t="s">
        <v>705</v>
      </c>
      <c r="AL1" s="188" t="s">
        <v>527</v>
      </c>
      <c r="AM1" s="187" t="s">
        <v>987</v>
      </c>
      <c r="AN1" s="147" t="s">
        <v>988</v>
      </c>
      <c r="AO1" s="147" t="s">
        <v>531</v>
      </c>
      <c r="AP1" s="146" t="s">
        <v>989</v>
      </c>
      <c r="AQ1" s="147" t="s">
        <v>990</v>
      </c>
      <c r="AR1" s="188" t="s">
        <v>991</v>
      </c>
      <c r="AS1" s="187" t="s">
        <v>992</v>
      </c>
      <c r="AT1" s="147" t="s">
        <v>993</v>
      </c>
      <c r="AU1" s="188" t="s">
        <v>994</v>
      </c>
      <c r="AV1" s="187" t="s">
        <v>995</v>
      </c>
      <c r="AW1" s="147" t="s">
        <v>996</v>
      </c>
      <c r="AX1" s="147" t="s">
        <v>997</v>
      </c>
      <c r="AY1" s="146" t="s">
        <v>998</v>
      </c>
      <c r="AZ1" s="147" t="s">
        <v>707</v>
      </c>
      <c r="BA1" s="147" t="s">
        <v>379</v>
      </c>
      <c r="BB1" s="189" t="s">
        <v>999</v>
      </c>
      <c r="BC1" s="189" t="s">
        <v>1000</v>
      </c>
      <c r="BD1" s="189" t="s">
        <v>1001</v>
      </c>
      <c r="BE1" s="189" t="s">
        <v>1002</v>
      </c>
      <c r="BF1" s="190"/>
      <c r="BG1" s="190"/>
      <c r="BH1" s="190"/>
    </row>
    <row r="2">
      <c r="A2" s="191">
        <v>45555.0</v>
      </c>
      <c r="B2" s="191">
        <v>45558.0</v>
      </c>
      <c r="C2" s="168">
        <v>790.0</v>
      </c>
      <c r="D2" s="17" t="s">
        <v>871</v>
      </c>
      <c r="E2" s="17" t="s">
        <v>872</v>
      </c>
      <c r="F2" s="17" t="s">
        <v>1003</v>
      </c>
      <c r="G2" s="155" t="s">
        <v>621</v>
      </c>
      <c r="H2" s="155" t="s">
        <v>1004</v>
      </c>
      <c r="I2" s="17" t="s">
        <v>716</v>
      </c>
      <c r="J2" s="17">
        <v>5.0</v>
      </c>
      <c r="K2" s="17">
        <v>1.0</v>
      </c>
      <c r="L2" s="163">
        <v>150000.0</v>
      </c>
      <c r="M2" s="17">
        <v>0.0</v>
      </c>
      <c r="N2" s="17">
        <v>0.0</v>
      </c>
      <c r="O2" s="17"/>
      <c r="P2" s="17">
        <v>5.0</v>
      </c>
      <c r="Q2" s="17">
        <v>60.0</v>
      </c>
      <c r="R2" s="17">
        <v>10.0</v>
      </c>
      <c r="S2" s="165">
        <f t="shared" ref="S2:S19" si="1">2*R2</f>
        <v>20</v>
      </c>
      <c r="T2" s="165">
        <f>10*J2</f>
        <v>50</v>
      </c>
      <c r="U2" s="165">
        <f>R2*J2</f>
        <v>50</v>
      </c>
      <c r="V2" s="165">
        <f>5*J2</f>
        <v>25</v>
      </c>
      <c r="W2" s="155">
        <v>60.0</v>
      </c>
      <c r="X2" s="17">
        <v>5.0</v>
      </c>
      <c r="Y2" s="165">
        <f t="shared" ref="Y2:Y3" si="2">SUM(P2:X2)</f>
        <v>285</v>
      </c>
      <c r="Z2" s="17"/>
      <c r="AA2" s="17">
        <v>0.0</v>
      </c>
      <c r="AB2" s="122">
        <v>0.0</v>
      </c>
      <c r="AC2" s="122">
        <v>0.0</v>
      </c>
      <c r="AD2" s="17">
        <v>0.0</v>
      </c>
      <c r="AE2" s="122">
        <v>0.0</v>
      </c>
      <c r="AF2" s="122">
        <v>0.0</v>
      </c>
      <c r="AG2" s="17">
        <v>0.0</v>
      </c>
      <c r="AH2" s="122">
        <v>0.0</v>
      </c>
      <c r="AI2" s="122">
        <v>0.0</v>
      </c>
      <c r="AJ2" s="17">
        <v>0.0</v>
      </c>
      <c r="AK2" s="17">
        <v>0.0</v>
      </c>
      <c r="AL2" s="122">
        <v>0.0</v>
      </c>
      <c r="AM2" s="122">
        <v>0.0</v>
      </c>
      <c r="AN2" s="17">
        <v>0.0</v>
      </c>
      <c r="AO2" s="17">
        <v>0.0</v>
      </c>
      <c r="AP2" s="17">
        <v>0.0</v>
      </c>
      <c r="AQ2" s="17">
        <v>60.0</v>
      </c>
      <c r="AR2" s="122">
        <v>0.0</v>
      </c>
      <c r="AS2" s="122">
        <v>0.0</v>
      </c>
      <c r="AT2" s="17">
        <v>0.0</v>
      </c>
      <c r="AU2" s="122">
        <v>0.0</v>
      </c>
      <c r="AV2" s="122">
        <v>0.0</v>
      </c>
      <c r="AW2" s="17">
        <v>1.0</v>
      </c>
      <c r="AX2" s="17">
        <v>0.0</v>
      </c>
      <c r="AY2" s="17">
        <v>0.0</v>
      </c>
      <c r="AZ2" s="17"/>
      <c r="BA2" s="17" t="s">
        <v>453</v>
      </c>
      <c r="BB2" s="17" t="s">
        <v>1005</v>
      </c>
      <c r="BC2" s="133" t="s">
        <v>1006</v>
      </c>
      <c r="BD2" s="134" t="str">
        <f>HYPERLINK("https://drive.google.com/file/d/1QZnS9PLNPOaQDWGRsKAPDmssbsnP0fI4/view?usp=drivesdk","Rekap HPLC Vito Bintang Saputra_790")</f>
        <v>Rekap HPLC Vito Bintang Saputra_790</v>
      </c>
      <c r="BE2" s="17" t="s">
        <v>1007</v>
      </c>
    </row>
    <row r="3">
      <c r="A3" s="191">
        <v>45553.0</v>
      </c>
      <c r="B3" s="191">
        <v>45645.0</v>
      </c>
      <c r="C3" s="168">
        <v>781.0</v>
      </c>
      <c r="D3" s="17" t="s">
        <v>1008</v>
      </c>
      <c r="E3" s="17" t="s">
        <v>1009</v>
      </c>
      <c r="F3" s="17" t="s">
        <v>1010</v>
      </c>
      <c r="G3" s="155" t="s">
        <v>621</v>
      </c>
      <c r="H3" s="155" t="s">
        <v>1004</v>
      </c>
      <c r="I3" s="17" t="s">
        <v>1011</v>
      </c>
      <c r="J3" s="17">
        <v>2.0</v>
      </c>
      <c r="K3" s="17">
        <v>1.0</v>
      </c>
      <c r="L3" s="163">
        <v>150000.0</v>
      </c>
      <c r="M3" s="17">
        <v>18.0</v>
      </c>
      <c r="N3" s="163">
        <f t="shared" ref="N3:N8" si="3">M3*50000</f>
        <v>900000</v>
      </c>
      <c r="O3" s="17"/>
      <c r="P3" s="17">
        <v>5.0</v>
      </c>
      <c r="Q3" s="17">
        <v>60.0</v>
      </c>
      <c r="R3" s="17">
        <v>85.0</v>
      </c>
      <c r="S3" s="171">
        <f t="shared" si="1"/>
        <v>170</v>
      </c>
      <c r="T3" s="171">
        <f t="shared" ref="T3:T7" si="4">R3*(J3+M3)</f>
        <v>1700</v>
      </c>
      <c r="U3" s="171">
        <f t="shared" ref="U3:U7" si="5">R3*(J3+M3)</f>
        <v>1700</v>
      </c>
      <c r="V3" s="17">
        <f>5*(J3+M3)</f>
        <v>100</v>
      </c>
      <c r="W3" s="155">
        <v>60.0</v>
      </c>
      <c r="X3" s="17">
        <v>5.0</v>
      </c>
      <c r="Y3" s="171">
        <f t="shared" si="2"/>
        <v>3885</v>
      </c>
      <c r="AA3" s="17">
        <v>0.0</v>
      </c>
      <c r="AB3" s="122">
        <v>0.0</v>
      </c>
      <c r="AC3" s="122">
        <v>0.0</v>
      </c>
      <c r="AD3" s="17">
        <v>0.0</v>
      </c>
      <c r="AE3" s="122">
        <v>0.0</v>
      </c>
      <c r="AF3" s="122">
        <v>0.0</v>
      </c>
      <c r="AG3" s="17">
        <v>1.0</v>
      </c>
      <c r="AH3" s="122">
        <v>10000.0</v>
      </c>
      <c r="AI3" s="123">
        <f t="shared" ref="AI3:AI18" si="6">AG3*AH3</f>
        <v>10000</v>
      </c>
      <c r="AJ3" s="17" t="s">
        <v>1012</v>
      </c>
      <c r="AK3" s="17">
        <v>12.0</v>
      </c>
      <c r="AL3" s="122">
        <v>1100.0</v>
      </c>
      <c r="AM3" s="122">
        <f t="shared" ref="AM3:AM6" si="7">AK3*AL3</f>
        <v>13200</v>
      </c>
      <c r="AN3" s="17">
        <v>1350.0</v>
      </c>
      <c r="AO3" s="122">
        <v>1500.0</v>
      </c>
      <c r="AP3" s="123">
        <f t="shared" ref="AP3:AP6" si="8">AN3*AO3</f>
        <v>2025000</v>
      </c>
      <c r="AQ3" s="17">
        <v>500.0</v>
      </c>
      <c r="AR3" s="122">
        <v>1000.0</v>
      </c>
      <c r="AS3" s="123">
        <f t="shared" ref="AS3:AS6" si="9">AQ3*AR3</f>
        <v>500000</v>
      </c>
      <c r="AT3" s="17">
        <v>0.0</v>
      </c>
      <c r="AU3" s="122">
        <v>0.0</v>
      </c>
      <c r="AV3" s="122">
        <v>0.0</v>
      </c>
      <c r="AW3" s="17">
        <v>0.0</v>
      </c>
      <c r="AX3" s="17">
        <v>0.0</v>
      </c>
      <c r="AY3" s="17">
        <v>0.0</v>
      </c>
      <c r="AZ3" s="123">
        <f>AI3+AM3+AP3+AS3</f>
        <v>2548200</v>
      </c>
      <c r="BA3" s="17" t="s">
        <v>453</v>
      </c>
      <c r="BB3" s="17" t="s">
        <v>1013</v>
      </c>
      <c r="BC3" s="133" t="s">
        <v>1014</v>
      </c>
      <c r="BD3" s="134" t="str">
        <f>HYPERLINK("https://drive.google.com/file/d/11dsMBcxL8YYVdz7e29_p0u5Z1jOC8b7W/view?usp=drivesdk","Rekap HPLC Adlinisa Ghinanda_781")</f>
        <v>Rekap HPLC Adlinisa Ghinanda_781</v>
      </c>
      <c r="BE3" s="17" t="s">
        <v>1015</v>
      </c>
    </row>
    <row r="4">
      <c r="A4" s="192">
        <v>45567.0</v>
      </c>
      <c r="B4" s="192" t="s">
        <v>1016</v>
      </c>
      <c r="C4" s="168">
        <v>808.0</v>
      </c>
      <c r="D4" s="17" t="s">
        <v>1017</v>
      </c>
      <c r="E4" s="17" t="s">
        <v>1018</v>
      </c>
      <c r="F4" s="17" t="s">
        <v>1019</v>
      </c>
      <c r="G4" s="155" t="s">
        <v>621</v>
      </c>
      <c r="H4" s="155" t="s">
        <v>1004</v>
      </c>
      <c r="I4" s="17" t="s">
        <v>1020</v>
      </c>
      <c r="J4" s="17">
        <v>6.0</v>
      </c>
      <c r="K4" s="17">
        <v>1.0</v>
      </c>
      <c r="L4" s="163">
        <v>150000.0</v>
      </c>
      <c r="M4" s="17">
        <v>2.0</v>
      </c>
      <c r="N4" s="163">
        <f t="shared" si="3"/>
        <v>100000</v>
      </c>
      <c r="O4" s="17"/>
      <c r="P4" s="17">
        <v>5.0</v>
      </c>
      <c r="Q4" s="17">
        <v>60.0</v>
      </c>
      <c r="R4" s="17">
        <v>14.0</v>
      </c>
      <c r="S4" s="165">
        <f t="shared" si="1"/>
        <v>28</v>
      </c>
      <c r="T4" s="165">
        <f t="shared" si="4"/>
        <v>112</v>
      </c>
      <c r="U4" s="165">
        <f t="shared" si="5"/>
        <v>112</v>
      </c>
      <c r="V4" s="17">
        <v>45.0</v>
      </c>
      <c r="W4" s="155">
        <v>60.0</v>
      </c>
      <c r="X4" s="17">
        <v>5.0</v>
      </c>
      <c r="Y4" s="165">
        <f t="shared" ref="Y4:Y7" si="10">SUM(P4,X4,W4,V4,U4,T4,S4,Q4)</f>
        <v>427</v>
      </c>
      <c r="Z4" s="17"/>
      <c r="AA4" s="17">
        <v>4.0</v>
      </c>
      <c r="AB4" s="122">
        <v>5000.0</v>
      </c>
      <c r="AC4" s="122">
        <f t="shared" ref="AC4:AC6" si="11">AA4*AB4</f>
        <v>20000</v>
      </c>
      <c r="AD4" s="17">
        <v>4.0</v>
      </c>
      <c r="AE4" s="122">
        <v>50000.0</v>
      </c>
      <c r="AF4" s="122">
        <f t="shared" ref="AF4:AF6" si="12">AD4*AE4</f>
        <v>200000</v>
      </c>
      <c r="AG4" s="17">
        <v>1.0</v>
      </c>
      <c r="AH4" s="122">
        <v>10000.0</v>
      </c>
      <c r="AI4" s="122">
        <f t="shared" si="6"/>
        <v>10000</v>
      </c>
      <c r="AJ4" s="17" t="s">
        <v>990</v>
      </c>
      <c r="AK4" s="17">
        <v>0.0</v>
      </c>
      <c r="AL4" s="122">
        <v>0.0</v>
      </c>
      <c r="AM4" s="122">
        <f t="shared" si="7"/>
        <v>0</v>
      </c>
      <c r="AN4" s="17">
        <v>100.0</v>
      </c>
      <c r="AO4" s="122">
        <v>1500.0</v>
      </c>
      <c r="AP4" s="122">
        <f t="shared" si="8"/>
        <v>150000</v>
      </c>
      <c r="AQ4" s="17">
        <v>200.0</v>
      </c>
      <c r="AR4" s="122">
        <v>1000.0</v>
      </c>
      <c r="AS4" s="122">
        <f t="shared" si="9"/>
        <v>200000</v>
      </c>
      <c r="AT4" s="17">
        <v>0.0</v>
      </c>
      <c r="AU4" s="122">
        <v>0.0</v>
      </c>
      <c r="AV4" s="122">
        <f t="shared" ref="AV4:AV6" si="13">AT4*AU4</f>
        <v>0</v>
      </c>
      <c r="AW4" s="17">
        <v>0.0</v>
      </c>
      <c r="AX4" s="122">
        <v>0.0</v>
      </c>
      <c r="AY4" s="122">
        <v>0.0</v>
      </c>
      <c r="AZ4" s="122">
        <f t="shared" ref="AZ4:AZ6" si="14">AC4+AF4+AI4+AM4+AP4+AS4+AV4</f>
        <v>580000</v>
      </c>
      <c r="BA4" s="17" t="s">
        <v>453</v>
      </c>
      <c r="BB4" s="17" t="s">
        <v>1021</v>
      </c>
      <c r="BC4" s="133" t="s">
        <v>1022</v>
      </c>
      <c r="BD4" s="134" t="str">
        <f>HYPERLINK("https://drive.google.com/file/d/1hXls0OV4DjT3C0087-U9yZNP-7S0zT7k/view?usp=drivesdk","Rekap HPLC Lisa Sefriana_808")</f>
        <v>Rekap HPLC Lisa Sefriana_808</v>
      </c>
      <c r="BE4" s="17" t="s">
        <v>1023</v>
      </c>
    </row>
    <row r="5">
      <c r="A5" s="192">
        <v>45567.0</v>
      </c>
      <c r="B5" s="192" t="s">
        <v>1016</v>
      </c>
      <c r="C5" s="168">
        <v>809.0</v>
      </c>
      <c r="D5" s="136" t="s">
        <v>1024</v>
      </c>
      <c r="E5" s="136" t="s">
        <v>1025</v>
      </c>
      <c r="F5" s="136" t="s">
        <v>1026</v>
      </c>
      <c r="G5" s="155" t="s">
        <v>621</v>
      </c>
      <c r="H5" s="155" t="s">
        <v>1004</v>
      </c>
      <c r="I5" s="17" t="s">
        <v>1020</v>
      </c>
      <c r="J5" s="17">
        <v>6.0</v>
      </c>
      <c r="K5" s="17">
        <v>1.0</v>
      </c>
      <c r="L5" s="163">
        <v>150000.0</v>
      </c>
      <c r="M5" s="17">
        <v>5.0</v>
      </c>
      <c r="N5" s="163">
        <f t="shared" si="3"/>
        <v>250000</v>
      </c>
      <c r="O5" s="17"/>
      <c r="P5" s="17">
        <v>5.0</v>
      </c>
      <c r="Q5" s="17">
        <v>60.0</v>
      </c>
      <c r="R5" s="17">
        <v>10.0</v>
      </c>
      <c r="S5" s="165">
        <f t="shared" si="1"/>
        <v>20</v>
      </c>
      <c r="T5" s="165">
        <f t="shared" si="4"/>
        <v>110</v>
      </c>
      <c r="U5" s="165">
        <f t="shared" si="5"/>
        <v>110</v>
      </c>
      <c r="V5" s="17">
        <v>45.0</v>
      </c>
      <c r="W5" s="155">
        <v>60.0</v>
      </c>
      <c r="X5" s="17">
        <v>5.0</v>
      </c>
      <c r="Y5" s="165">
        <f t="shared" si="10"/>
        <v>415</v>
      </c>
      <c r="Z5" s="17"/>
      <c r="AA5" s="17">
        <v>6.0</v>
      </c>
      <c r="AB5" s="122">
        <v>5000.0</v>
      </c>
      <c r="AC5" s="122">
        <f t="shared" si="11"/>
        <v>30000</v>
      </c>
      <c r="AD5" s="17">
        <v>6.0</v>
      </c>
      <c r="AE5" s="122">
        <v>50000.0</v>
      </c>
      <c r="AF5" s="122">
        <f t="shared" si="12"/>
        <v>300000</v>
      </c>
      <c r="AG5" s="17">
        <v>1.0</v>
      </c>
      <c r="AH5" s="122">
        <v>10000.0</v>
      </c>
      <c r="AI5" s="122">
        <f t="shared" si="6"/>
        <v>10000</v>
      </c>
      <c r="AJ5" s="17" t="s">
        <v>990</v>
      </c>
      <c r="AK5" s="17">
        <v>0.0</v>
      </c>
      <c r="AL5" s="122">
        <v>0.0</v>
      </c>
      <c r="AM5" s="122">
        <f t="shared" si="7"/>
        <v>0</v>
      </c>
      <c r="AN5" s="17">
        <v>100.0</v>
      </c>
      <c r="AO5" s="122">
        <v>1500.0</v>
      </c>
      <c r="AP5" s="122">
        <f t="shared" si="8"/>
        <v>150000</v>
      </c>
      <c r="AQ5" s="17">
        <v>200.0</v>
      </c>
      <c r="AR5" s="122">
        <v>1000.0</v>
      </c>
      <c r="AS5" s="122">
        <f t="shared" si="9"/>
        <v>200000</v>
      </c>
      <c r="AT5" s="17">
        <v>0.0</v>
      </c>
      <c r="AU5" s="122">
        <v>0.0</v>
      </c>
      <c r="AV5" s="122">
        <f t="shared" si="13"/>
        <v>0</v>
      </c>
      <c r="AW5" s="17">
        <v>0.0</v>
      </c>
      <c r="AX5" s="122">
        <v>0.0</v>
      </c>
      <c r="AY5" s="122">
        <v>0.0</v>
      </c>
      <c r="AZ5" s="122">
        <f t="shared" si="14"/>
        <v>690000</v>
      </c>
      <c r="BA5" s="17" t="s">
        <v>453</v>
      </c>
      <c r="BB5" s="17" t="s">
        <v>1027</v>
      </c>
      <c r="BC5" s="133" t="s">
        <v>1028</v>
      </c>
      <c r="BD5" s="134" t="str">
        <f>HYPERLINK("https://drive.google.com/file/d/1PfTAYPtreqJJi2AKjl5pKT7k-71CPuCc/view?usp=drivesdk","Rekap HPLC Eva Susilawati _")</f>
        <v>Rekap HPLC Eva Susilawati _</v>
      </c>
      <c r="BE5" s="17" t="s">
        <v>1029</v>
      </c>
    </row>
    <row r="6">
      <c r="A6" s="192">
        <v>45567.0</v>
      </c>
      <c r="B6" s="192" t="s">
        <v>1016</v>
      </c>
      <c r="C6" s="168">
        <v>810.0</v>
      </c>
      <c r="D6" s="136" t="s">
        <v>920</v>
      </c>
      <c r="E6" s="136" t="s">
        <v>921</v>
      </c>
      <c r="F6" s="136" t="s">
        <v>1019</v>
      </c>
      <c r="G6" s="155" t="s">
        <v>621</v>
      </c>
      <c r="H6" s="155" t="s">
        <v>1004</v>
      </c>
      <c r="I6" s="17" t="s">
        <v>1020</v>
      </c>
      <c r="J6" s="17">
        <v>6.0</v>
      </c>
      <c r="K6" s="17">
        <v>1.0</v>
      </c>
      <c r="L6" s="163">
        <v>150000.0</v>
      </c>
      <c r="M6" s="17">
        <v>15.0</v>
      </c>
      <c r="N6" s="163">
        <f t="shared" si="3"/>
        <v>750000</v>
      </c>
      <c r="O6" s="17"/>
      <c r="P6" s="17">
        <v>5.0</v>
      </c>
      <c r="Q6" s="17">
        <v>60.0</v>
      </c>
      <c r="R6" s="17">
        <v>11.0</v>
      </c>
      <c r="S6" s="165">
        <f t="shared" si="1"/>
        <v>22</v>
      </c>
      <c r="T6" s="165">
        <f t="shared" si="4"/>
        <v>231</v>
      </c>
      <c r="U6" s="165">
        <f t="shared" si="5"/>
        <v>231</v>
      </c>
      <c r="V6" s="17">
        <v>105.0</v>
      </c>
      <c r="W6" s="155">
        <v>60.0</v>
      </c>
      <c r="X6" s="17">
        <v>5.0</v>
      </c>
      <c r="Y6" s="165">
        <f t="shared" si="10"/>
        <v>719</v>
      </c>
      <c r="Z6" s="17"/>
      <c r="AA6" s="17">
        <v>9.0</v>
      </c>
      <c r="AB6" s="122">
        <v>5000.0</v>
      </c>
      <c r="AC6" s="122">
        <f t="shared" si="11"/>
        <v>45000</v>
      </c>
      <c r="AD6" s="17">
        <v>9.0</v>
      </c>
      <c r="AE6" s="122">
        <v>50000.0</v>
      </c>
      <c r="AF6" s="122">
        <f t="shared" si="12"/>
        <v>450000</v>
      </c>
      <c r="AG6" s="17">
        <v>1.0</v>
      </c>
      <c r="AH6" s="122">
        <v>10000.0</v>
      </c>
      <c r="AI6" s="122">
        <f t="shared" si="6"/>
        <v>10000</v>
      </c>
      <c r="AJ6" s="17" t="s">
        <v>990</v>
      </c>
      <c r="AK6" s="17">
        <v>0.0</v>
      </c>
      <c r="AL6" s="122">
        <v>0.0</v>
      </c>
      <c r="AM6" s="122">
        <f t="shared" si="7"/>
        <v>0</v>
      </c>
      <c r="AN6" s="17">
        <v>109.0</v>
      </c>
      <c r="AO6" s="122">
        <v>1500.0</v>
      </c>
      <c r="AP6" s="122">
        <f t="shared" si="8"/>
        <v>163500</v>
      </c>
      <c r="AQ6" s="17">
        <v>258.0</v>
      </c>
      <c r="AR6" s="122">
        <v>1000.0</v>
      </c>
      <c r="AS6" s="122">
        <f t="shared" si="9"/>
        <v>258000</v>
      </c>
      <c r="AT6" s="17">
        <v>0.0</v>
      </c>
      <c r="AU6" s="122">
        <v>0.0</v>
      </c>
      <c r="AV6" s="122">
        <f t="shared" si="13"/>
        <v>0</v>
      </c>
      <c r="AW6" s="17">
        <v>0.0</v>
      </c>
      <c r="AX6" s="122">
        <v>0.0</v>
      </c>
      <c r="AY6" s="122">
        <v>0.0</v>
      </c>
      <c r="AZ6" s="122">
        <f t="shared" si="14"/>
        <v>926500</v>
      </c>
      <c r="BA6" s="17" t="s">
        <v>453</v>
      </c>
      <c r="BB6" s="17" t="s">
        <v>1030</v>
      </c>
      <c r="BC6" s="133" t="s">
        <v>1031</v>
      </c>
      <c r="BD6" s="134" t="str">
        <f>HYPERLINK("https://drive.google.com/file/d/1sBEvDe_imTAAr-XZlHY_VxRZWgwVOsLq/view?usp=drivesdk","Rekap HPLC Wahyu Aulia Hasibuan_")</f>
        <v>Rekap HPLC Wahyu Aulia Hasibuan_</v>
      </c>
      <c r="BE6" s="17" t="s">
        <v>1023</v>
      </c>
    </row>
    <row r="7">
      <c r="A7" s="192">
        <v>45497.0</v>
      </c>
      <c r="B7" s="192" t="s">
        <v>1032</v>
      </c>
      <c r="C7" s="168">
        <v>671.0</v>
      </c>
      <c r="D7" s="17" t="s">
        <v>1033</v>
      </c>
      <c r="E7" s="17" t="s">
        <v>1034</v>
      </c>
      <c r="F7" s="17" t="s">
        <v>1035</v>
      </c>
      <c r="G7" s="155" t="s">
        <v>621</v>
      </c>
      <c r="H7" s="155" t="s">
        <v>1004</v>
      </c>
      <c r="I7" s="17" t="s">
        <v>1036</v>
      </c>
      <c r="J7" s="17">
        <v>42.0</v>
      </c>
      <c r="K7" s="17">
        <v>7.0</v>
      </c>
      <c r="L7" s="163">
        <v>150000.0</v>
      </c>
      <c r="M7" s="17">
        <v>30.0</v>
      </c>
      <c r="N7" s="163">
        <f t="shared" si="3"/>
        <v>1500000</v>
      </c>
      <c r="O7" s="17"/>
      <c r="P7" s="17">
        <v>5.0</v>
      </c>
      <c r="Q7" s="17">
        <v>60.0</v>
      </c>
      <c r="R7" s="17">
        <v>5.0</v>
      </c>
      <c r="S7" s="165">
        <f t="shared" si="1"/>
        <v>10</v>
      </c>
      <c r="T7" s="165">
        <f t="shared" si="4"/>
        <v>360</v>
      </c>
      <c r="U7" s="165">
        <f t="shared" si="5"/>
        <v>360</v>
      </c>
      <c r="V7" s="17">
        <v>330.0</v>
      </c>
      <c r="W7" s="155">
        <v>60.0</v>
      </c>
      <c r="X7" s="17">
        <v>5.0</v>
      </c>
      <c r="Y7" s="165">
        <f t="shared" si="10"/>
        <v>1190</v>
      </c>
      <c r="Z7" s="17"/>
      <c r="AA7" s="17">
        <v>0.0</v>
      </c>
      <c r="AB7" s="122">
        <v>0.0</v>
      </c>
      <c r="AC7" s="122">
        <v>0.0</v>
      </c>
      <c r="AD7" s="17">
        <v>0.0</v>
      </c>
      <c r="AE7" s="122">
        <v>0.0</v>
      </c>
      <c r="AF7" s="122">
        <v>0.0</v>
      </c>
      <c r="AG7" s="17">
        <v>0.0</v>
      </c>
      <c r="AH7" s="122">
        <v>0.0</v>
      </c>
      <c r="AI7" s="122">
        <f t="shared" si="6"/>
        <v>0</v>
      </c>
      <c r="AJ7" s="17">
        <v>0.0</v>
      </c>
      <c r="AK7" s="17">
        <v>0.0</v>
      </c>
      <c r="AL7" s="122">
        <v>0.0</v>
      </c>
      <c r="AM7" s="122">
        <v>0.0</v>
      </c>
      <c r="AN7" s="17">
        <v>0.0</v>
      </c>
      <c r="AO7" s="17">
        <v>0.0</v>
      </c>
      <c r="AP7" s="17">
        <v>0.0</v>
      </c>
      <c r="AQ7" s="17">
        <v>100.0</v>
      </c>
      <c r="AR7" s="122">
        <v>1000.0</v>
      </c>
      <c r="AS7" s="122">
        <v>0.0</v>
      </c>
      <c r="AT7" s="17">
        <v>0.0</v>
      </c>
      <c r="AU7" s="122">
        <v>0.0</v>
      </c>
      <c r="AV7" s="122">
        <v>0.0</v>
      </c>
      <c r="AW7" s="17">
        <v>1.0</v>
      </c>
      <c r="AX7" s="17">
        <v>0.0</v>
      </c>
      <c r="AY7" s="17">
        <v>0.0</v>
      </c>
      <c r="AZ7" s="17"/>
      <c r="BA7" s="17" t="s">
        <v>453</v>
      </c>
      <c r="BB7" s="17" t="s">
        <v>1037</v>
      </c>
      <c r="BC7" s="133" t="s">
        <v>1038</v>
      </c>
      <c r="BD7" s="134" t="str">
        <f>HYPERLINK("https://drive.google.com/file/d/1N6btOJR8wLDPfRl3iZXL0BxAuOyQG6Qi/view?usp=drivesdk","Rekap HPLC Lia Umi Khasanah_671")</f>
        <v>Rekap HPLC Lia Umi Khasanah_671</v>
      </c>
      <c r="BE7" s="17" t="s">
        <v>1039</v>
      </c>
    </row>
    <row r="8">
      <c r="A8" s="192">
        <v>45632.0</v>
      </c>
      <c r="B8" s="192">
        <v>45632.0</v>
      </c>
      <c r="C8" s="168">
        <v>922.0</v>
      </c>
      <c r="D8" s="136" t="s">
        <v>920</v>
      </c>
      <c r="E8" s="136" t="s">
        <v>921</v>
      </c>
      <c r="F8" s="17" t="s">
        <v>914</v>
      </c>
      <c r="G8" s="17" t="s">
        <v>621</v>
      </c>
      <c r="H8" s="17" t="s">
        <v>1004</v>
      </c>
      <c r="I8" s="17" t="s">
        <v>1020</v>
      </c>
      <c r="J8" s="17">
        <v>6.0</v>
      </c>
      <c r="K8" s="17">
        <v>1.0</v>
      </c>
      <c r="L8" s="163">
        <v>150000.0</v>
      </c>
      <c r="M8" s="17">
        <v>6.0</v>
      </c>
      <c r="N8" s="163">
        <f t="shared" si="3"/>
        <v>300000</v>
      </c>
      <c r="O8" s="17"/>
      <c r="P8" s="17">
        <v>5.0</v>
      </c>
      <c r="Q8" s="17">
        <v>60.0</v>
      </c>
      <c r="R8" s="17">
        <v>5.0</v>
      </c>
      <c r="S8" s="171">
        <f t="shared" si="1"/>
        <v>10</v>
      </c>
      <c r="T8" s="171">
        <f>(R8*(J8+M8))</f>
        <v>60</v>
      </c>
      <c r="U8" s="171">
        <f>(R8*(J8+M8))</f>
        <v>60</v>
      </c>
      <c r="V8" s="17">
        <v>50.0</v>
      </c>
      <c r="W8" s="17">
        <v>60.0</v>
      </c>
      <c r="X8" s="17">
        <v>5.0</v>
      </c>
      <c r="Y8" s="171">
        <f t="shared" ref="Y8:Y9" si="15">SUM(P8:X8)</f>
        <v>315</v>
      </c>
      <c r="AA8" s="17">
        <v>0.0</v>
      </c>
      <c r="AB8" s="122">
        <v>0.0</v>
      </c>
      <c r="AC8" s="122">
        <v>0.0</v>
      </c>
      <c r="AD8" s="17">
        <v>0.0</v>
      </c>
      <c r="AE8" s="122">
        <v>0.0</v>
      </c>
      <c r="AF8" s="122">
        <v>0.0</v>
      </c>
      <c r="AG8" s="17">
        <v>0.0</v>
      </c>
      <c r="AH8" s="122">
        <v>0.0</v>
      </c>
      <c r="AI8" s="122">
        <f t="shared" si="6"/>
        <v>0</v>
      </c>
      <c r="AJ8" s="17" t="s">
        <v>1040</v>
      </c>
      <c r="AK8" s="17">
        <v>0.0</v>
      </c>
      <c r="AL8" s="122">
        <v>0.0</v>
      </c>
      <c r="AM8" s="123">
        <f>AK8*AL8</f>
        <v>0</v>
      </c>
      <c r="AN8" s="17">
        <v>250.5</v>
      </c>
      <c r="AO8" s="122">
        <v>1500.0</v>
      </c>
      <c r="AP8" s="123">
        <f t="shared" ref="AP8:AP9" si="16">AN8*AO8</f>
        <v>375750</v>
      </c>
      <c r="AQ8" s="17">
        <v>370.5</v>
      </c>
      <c r="AR8" s="122">
        <v>1000.0</v>
      </c>
      <c r="AS8" s="123">
        <f t="shared" ref="AS8:AS18" si="17">AQ8*AR8</f>
        <v>370500</v>
      </c>
      <c r="AT8" s="17">
        <v>0.0</v>
      </c>
      <c r="AU8" s="122">
        <v>0.0</v>
      </c>
      <c r="AV8" s="122">
        <v>0.0</v>
      </c>
      <c r="AW8" s="17">
        <v>0.0</v>
      </c>
      <c r="AX8" s="17">
        <v>0.0</v>
      </c>
      <c r="AY8" s="17">
        <v>0.0</v>
      </c>
      <c r="AZ8" s="123">
        <f>AP8+AS8</f>
        <v>746250</v>
      </c>
      <c r="BA8" s="17" t="s">
        <v>453</v>
      </c>
      <c r="BB8" s="17" t="s">
        <v>1041</v>
      </c>
      <c r="BC8" s="133" t="s">
        <v>1042</v>
      </c>
      <c r="BD8" s="134" t="str">
        <f>HYPERLINK("https://drive.google.com/file/d/16CHL8vrDb4xhFB1LhCcxmnQEf-MZVB57/view?usp=drivesdk","Rekap HPLC Wahyu Aulia Hasibuan_922")</f>
        <v>Rekap HPLC Wahyu Aulia Hasibuan_922</v>
      </c>
      <c r="BE8" s="17" t="s">
        <v>1043</v>
      </c>
    </row>
    <row r="9">
      <c r="A9" s="192">
        <v>45632.0</v>
      </c>
      <c r="B9" s="192">
        <v>45632.0</v>
      </c>
      <c r="C9" s="168">
        <v>924.0</v>
      </c>
      <c r="D9" s="136" t="s">
        <v>920</v>
      </c>
      <c r="E9" s="136" t="s">
        <v>921</v>
      </c>
      <c r="F9" s="17" t="s">
        <v>914</v>
      </c>
      <c r="G9" s="17" t="s">
        <v>621</v>
      </c>
      <c r="H9" s="17" t="s">
        <v>1004</v>
      </c>
      <c r="I9" s="17" t="s">
        <v>1020</v>
      </c>
      <c r="J9" s="17">
        <v>1.0</v>
      </c>
      <c r="K9" s="17">
        <v>1.0</v>
      </c>
      <c r="L9" s="163">
        <v>150000.0</v>
      </c>
      <c r="M9" s="17">
        <v>0.0</v>
      </c>
      <c r="N9" s="163">
        <v>0.0</v>
      </c>
      <c r="O9" s="17"/>
      <c r="P9" s="17">
        <v>5.0</v>
      </c>
      <c r="Q9" s="17">
        <v>60.0</v>
      </c>
      <c r="R9" s="17">
        <v>12.0</v>
      </c>
      <c r="S9" s="171">
        <f t="shared" si="1"/>
        <v>24</v>
      </c>
      <c r="T9" s="171">
        <f>(R9*J9)</f>
        <v>12</v>
      </c>
      <c r="U9" s="171">
        <f>(R9*J9)</f>
        <v>12</v>
      </c>
      <c r="V9" s="17">
        <v>5.0</v>
      </c>
      <c r="W9" s="17">
        <v>60.0</v>
      </c>
      <c r="X9" s="17">
        <v>5.0</v>
      </c>
      <c r="Y9" s="171">
        <f t="shared" si="15"/>
        <v>195</v>
      </c>
      <c r="AA9" s="17">
        <v>0.0</v>
      </c>
      <c r="AB9" s="122">
        <v>0.0</v>
      </c>
      <c r="AC9" s="122">
        <v>0.0</v>
      </c>
      <c r="AD9" s="17">
        <v>0.0</v>
      </c>
      <c r="AE9" s="122">
        <v>0.0</v>
      </c>
      <c r="AF9" s="122">
        <v>0.0</v>
      </c>
      <c r="AG9" s="17">
        <v>0.0</v>
      </c>
      <c r="AH9" s="122">
        <v>0.0</v>
      </c>
      <c r="AI9" s="122">
        <f t="shared" si="6"/>
        <v>0</v>
      </c>
      <c r="AJ9" s="17" t="s">
        <v>1044</v>
      </c>
      <c r="AK9" s="17">
        <v>0.0</v>
      </c>
      <c r="AL9" s="122">
        <v>0.0</v>
      </c>
      <c r="AM9" s="122">
        <v>0.0</v>
      </c>
      <c r="AN9" s="17">
        <v>90.12</v>
      </c>
      <c r="AO9" s="122">
        <v>1500.0</v>
      </c>
      <c r="AP9" s="123">
        <f t="shared" si="16"/>
        <v>135180</v>
      </c>
      <c r="AQ9" s="17">
        <v>33.0</v>
      </c>
      <c r="AR9" s="122">
        <v>1000.0</v>
      </c>
      <c r="AS9" s="123">
        <f t="shared" si="17"/>
        <v>33000</v>
      </c>
      <c r="AT9" s="17">
        <v>45.0</v>
      </c>
      <c r="AU9" s="122">
        <v>1000.0</v>
      </c>
      <c r="AV9" s="123">
        <f t="shared" ref="AV9:AV18" si="18">AT9*AU9</f>
        <v>45000</v>
      </c>
      <c r="AW9" s="17">
        <v>0.0</v>
      </c>
      <c r="AX9" s="17">
        <v>0.0</v>
      </c>
      <c r="AY9" s="17">
        <v>0.0</v>
      </c>
      <c r="AZ9" s="123">
        <f>AP9+AS9+AV9</f>
        <v>213180</v>
      </c>
      <c r="BA9" s="17" t="s">
        <v>453</v>
      </c>
      <c r="BB9" s="17" t="s">
        <v>1045</v>
      </c>
      <c r="BC9" s="133" t="s">
        <v>1046</v>
      </c>
      <c r="BD9" s="134" t="str">
        <f>HYPERLINK("https://drive.google.com/file/d/1licsAdnbpWyvndb1p0vgcffEIOHljjnu/view?usp=drivesdk","Rekap HPLC Wahyu Aulia Hasibuan_924")</f>
        <v>Rekap HPLC Wahyu Aulia Hasibuan_924</v>
      </c>
      <c r="BE9" s="17" t="s">
        <v>1047</v>
      </c>
    </row>
    <row r="10">
      <c r="A10" s="192">
        <v>45597.0</v>
      </c>
      <c r="B10" s="192">
        <v>45636.0</v>
      </c>
      <c r="C10" s="168">
        <v>866.0</v>
      </c>
      <c r="D10" s="17" t="s">
        <v>1048</v>
      </c>
      <c r="E10" s="17" t="s">
        <v>1049</v>
      </c>
      <c r="F10" s="17" t="s">
        <v>1050</v>
      </c>
      <c r="G10" s="17" t="s">
        <v>541</v>
      </c>
      <c r="H10" s="17" t="s">
        <v>1004</v>
      </c>
      <c r="I10" s="17" t="s">
        <v>1051</v>
      </c>
      <c r="J10" s="17">
        <v>5.0</v>
      </c>
      <c r="K10" s="17">
        <v>1.0</v>
      </c>
      <c r="L10" s="163">
        <v>300000.0</v>
      </c>
      <c r="M10" s="17">
        <v>0.0</v>
      </c>
      <c r="N10" s="163">
        <v>0.0</v>
      </c>
      <c r="O10" s="17"/>
      <c r="P10" s="17">
        <v>5.0</v>
      </c>
      <c r="Q10" s="17">
        <v>60.0</v>
      </c>
      <c r="R10" s="17">
        <v>6.0</v>
      </c>
      <c r="S10" s="171">
        <f t="shared" si="1"/>
        <v>12</v>
      </c>
      <c r="T10" s="171">
        <f t="shared" ref="T10:T19" si="19">J10*R10</f>
        <v>30</v>
      </c>
      <c r="U10" s="171">
        <f t="shared" ref="U10:U19" si="20">J10*R10</f>
        <v>30</v>
      </c>
      <c r="V10" s="171">
        <f t="shared" ref="V10:V19" si="21">5*J10</f>
        <v>25</v>
      </c>
      <c r="W10" s="17">
        <v>60.0</v>
      </c>
      <c r="X10" s="17">
        <v>5.0</v>
      </c>
      <c r="Y10" s="171">
        <f t="shared" ref="Y10:Y11" si="22">SUM(Q10:X10)</f>
        <v>228</v>
      </c>
      <c r="AA10" s="17">
        <v>2.0</v>
      </c>
      <c r="AB10" s="122">
        <v>5000.0</v>
      </c>
      <c r="AC10" s="123">
        <f>AA10*AB10</f>
        <v>10000</v>
      </c>
      <c r="AD10" s="17">
        <v>2.0</v>
      </c>
      <c r="AE10" s="122">
        <v>50000.0</v>
      </c>
      <c r="AF10" s="123">
        <f>AD10*AE10</f>
        <v>100000</v>
      </c>
      <c r="AG10" s="17">
        <v>0.0</v>
      </c>
      <c r="AH10" s="122">
        <v>0.0</v>
      </c>
      <c r="AI10" s="122">
        <f t="shared" si="6"/>
        <v>0</v>
      </c>
      <c r="AJ10" s="17" t="s">
        <v>1052</v>
      </c>
      <c r="AK10" s="17">
        <v>0.0</v>
      </c>
      <c r="AL10" s="122">
        <v>0.0</v>
      </c>
      <c r="AM10" s="122">
        <v>0.0</v>
      </c>
      <c r="AN10" s="17">
        <v>0.0</v>
      </c>
      <c r="AO10" s="17">
        <v>0.0</v>
      </c>
      <c r="AP10" s="17">
        <v>0.0</v>
      </c>
      <c r="AQ10" s="17">
        <v>137.75</v>
      </c>
      <c r="AR10" s="122">
        <v>1000.0</v>
      </c>
      <c r="AS10" s="123">
        <f t="shared" si="17"/>
        <v>137750</v>
      </c>
      <c r="AT10" s="17">
        <v>301.5</v>
      </c>
      <c r="AU10" s="122">
        <v>875.0</v>
      </c>
      <c r="AV10" s="123">
        <f t="shared" si="18"/>
        <v>263812.5</v>
      </c>
      <c r="AW10" s="17">
        <v>0.0</v>
      </c>
      <c r="AX10" s="17">
        <v>0.0</v>
      </c>
      <c r="AY10" s="17">
        <v>0.0</v>
      </c>
      <c r="AZ10" s="123">
        <f t="shared" ref="AZ10:AZ11" si="23">AC10+AF10+AS10+AV10</f>
        <v>511562.5</v>
      </c>
      <c r="BA10" s="17" t="s">
        <v>453</v>
      </c>
      <c r="BB10" s="17" t="s">
        <v>1053</v>
      </c>
      <c r="BC10" s="133" t="s">
        <v>1054</v>
      </c>
      <c r="BD10" s="134" t="str">
        <f>HYPERLINK("https://drive.google.com/file/d/1JT4ZR74lbj7d2SRzQuUQL6gikqkIO53V/view?usp=drivesdk","Rekap HPLC Rennanti Lunnadiyah Aprilia_866")</f>
        <v>Rekap HPLC Rennanti Lunnadiyah Aprilia_866</v>
      </c>
      <c r="BE10" s="17" t="s">
        <v>1055</v>
      </c>
    </row>
    <row r="11">
      <c r="A11" s="192">
        <v>45638.0</v>
      </c>
      <c r="B11" s="192">
        <v>45642.0</v>
      </c>
      <c r="C11" s="168">
        <v>933.0</v>
      </c>
      <c r="D11" s="136" t="s">
        <v>1033</v>
      </c>
      <c r="E11" s="136" t="s">
        <v>1034</v>
      </c>
      <c r="F11" s="136" t="s">
        <v>898</v>
      </c>
      <c r="G11" s="17" t="s">
        <v>621</v>
      </c>
      <c r="H11" s="17" t="s">
        <v>1004</v>
      </c>
      <c r="I11" s="17" t="s">
        <v>716</v>
      </c>
      <c r="J11" s="17">
        <v>8.0</v>
      </c>
      <c r="K11" s="17">
        <v>1.0</v>
      </c>
      <c r="L11" s="163">
        <v>150000.0</v>
      </c>
      <c r="M11" s="17">
        <v>2.0</v>
      </c>
      <c r="N11" s="163">
        <f>M11*50000</f>
        <v>100000</v>
      </c>
      <c r="O11" s="17"/>
      <c r="P11" s="17">
        <v>5.0</v>
      </c>
      <c r="Q11" s="17">
        <v>60.0</v>
      </c>
      <c r="R11" s="17">
        <v>5.0</v>
      </c>
      <c r="S11" s="171">
        <f t="shared" si="1"/>
        <v>10</v>
      </c>
      <c r="T11" s="171">
        <f t="shared" si="19"/>
        <v>40</v>
      </c>
      <c r="U11" s="171">
        <f t="shared" si="20"/>
        <v>40</v>
      </c>
      <c r="V11" s="171">
        <f t="shared" si="21"/>
        <v>40</v>
      </c>
      <c r="W11" s="17">
        <v>60.0</v>
      </c>
      <c r="X11" s="17">
        <v>5.0</v>
      </c>
      <c r="Y11" s="171">
        <f t="shared" si="22"/>
        <v>260</v>
      </c>
      <c r="AA11" s="17">
        <v>0.0</v>
      </c>
      <c r="AB11" s="122">
        <v>0.0</v>
      </c>
      <c r="AC11" s="122">
        <v>0.0</v>
      </c>
      <c r="AD11" s="17">
        <v>0.0</v>
      </c>
      <c r="AE11" s="122">
        <v>0.0</v>
      </c>
      <c r="AF11" s="122">
        <v>0.0</v>
      </c>
      <c r="AG11" s="17">
        <v>0.0</v>
      </c>
      <c r="AH11" s="122">
        <v>0.0</v>
      </c>
      <c r="AI11" s="122">
        <f t="shared" si="6"/>
        <v>0</v>
      </c>
      <c r="AJ11" s="17">
        <v>0.0</v>
      </c>
      <c r="AK11" s="17">
        <v>0.0</v>
      </c>
      <c r="AL11" s="122">
        <v>0.0</v>
      </c>
      <c r="AM11" s="122">
        <v>0.0</v>
      </c>
      <c r="AN11" s="17">
        <v>0.0</v>
      </c>
      <c r="AO11" s="17">
        <v>0.0</v>
      </c>
      <c r="AP11" s="17">
        <v>0.0</v>
      </c>
      <c r="AQ11" s="17">
        <v>25.0</v>
      </c>
      <c r="AR11" s="122">
        <v>1000.0</v>
      </c>
      <c r="AS11" s="123">
        <f t="shared" si="17"/>
        <v>25000</v>
      </c>
      <c r="AT11" s="17">
        <v>250.0</v>
      </c>
      <c r="AU11" s="122">
        <v>875.0</v>
      </c>
      <c r="AV11" s="123">
        <f t="shared" si="18"/>
        <v>218750</v>
      </c>
      <c r="AW11" s="17">
        <v>0.0</v>
      </c>
      <c r="AX11" s="17">
        <v>0.0</v>
      </c>
      <c r="AY11" s="17">
        <v>0.0</v>
      </c>
      <c r="AZ11" s="123">
        <f t="shared" si="23"/>
        <v>243750</v>
      </c>
      <c r="BA11" s="17" t="s">
        <v>453</v>
      </c>
      <c r="BB11" s="17" t="s">
        <v>1056</v>
      </c>
      <c r="BC11" s="133" t="s">
        <v>1057</v>
      </c>
      <c r="BD11" s="134" t="str">
        <f>HYPERLINK("https://drive.google.com/file/d/1sdyA4fRnN2tmPDuJd-lPpugMqTnvBgp-/view?usp=drivesdk","Rekap HPLC Lia Umi Khasanah_933")</f>
        <v>Rekap HPLC Lia Umi Khasanah_933</v>
      </c>
      <c r="BE11" s="17" t="s">
        <v>1058</v>
      </c>
    </row>
    <row r="12">
      <c r="A12" s="192">
        <v>45631.0</v>
      </c>
      <c r="B12" s="192">
        <v>45691.0</v>
      </c>
      <c r="C12" s="168">
        <v>921.0</v>
      </c>
      <c r="D12" s="17" t="s">
        <v>1059</v>
      </c>
      <c r="E12" s="17" t="s">
        <v>1060</v>
      </c>
      <c r="F12" s="17" t="s">
        <v>1061</v>
      </c>
      <c r="G12" s="17" t="s">
        <v>541</v>
      </c>
      <c r="H12" s="17" t="s">
        <v>1004</v>
      </c>
      <c r="I12" s="17" t="s">
        <v>1051</v>
      </c>
      <c r="J12" s="17">
        <v>34.0</v>
      </c>
      <c r="K12" s="169" t="s">
        <v>155</v>
      </c>
      <c r="L12" s="193" t="s">
        <v>155</v>
      </c>
      <c r="M12" s="169" t="s">
        <v>155</v>
      </c>
      <c r="N12" s="163">
        <f>100000</f>
        <v>100000</v>
      </c>
      <c r="O12" s="141">
        <f t="shared" ref="O12:O19" si="24">J12*N12</f>
        <v>3400000</v>
      </c>
      <c r="P12" s="17">
        <v>5.0</v>
      </c>
      <c r="Q12" s="17">
        <v>60.0</v>
      </c>
      <c r="R12" s="17">
        <v>11.0</v>
      </c>
      <c r="S12" s="171">
        <f t="shared" si="1"/>
        <v>22</v>
      </c>
      <c r="T12" s="171">
        <f t="shared" si="19"/>
        <v>374</v>
      </c>
      <c r="U12" s="171">
        <f t="shared" si="20"/>
        <v>374</v>
      </c>
      <c r="V12" s="17">
        <f t="shared" si="21"/>
        <v>170</v>
      </c>
      <c r="W12" s="17">
        <v>60.0</v>
      </c>
      <c r="X12" s="17">
        <v>5.0</v>
      </c>
      <c r="Y12" s="171">
        <f t="shared" ref="Y12:Y19" si="25">SUM(P12:X12)</f>
        <v>1081</v>
      </c>
      <c r="AA12" s="17">
        <v>4.0</v>
      </c>
      <c r="AB12" s="122">
        <v>5000.0</v>
      </c>
      <c r="AC12" s="123">
        <f t="shared" ref="AC12:AC18" si="26">AA12*AB12</f>
        <v>20000</v>
      </c>
      <c r="AD12" s="17">
        <v>4.0</v>
      </c>
      <c r="AE12" s="122">
        <v>50000.0</v>
      </c>
      <c r="AF12" s="123">
        <f t="shared" ref="AF12:AF18" si="27">AD12*AE12</f>
        <v>200000</v>
      </c>
      <c r="AG12" s="17">
        <v>0.0</v>
      </c>
      <c r="AH12" s="122">
        <v>0.0</v>
      </c>
      <c r="AI12" s="122">
        <f t="shared" si="6"/>
        <v>0</v>
      </c>
      <c r="AJ12" s="17" t="s">
        <v>1040</v>
      </c>
      <c r="AK12" s="17">
        <v>0.0</v>
      </c>
      <c r="AL12" s="122">
        <v>0.0</v>
      </c>
      <c r="AM12" s="122">
        <v>0.0</v>
      </c>
      <c r="AN12" s="17">
        <v>372.0</v>
      </c>
      <c r="AO12" s="141">
        <v>1500.0</v>
      </c>
      <c r="AP12" s="140">
        <f t="shared" ref="AP12:AP18" si="28">AN12*AO12</f>
        <v>558000</v>
      </c>
      <c r="AQ12" s="17">
        <v>380.0</v>
      </c>
      <c r="AR12" s="122">
        <v>1000.0</v>
      </c>
      <c r="AS12" s="123">
        <f t="shared" si="17"/>
        <v>380000</v>
      </c>
      <c r="AT12" s="17">
        <v>0.0</v>
      </c>
      <c r="AU12" s="122">
        <v>0.0</v>
      </c>
      <c r="AV12" s="123">
        <f t="shared" si="18"/>
        <v>0</v>
      </c>
      <c r="AW12" s="17">
        <v>0.0</v>
      </c>
      <c r="AX12" s="17">
        <v>0.0</v>
      </c>
      <c r="AY12" s="17">
        <v>0.0</v>
      </c>
      <c r="AZ12" s="123">
        <f t="shared" ref="AZ12:AZ18" si="29">AC12+AF12+AP12+AS12+AV12</f>
        <v>1158000</v>
      </c>
      <c r="BA12" s="17" t="s">
        <v>453</v>
      </c>
      <c r="BB12" s="17" t="s">
        <v>1062</v>
      </c>
      <c r="BC12" s="133" t="s">
        <v>1063</v>
      </c>
      <c r="BD12" s="134" t="str">
        <f>HYPERLINK("https://drive.google.com/file/d/1LOGlyaNkDgANPFb540B-NeaNsOiwoJmi/view?usp=drivesdk","Rekap HPLC Fernanda Aulia Grahayanti_921")</f>
        <v>Rekap HPLC Fernanda Aulia Grahayanti_921</v>
      </c>
      <c r="BE12" s="17" t="s">
        <v>1064</v>
      </c>
    </row>
    <row r="13">
      <c r="A13" s="192">
        <v>45859.0</v>
      </c>
      <c r="B13" s="192">
        <v>45862.0</v>
      </c>
      <c r="C13" s="168">
        <v>486.0</v>
      </c>
      <c r="D13" s="194" t="s">
        <v>1065</v>
      </c>
      <c r="E13" s="17" t="s">
        <v>155</v>
      </c>
      <c r="F13" s="17" t="s">
        <v>155</v>
      </c>
      <c r="G13" s="17" t="s">
        <v>541</v>
      </c>
      <c r="H13" s="17" t="s">
        <v>1004</v>
      </c>
      <c r="I13" s="17" t="s">
        <v>1051</v>
      </c>
      <c r="J13" s="17">
        <v>3.0</v>
      </c>
      <c r="K13" s="17">
        <v>0.0</v>
      </c>
      <c r="L13" s="163">
        <v>0.0</v>
      </c>
      <c r="M13" s="17">
        <v>0.0</v>
      </c>
      <c r="N13" s="163">
        <v>100000.0</v>
      </c>
      <c r="O13" s="141">
        <f t="shared" si="24"/>
        <v>300000</v>
      </c>
      <c r="P13" s="17">
        <v>5.0</v>
      </c>
      <c r="Q13" s="17">
        <v>60.0</v>
      </c>
      <c r="R13" s="17">
        <v>5.0</v>
      </c>
      <c r="S13" s="171">
        <f t="shared" si="1"/>
        <v>10</v>
      </c>
      <c r="T13" s="171">
        <f t="shared" si="19"/>
        <v>15</v>
      </c>
      <c r="U13" s="171">
        <f t="shared" si="20"/>
        <v>15</v>
      </c>
      <c r="V13" s="17">
        <f t="shared" si="21"/>
        <v>15</v>
      </c>
      <c r="W13" s="17">
        <v>60.0</v>
      </c>
      <c r="X13" s="17">
        <v>5.0</v>
      </c>
      <c r="Y13" s="171">
        <f t="shared" si="25"/>
        <v>190</v>
      </c>
      <c r="AA13" s="17">
        <v>0.0</v>
      </c>
      <c r="AB13" s="122">
        <v>0.0</v>
      </c>
      <c r="AC13" s="123">
        <f t="shared" si="26"/>
        <v>0</v>
      </c>
      <c r="AD13" s="17">
        <v>0.0</v>
      </c>
      <c r="AE13" s="122">
        <v>0.0</v>
      </c>
      <c r="AF13" s="123">
        <f t="shared" si="27"/>
        <v>0</v>
      </c>
      <c r="AG13" s="17">
        <v>0.0</v>
      </c>
      <c r="AH13" s="122">
        <v>0.0</v>
      </c>
      <c r="AI13" s="122">
        <f t="shared" si="6"/>
        <v>0</v>
      </c>
      <c r="AJ13" s="17" t="s">
        <v>1066</v>
      </c>
      <c r="AK13" s="17">
        <v>0.0</v>
      </c>
      <c r="AL13" s="122">
        <v>0.0</v>
      </c>
      <c r="AM13" s="122">
        <v>0.0</v>
      </c>
      <c r="AN13" s="17">
        <v>0.0</v>
      </c>
      <c r="AO13" s="17">
        <v>0.0</v>
      </c>
      <c r="AP13" s="140">
        <f t="shared" si="28"/>
        <v>0</v>
      </c>
      <c r="AQ13" s="17">
        <v>0.0</v>
      </c>
      <c r="AR13" s="122">
        <v>0.0</v>
      </c>
      <c r="AS13" s="123">
        <f t="shared" si="17"/>
        <v>0</v>
      </c>
      <c r="AT13" s="17">
        <v>50.0</v>
      </c>
      <c r="AU13" s="122">
        <v>875.0</v>
      </c>
      <c r="AV13" s="123">
        <f t="shared" si="18"/>
        <v>43750</v>
      </c>
      <c r="AW13" s="17">
        <v>0.0</v>
      </c>
      <c r="AX13" s="17">
        <v>0.0</v>
      </c>
      <c r="AY13" s="17">
        <v>0.0</v>
      </c>
      <c r="AZ13" s="123">
        <f t="shared" si="29"/>
        <v>43750</v>
      </c>
      <c r="BA13" s="17" t="s">
        <v>453</v>
      </c>
      <c r="BB13" s="17" t="s">
        <v>1067</v>
      </c>
      <c r="BC13" s="133" t="s">
        <v>1068</v>
      </c>
      <c r="BD13" s="134" t="str">
        <f>HYPERLINK("https://drive.google.com/file/d/13oNGplBHbPYSaGOeZF-PUl59zWHL45mL/view?usp=drivesdk","Rekap HPLC Dwi Setiawan_486")</f>
        <v>Rekap HPLC Dwi Setiawan_486</v>
      </c>
      <c r="BE13" s="17" t="s">
        <v>1069</v>
      </c>
    </row>
    <row r="14">
      <c r="A14" s="192">
        <v>45805.0</v>
      </c>
      <c r="B14" s="192">
        <v>45862.0</v>
      </c>
      <c r="C14" s="168">
        <v>341.0</v>
      </c>
      <c r="D14" s="194" t="s">
        <v>1048</v>
      </c>
      <c r="E14" s="17" t="s">
        <v>1049</v>
      </c>
      <c r="F14" s="17" t="s">
        <v>1035</v>
      </c>
      <c r="G14" s="17" t="s">
        <v>541</v>
      </c>
      <c r="H14" s="17" t="s">
        <v>1004</v>
      </c>
      <c r="I14" s="17" t="s">
        <v>1051</v>
      </c>
      <c r="J14" s="17">
        <v>15.0</v>
      </c>
      <c r="K14" s="17">
        <v>0.0</v>
      </c>
      <c r="L14" s="163">
        <v>0.0</v>
      </c>
      <c r="M14" s="17">
        <v>0.0</v>
      </c>
      <c r="N14" s="163">
        <v>60000.0</v>
      </c>
      <c r="O14" s="141">
        <f t="shared" si="24"/>
        <v>900000</v>
      </c>
      <c r="P14" s="17">
        <v>5.0</v>
      </c>
      <c r="Q14" s="17">
        <v>60.0</v>
      </c>
      <c r="R14" s="17">
        <v>5.0</v>
      </c>
      <c r="S14" s="171">
        <f t="shared" si="1"/>
        <v>10</v>
      </c>
      <c r="T14" s="171">
        <f t="shared" si="19"/>
        <v>75</v>
      </c>
      <c r="U14" s="171">
        <f t="shared" si="20"/>
        <v>75</v>
      </c>
      <c r="V14" s="17">
        <f t="shared" si="21"/>
        <v>75</v>
      </c>
      <c r="W14" s="17">
        <v>60.0</v>
      </c>
      <c r="X14" s="17">
        <v>5.0</v>
      </c>
      <c r="Y14" s="171">
        <f t="shared" si="25"/>
        <v>370</v>
      </c>
      <c r="AA14" s="17">
        <v>15.0</v>
      </c>
      <c r="AB14" s="122">
        <v>3000.0</v>
      </c>
      <c r="AC14" s="123">
        <f t="shared" si="26"/>
        <v>45000</v>
      </c>
      <c r="AD14" s="17">
        <v>15.0</v>
      </c>
      <c r="AE14" s="122">
        <v>30000.0</v>
      </c>
      <c r="AF14" s="123">
        <f t="shared" si="27"/>
        <v>450000</v>
      </c>
      <c r="AG14" s="17">
        <v>0.0</v>
      </c>
      <c r="AH14" s="122">
        <v>0.0</v>
      </c>
      <c r="AI14" s="122">
        <f t="shared" si="6"/>
        <v>0</v>
      </c>
      <c r="AJ14" s="17" t="s">
        <v>1070</v>
      </c>
      <c r="AK14" s="17">
        <v>0.0</v>
      </c>
      <c r="AL14" s="122">
        <v>0.0</v>
      </c>
      <c r="AM14" s="122">
        <v>0.0</v>
      </c>
      <c r="AN14" s="17">
        <v>0.0</v>
      </c>
      <c r="AO14" s="17">
        <v>0.0</v>
      </c>
      <c r="AP14" s="140">
        <f t="shared" si="28"/>
        <v>0</v>
      </c>
      <c r="AQ14" s="17">
        <v>0.0</v>
      </c>
      <c r="AR14" s="122">
        <v>0.0</v>
      </c>
      <c r="AS14" s="123">
        <f t="shared" si="17"/>
        <v>0</v>
      </c>
      <c r="AT14" s="17">
        <v>0.0</v>
      </c>
      <c r="AU14" s="122">
        <v>0.0</v>
      </c>
      <c r="AV14" s="123">
        <f t="shared" si="18"/>
        <v>0</v>
      </c>
      <c r="AW14" s="17">
        <v>0.0</v>
      </c>
      <c r="AX14" s="17">
        <v>0.0</v>
      </c>
      <c r="AY14" s="17">
        <v>0.0</v>
      </c>
      <c r="AZ14" s="123">
        <f t="shared" si="29"/>
        <v>495000</v>
      </c>
      <c r="BA14" s="17" t="s">
        <v>453</v>
      </c>
      <c r="BB14" s="17" t="s">
        <v>1071</v>
      </c>
      <c r="BC14" s="133" t="s">
        <v>1072</v>
      </c>
      <c r="BD14" s="134" t="str">
        <f>HYPERLINK("https://drive.google.com/file/d/1KTo_2Yspl8puhSl2ej82RXfQIaFOpJPB/view?usp=drivesdk","Rekap HPLC Rennanti Lunnadiyah Aprilia_341")</f>
        <v>Rekap HPLC Rennanti Lunnadiyah Aprilia_341</v>
      </c>
      <c r="BE14" s="17" t="s">
        <v>1073</v>
      </c>
    </row>
    <row r="15">
      <c r="A15" s="192">
        <v>45839.0</v>
      </c>
      <c r="B15" s="192">
        <v>45866.0</v>
      </c>
      <c r="C15" s="168">
        <v>278.0</v>
      </c>
      <c r="D15" s="194" t="s">
        <v>1074</v>
      </c>
      <c r="E15" s="17" t="s">
        <v>1075</v>
      </c>
      <c r="F15" s="17" t="s">
        <v>1076</v>
      </c>
      <c r="G15" s="17" t="s">
        <v>621</v>
      </c>
      <c r="H15" s="17" t="s">
        <v>1004</v>
      </c>
      <c r="I15" s="17" t="s">
        <v>1051</v>
      </c>
      <c r="J15" s="17">
        <v>16.0</v>
      </c>
      <c r="K15" s="17">
        <v>0.0</v>
      </c>
      <c r="L15" s="163">
        <v>0.0</v>
      </c>
      <c r="M15" s="17">
        <v>0.0</v>
      </c>
      <c r="N15" s="163">
        <v>60000.0</v>
      </c>
      <c r="O15" s="141">
        <f t="shared" si="24"/>
        <v>960000</v>
      </c>
      <c r="P15" s="17">
        <v>5.0</v>
      </c>
      <c r="Q15" s="17">
        <v>60.0</v>
      </c>
      <c r="R15" s="17">
        <v>20.0</v>
      </c>
      <c r="S15" s="171">
        <f t="shared" si="1"/>
        <v>40</v>
      </c>
      <c r="T15" s="171">
        <f t="shared" si="19"/>
        <v>320</v>
      </c>
      <c r="U15" s="171">
        <f t="shared" si="20"/>
        <v>320</v>
      </c>
      <c r="V15" s="17">
        <f t="shared" si="21"/>
        <v>80</v>
      </c>
      <c r="W15" s="17">
        <v>60.0</v>
      </c>
      <c r="X15" s="17">
        <v>5.0</v>
      </c>
      <c r="Y15" s="171">
        <f t="shared" si="25"/>
        <v>910</v>
      </c>
      <c r="AA15" s="17">
        <v>0.0</v>
      </c>
      <c r="AB15" s="122">
        <v>0.0</v>
      </c>
      <c r="AC15" s="123">
        <f t="shared" si="26"/>
        <v>0</v>
      </c>
      <c r="AD15" s="17">
        <v>0.0</v>
      </c>
      <c r="AE15" s="122">
        <v>0.0</v>
      </c>
      <c r="AF15" s="123">
        <f t="shared" si="27"/>
        <v>0</v>
      </c>
      <c r="AG15" s="17">
        <v>0.0</v>
      </c>
      <c r="AH15" s="122">
        <v>0.0</v>
      </c>
      <c r="AI15" s="122">
        <f t="shared" si="6"/>
        <v>0</v>
      </c>
      <c r="AJ15" s="17">
        <v>0.0</v>
      </c>
      <c r="AK15" s="17">
        <v>0.0</v>
      </c>
      <c r="AL15" s="122">
        <v>0.0</v>
      </c>
      <c r="AM15" s="122">
        <v>0.0</v>
      </c>
      <c r="AN15" s="17">
        <v>0.0</v>
      </c>
      <c r="AO15" s="17">
        <v>0.0</v>
      </c>
      <c r="AP15" s="140">
        <f t="shared" si="28"/>
        <v>0</v>
      </c>
      <c r="AQ15" s="17">
        <v>0.0</v>
      </c>
      <c r="AR15" s="122">
        <v>0.0</v>
      </c>
      <c r="AS15" s="123">
        <f t="shared" si="17"/>
        <v>0</v>
      </c>
      <c r="AT15" s="17">
        <v>0.0</v>
      </c>
      <c r="AU15" s="122">
        <v>0.0</v>
      </c>
      <c r="AV15" s="123">
        <f t="shared" si="18"/>
        <v>0</v>
      </c>
      <c r="AW15" s="17">
        <v>0.0</v>
      </c>
      <c r="AX15" s="17">
        <v>0.0</v>
      </c>
      <c r="AY15" s="17">
        <v>0.0</v>
      </c>
      <c r="AZ15" s="123">
        <f t="shared" si="29"/>
        <v>0</v>
      </c>
      <c r="BA15" s="17" t="s">
        <v>453</v>
      </c>
      <c r="BB15" s="17" t="s">
        <v>1077</v>
      </c>
      <c r="BC15" s="133" t="s">
        <v>1078</v>
      </c>
      <c r="BD15" s="134" t="str">
        <f>HYPERLINK("https://drive.google.com/file/d/1kqT8dinvyKXJHun0NUYQAsNTvrdcjasq/view?usp=drivesdk","Rekap HPLC Shima Priyanka Anti Tirani_278")</f>
        <v>Rekap HPLC Shima Priyanka Anti Tirani_278</v>
      </c>
      <c r="BE15" s="17" t="s">
        <v>1079</v>
      </c>
    </row>
    <row r="16">
      <c r="A16" s="192">
        <v>45909.0</v>
      </c>
      <c r="B16" s="192">
        <v>45915.0</v>
      </c>
      <c r="C16" s="168">
        <v>583.0</v>
      </c>
      <c r="D16" s="195" t="s">
        <v>1080</v>
      </c>
      <c r="E16" s="17" t="s">
        <v>155</v>
      </c>
      <c r="F16" s="17" t="s">
        <v>1081</v>
      </c>
      <c r="G16" s="17" t="s">
        <v>541</v>
      </c>
      <c r="H16" s="17" t="s">
        <v>1004</v>
      </c>
      <c r="I16" s="17" t="s">
        <v>1051</v>
      </c>
      <c r="J16" s="17">
        <v>6.0</v>
      </c>
      <c r="K16" s="17">
        <v>0.0</v>
      </c>
      <c r="L16" s="163">
        <v>0.0</v>
      </c>
      <c r="M16" s="17">
        <v>0.0</v>
      </c>
      <c r="N16" s="163">
        <v>100000.0</v>
      </c>
      <c r="O16" s="141">
        <f t="shared" si="24"/>
        <v>600000</v>
      </c>
      <c r="P16" s="17">
        <v>5.0</v>
      </c>
      <c r="Q16" s="17">
        <v>60.0</v>
      </c>
      <c r="R16" s="17">
        <v>5.0</v>
      </c>
      <c r="S16" s="171">
        <f t="shared" si="1"/>
        <v>10</v>
      </c>
      <c r="T16" s="171">
        <f t="shared" si="19"/>
        <v>30</v>
      </c>
      <c r="U16" s="171">
        <f t="shared" si="20"/>
        <v>30</v>
      </c>
      <c r="V16" s="17">
        <f t="shared" si="21"/>
        <v>30</v>
      </c>
      <c r="W16" s="17">
        <v>60.0</v>
      </c>
      <c r="X16" s="17">
        <v>5.0</v>
      </c>
      <c r="Y16" s="171">
        <f t="shared" si="25"/>
        <v>235</v>
      </c>
      <c r="AA16" s="17">
        <v>0.0</v>
      </c>
      <c r="AB16" s="122">
        <v>0.0</v>
      </c>
      <c r="AC16" s="123">
        <f t="shared" si="26"/>
        <v>0</v>
      </c>
      <c r="AD16" s="17">
        <v>0.0</v>
      </c>
      <c r="AE16" s="122">
        <v>0.0</v>
      </c>
      <c r="AF16" s="123">
        <f t="shared" si="27"/>
        <v>0</v>
      </c>
      <c r="AG16" s="17">
        <v>0.0</v>
      </c>
      <c r="AH16" s="122">
        <v>0.0</v>
      </c>
      <c r="AI16" s="122">
        <f t="shared" si="6"/>
        <v>0</v>
      </c>
      <c r="AJ16" s="17" t="s">
        <v>1066</v>
      </c>
      <c r="AK16" s="17">
        <v>0.0</v>
      </c>
      <c r="AL16" s="122">
        <v>0.0</v>
      </c>
      <c r="AM16" s="122">
        <v>0.0</v>
      </c>
      <c r="AN16" s="17">
        <v>0.0</v>
      </c>
      <c r="AO16" s="17">
        <v>0.0</v>
      </c>
      <c r="AP16" s="140">
        <f t="shared" si="28"/>
        <v>0</v>
      </c>
      <c r="AQ16" s="17">
        <v>0.0</v>
      </c>
      <c r="AR16" s="122">
        <v>0.0</v>
      </c>
      <c r="AS16" s="123">
        <f t="shared" si="17"/>
        <v>0</v>
      </c>
      <c r="AT16" s="17">
        <v>70.0</v>
      </c>
      <c r="AU16" s="122">
        <v>875.0</v>
      </c>
      <c r="AV16" s="123">
        <f t="shared" si="18"/>
        <v>61250</v>
      </c>
      <c r="AW16" s="17">
        <v>0.0</v>
      </c>
      <c r="AX16" s="17">
        <v>0.0</v>
      </c>
      <c r="AY16" s="17">
        <v>0.0</v>
      </c>
      <c r="AZ16" s="123">
        <f t="shared" si="29"/>
        <v>61250</v>
      </c>
      <c r="BA16" s="17" t="s">
        <v>453</v>
      </c>
      <c r="BB16" s="17" t="s">
        <v>1082</v>
      </c>
      <c r="BC16" s="133" t="s">
        <v>1083</v>
      </c>
      <c r="BD16" s="134" t="str">
        <f>HYPERLINK("https://drive.google.com/file/d/1wcONXcA_09HdxADGB4SOs7ju5EuFb144/view?usp=drivesdk","Rekap HPLC Irfan Hanifah Saana_583")</f>
        <v>Rekap HPLC Irfan Hanifah Saana_583</v>
      </c>
      <c r="BE16" s="17" t="s">
        <v>1084</v>
      </c>
    </row>
    <row r="17">
      <c r="A17" s="149">
        <v>45863.0</v>
      </c>
      <c r="B17" s="149">
        <v>45947.0</v>
      </c>
      <c r="C17" s="17">
        <v>503.0</v>
      </c>
      <c r="D17" s="196" t="s">
        <v>1085</v>
      </c>
      <c r="E17" s="136" t="s">
        <v>1086</v>
      </c>
      <c r="F17" s="136" t="s">
        <v>1087</v>
      </c>
      <c r="G17" s="17" t="s">
        <v>541</v>
      </c>
      <c r="H17" s="17" t="s">
        <v>1004</v>
      </c>
      <c r="I17" s="17" t="s">
        <v>1051</v>
      </c>
      <c r="J17" s="17">
        <v>18.0</v>
      </c>
      <c r="K17" s="17">
        <v>0.0</v>
      </c>
      <c r="L17" s="163">
        <v>0.0</v>
      </c>
      <c r="M17" s="17">
        <v>0.0</v>
      </c>
      <c r="N17" s="163">
        <v>60000.0</v>
      </c>
      <c r="O17" s="141">
        <f t="shared" si="24"/>
        <v>1080000</v>
      </c>
      <c r="P17" s="17">
        <v>5.0</v>
      </c>
      <c r="Q17" s="17">
        <v>60.0</v>
      </c>
      <c r="R17" s="17">
        <v>17.0</v>
      </c>
      <c r="S17" s="171">
        <f t="shared" si="1"/>
        <v>34</v>
      </c>
      <c r="T17" s="171">
        <f t="shared" si="19"/>
        <v>306</v>
      </c>
      <c r="U17" s="171">
        <f t="shared" si="20"/>
        <v>306</v>
      </c>
      <c r="V17" s="17">
        <f t="shared" si="21"/>
        <v>90</v>
      </c>
      <c r="W17" s="17">
        <v>60.0</v>
      </c>
      <c r="X17" s="17">
        <v>5.0</v>
      </c>
      <c r="Y17" s="171">
        <f t="shared" si="25"/>
        <v>883</v>
      </c>
      <c r="AA17" s="17">
        <v>0.0</v>
      </c>
      <c r="AB17" s="122">
        <v>0.0</v>
      </c>
      <c r="AC17" s="123">
        <f t="shared" si="26"/>
        <v>0</v>
      </c>
      <c r="AD17" s="17">
        <v>0.0</v>
      </c>
      <c r="AE17" s="122">
        <v>0.0</v>
      </c>
      <c r="AF17" s="123">
        <f t="shared" si="27"/>
        <v>0</v>
      </c>
      <c r="AG17" s="17">
        <v>0.0</v>
      </c>
      <c r="AH17" s="122">
        <v>0.0</v>
      </c>
      <c r="AI17" s="122">
        <f t="shared" si="6"/>
        <v>0</v>
      </c>
      <c r="AJ17" s="17" t="s">
        <v>1088</v>
      </c>
      <c r="AK17" s="17">
        <v>0.0</v>
      </c>
      <c r="AL17" s="122">
        <v>0.0</v>
      </c>
      <c r="AM17" s="122">
        <v>0.0</v>
      </c>
      <c r="AN17" s="17">
        <v>200.0</v>
      </c>
      <c r="AO17" s="17">
        <v>1500.0</v>
      </c>
      <c r="AP17" s="140">
        <f t="shared" si="28"/>
        <v>300000</v>
      </c>
      <c r="AQ17" s="17">
        <v>400.0</v>
      </c>
      <c r="AR17" s="122">
        <v>1000.0</v>
      </c>
      <c r="AS17" s="123">
        <f t="shared" si="17"/>
        <v>400000</v>
      </c>
      <c r="AT17" s="17">
        <v>0.0</v>
      </c>
      <c r="AU17" s="122">
        <v>0.0</v>
      </c>
      <c r="AV17" s="123">
        <f t="shared" si="18"/>
        <v>0</v>
      </c>
      <c r="AW17" s="17">
        <v>0.0</v>
      </c>
      <c r="AX17" s="17">
        <v>0.0</v>
      </c>
      <c r="AY17" s="17">
        <v>0.0</v>
      </c>
      <c r="AZ17" s="123">
        <f t="shared" si="29"/>
        <v>700000</v>
      </c>
      <c r="BA17" s="17" t="s">
        <v>453</v>
      </c>
      <c r="BB17" s="17" t="s">
        <v>1089</v>
      </c>
      <c r="BC17" s="133" t="s">
        <v>1090</v>
      </c>
      <c r="BD17" s="134" t="str">
        <f>HYPERLINK("https://drive.google.com/file/d/1koEN29xHJkiirGeo2CEd6ygs1IY5Gblu/view?usp=drivesdk","Rekap HPLC Dwi Esterina Ayu Utami_503")</f>
        <v>Rekap HPLC Dwi Esterina Ayu Utami_503</v>
      </c>
      <c r="BE17" s="17" t="s">
        <v>1091</v>
      </c>
    </row>
    <row r="18">
      <c r="A18" s="149">
        <v>45957.0</v>
      </c>
      <c r="B18" s="149">
        <v>45958.0</v>
      </c>
      <c r="C18" s="17">
        <v>718.0</v>
      </c>
      <c r="D18" s="17" t="s">
        <v>1033</v>
      </c>
      <c r="E18" s="17" t="s">
        <v>1092</v>
      </c>
      <c r="F18" s="17" t="s">
        <v>1093</v>
      </c>
      <c r="G18" s="17" t="s">
        <v>541</v>
      </c>
      <c r="H18" s="17" t="s">
        <v>1004</v>
      </c>
      <c r="I18" s="17" t="s">
        <v>1051</v>
      </c>
      <c r="J18" s="17">
        <v>30.0</v>
      </c>
      <c r="K18" s="17">
        <v>0.0</v>
      </c>
      <c r="L18" s="163">
        <v>0.0</v>
      </c>
      <c r="M18" s="17">
        <v>0.0</v>
      </c>
      <c r="N18" s="163">
        <v>60000.0</v>
      </c>
      <c r="O18" s="141">
        <f t="shared" si="24"/>
        <v>1800000</v>
      </c>
      <c r="P18" s="17">
        <v>5.0</v>
      </c>
      <c r="Q18" s="17">
        <v>60.0</v>
      </c>
      <c r="R18" s="17">
        <v>17.0</v>
      </c>
      <c r="S18" s="171">
        <f t="shared" si="1"/>
        <v>34</v>
      </c>
      <c r="T18" s="171">
        <f t="shared" si="19"/>
        <v>510</v>
      </c>
      <c r="U18" s="171">
        <f t="shared" si="20"/>
        <v>510</v>
      </c>
      <c r="V18" s="17">
        <f t="shared" si="21"/>
        <v>150</v>
      </c>
      <c r="W18" s="17">
        <v>60.0</v>
      </c>
      <c r="X18" s="17">
        <v>5.0</v>
      </c>
      <c r="Y18" s="171">
        <f t="shared" si="25"/>
        <v>1351</v>
      </c>
      <c r="AA18" s="17">
        <v>0.0</v>
      </c>
      <c r="AB18" s="122">
        <v>0.0</v>
      </c>
      <c r="AC18" s="123">
        <f t="shared" si="26"/>
        <v>0</v>
      </c>
      <c r="AD18" s="17">
        <v>0.0</v>
      </c>
      <c r="AE18" s="122">
        <v>0.0</v>
      </c>
      <c r="AF18" s="123">
        <f t="shared" si="27"/>
        <v>0</v>
      </c>
      <c r="AG18" s="17">
        <v>0.0</v>
      </c>
      <c r="AH18" s="122">
        <v>0.0</v>
      </c>
      <c r="AI18" s="122">
        <f t="shared" si="6"/>
        <v>0</v>
      </c>
      <c r="AK18" s="17">
        <v>0.0</v>
      </c>
      <c r="AL18" s="122">
        <v>0.0</v>
      </c>
      <c r="AM18" s="122">
        <v>0.0</v>
      </c>
      <c r="AN18" s="17">
        <v>0.0</v>
      </c>
      <c r="AO18" s="17">
        <v>0.0</v>
      </c>
      <c r="AP18" s="140">
        <f t="shared" si="28"/>
        <v>0</v>
      </c>
      <c r="AQ18" s="17">
        <v>0.0</v>
      </c>
      <c r="AR18" s="122">
        <v>0.0</v>
      </c>
      <c r="AS18" s="123">
        <f t="shared" si="17"/>
        <v>0</v>
      </c>
      <c r="AT18" s="17">
        <v>0.0</v>
      </c>
      <c r="AU18" s="122">
        <v>0.0</v>
      </c>
      <c r="AV18" s="123">
        <f t="shared" si="18"/>
        <v>0</v>
      </c>
      <c r="AW18" s="17">
        <v>0.0</v>
      </c>
      <c r="AX18" s="17">
        <v>0.0</v>
      </c>
      <c r="AY18" s="17">
        <v>0.0</v>
      </c>
      <c r="AZ18" s="123">
        <f t="shared" si="29"/>
        <v>0</v>
      </c>
      <c r="BA18" s="17" t="s">
        <v>453</v>
      </c>
      <c r="BB18" s="17" t="s">
        <v>1094</v>
      </c>
      <c r="BC18" s="133" t="s">
        <v>1095</v>
      </c>
      <c r="BD18" s="134" t="str">
        <f>HYPERLINK("https://drive.google.com/file/d/1BHOc3INyjU0vxX_RfnmpW-o7tlHHXXye/view?usp=drivesdk","Rekap HPLC Lia Umi Khasanah_718")</f>
        <v>Rekap HPLC Lia Umi Khasanah_718</v>
      </c>
      <c r="BE18" s="17" t="s">
        <v>1096</v>
      </c>
    </row>
    <row r="19">
      <c r="A19" s="192">
        <v>45967.0</v>
      </c>
      <c r="B19" s="192">
        <v>45973.0</v>
      </c>
      <c r="C19" s="17">
        <v>745.0</v>
      </c>
      <c r="D19" s="17" t="s">
        <v>1097</v>
      </c>
      <c r="E19" s="136" t="s">
        <v>1098</v>
      </c>
      <c r="F19" s="136" t="s">
        <v>1099</v>
      </c>
      <c r="G19" s="17" t="s">
        <v>541</v>
      </c>
      <c r="H19" s="17" t="s">
        <v>1004</v>
      </c>
      <c r="I19" s="17" t="s">
        <v>1051</v>
      </c>
      <c r="J19" s="17">
        <v>2.0</v>
      </c>
      <c r="K19" s="17">
        <v>0.0</v>
      </c>
      <c r="L19" s="163">
        <v>0.0</v>
      </c>
      <c r="M19" s="17">
        <v>0.0</v>
      </c>
      <c r="N19" s="163">
        <v>100000.0</v>
      </c>
      <c r="O19" s="141">
        <f t="shared" si="24"/>
        <v>200000</v>
      </c>
      <c r="P19" s="17">
        <v>5.0</v>
      </c>
      <c r="Q19" s="17">
        <v>60.0</v>
      </c>
      <c r="R19" s="17">
        <v>17.0</v>
      </c>
      <c r="S19" s="171">
        <f t="shared" si="1"/>
        <v>34</v>
      </c>
      <c r="T19" s="171">
        <f t="shared" si="19"/>
        <v>34</v>
      </c>
      <c r="U19" s="171">
        <f t="shared" si="20"/>
        <v>34</v>
      </c>
      <c r="V19" s="17">
        <f t="shared" si="21"/>
        <v>10</v>
      </c>
      <c r="W19" s="17">
        <v>60.0</v>
      </c>
      <c r="X19" s="17">
        <v>5.0</v>
      </c>
      <c r="Y19" s="171">
        <f t="shared" si="25"/>
        <v>259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7">
        <v>0.0</v>
      </c>
      <c r="AI19" s="17">
        <v>0.0</v>
      </c>
      <c r="AJ19" s="17">
        <v>0.0</v>
      </c>
      <c r="AK19" s="17">
        <v>0.0</v>
      </c>
      <c r="AL19" s="17">
        <v>0.0</v>
      </c>
      <c r="AM19" s="17">
        <v>0.0</v>
      </c>
      <c r="AN19" s="17">
        <v>0.0</v>
      </c>
      <c r="AO19" s="17">
        <v>0.0</v>
      </c>
      <c r="AP19" s="17">
        <v>0.0</v>
      </c>
      <c r="AQ19" s="17">
        <v>0.0</v>
      </c>
      <c r="AR19" s="17">
        <v>0.0</v>
      </c>
      <c r="AS19" s="17">
        <v>0.0</v>
      </c>
      <c r="AT19" s="17">
        <v>0.0</v>
      </c>
      <c r="AU19" s="17">
        <v>0.0</v>
      </c>
      <c r="AV19" s="17">
        <v>0.0</v>
      </c>
      <c r="AW19" s="17">
        <v>0.0</v>
      </c>
      <c r="AX19" s="17">
        <v>0.0</v>
      </c>
      <c r="AY19" s="17">
        <v>0.0</v>
      </c>
      <c r="AZ19" s="17">
        <v>0.0</v>
      </c>
      <c r="BA19" s="17" t="s">
        <v>453</v>
      </c>
      <c r="BB19" s="17" t="s">
        <v>1100</v>
      </c>
      <c r="BC19" s="133" t="s">
        <v>1101</v>
      </c>
      <c r="BD19" s="134" t="str">
        <f>HYPERLINK("https://drive.google.com/file/d/1CFDtNGIFcXYJVPu0Zn_J_oSq-uBNsmlX/view?usp=drivesdk","Rekap HPLC Yuniar Diah Pramesti_745")</f>
        <v>Rekap HPLC Yuniar Diah Pramesti_745</v>
      </c>
      <c r="BE19" s="17" t="s">
        <v>1102</v>
      </c>
    </row>
    <row r="20">
      <c r="A20" s="192"/>
      <c r="B20" s="192"/>
      <c r="L20" s="163"/>
      <c r="N20" s="163"/>
      <c r="O20" s="140">
        <f>sum(O13:O19)+N12</f>
        <v>5940000</v>
      </c>
      <c r="AB20" s="123"/>
      <c r="AC20" s="123"/>
      <c r="AE20" s="123"/>
      <c r="AF20" s="123"/>
      <c r="AH20" s="123"/>
      <c r="AI20" s="123"/>
      <c r="AL20" s="123"/>
      <c r="AM20" s="123"/>
      <c r="AR20" s="123"/>
      <c r="AS20" s="123"/>
      <c r="AU20" s="123"/>
      <c r="AV20" s="123"/>
    </row>
    <row r="21">
      <c r="A21" s="192"/>
      <c r="B21" s="192"/>
      <c r="L21" s="163"/>
      <c r="AB21" s="123"/>
      <c r="AC21" s="123"/>
      <c r="AE21" s="123"/>
      <c r="AF21" s="123"/>
      <c r="AH21" s="123"/>
      <c r="AI21" s="123"/>
      <c r="AL21" s="123"/>
      <c r="AM21" s="123"/>
      <c r="AR21" s="123"/>
      <c r="AS21" s="123"/>
      <c r="AU21" s="123"/>
      <c r="AV21" s="123"/>
    </row>
    <row r="22">
      <c r="A22" s="192"/>
      <c r="B22" s="192"/>
      <c r="L22" s="163"/>
      <c r="AB22" s="123"/>
      <c r="AC22" s="123"/>
      <c r="AE22" s="123"/>
      <c r="AF22" s="123"/>
      <c r="AH22" s="123"/>
      <c r="AI22" s="123"/>
      <c r="AL22" s="123"/>
      <c r="AM22" s="123"/>
      <c r="AR22" s="123"/>
      <c r="AS22" s="123"/>
      <c r="AU22" s="123"/>
      <c r="AV22" s="123"/>
    </row>
    <row r="23">
      <c r="A23" s="192"/>
      <c r="B23" s="192"/>
      <c r="L23" s="163"/>
      <c r="AB23" s="123"/>
      <c r="AC23" s="123"/>
      <c r="AE23" s="123"/>
      <c r="AF23" s="123"/>
      <c r="AH23" s="123"/>
      <c r="AI23" s="123"/>
      <c r="AL23" s="123"/>
      <c r="AM23" s="123"/>
      <c r="AR23" s="123"/>
      <c r="AS23" s="123"/>
      <c r="AU23" s="123"/>
      <c r="AV23" s="123"/>
    </row>
    <row r="24">
      <c r="A24" s="192"/>
      <c r="B24" s="192"/>
      <c r="AB24" s="123"/>
      <c r="AC24" s="123"/>
      <c r="AE24" s="123"/>
      <c r="AF24" s="123"/>
      <c r="AH24" s="123"/>
      <c r="AI24" s="123"/>
      <c r="AL24" s="123"/>
      <c r="AM24" s="123"/>
      <c r="AR24" s="123"/>
      <c r="AS24" s="123"/>
      <c r="AU24" s="123"/>
      <c r="AV24" s="123"/>
    </row>
    <row r="25">
      <c r="A25" s="192"/>
      <c r="B25" s="192"/>
      <c r="AB25" s="123"/>
      <c r="AC25" s="123"/>
      <c r="AE25" s="123"/>
      <c r="AF25" s="123"/>
      <c r="AH25" s="123"/>
      <c r="AI25" s="123"/>
      <c r="AL25" s="123"/>
      <c r="AM25" s="123"/>
      <c r="AR25" s="123"/>
      <c r="AS25" s="123"/>
      <c r="AU25" s="123"/>
      <c r="AV25" s="123"/>
    </row>
    <row r="26">
      <c r="A26" s="192"/>
      <c r="B26" s="192"/>
      <c r="AB26" s="123"/>
      <c r="AC26" s="123"/>
      <c r="AE26" s="123"/>
      <c r="AF26" s="123"/>
      <c r="AH26" s="123"/>
      <c r="AI26" s="123"/>
      <c r="AL26" s="123"/>
      <c r="AM26" s="123"/>
      <c r="AR26" s="123"/>
      <c r="AS26" s="123"/>
      <c r="AU26" s="123"/>
      <c r="AV26" s="123"/>
    </row>
    <row r="27">
      <c r="A27" s="192"/>
      <c r="B27" s="192"/>
      <c r="AB27" s="123"/>
      <c r="AC27" s="123"/>
      <c r="AE27" s="123"/>
      <c r="AF27" s="123"/>
      <c r="AH27" s="123"/>
      <c r="AI27" s="123"/>
      <c r="AL27" s="123"/>
      <c r="AM27" s="123"/>
      <c r="AR27" s="123"/>
      <c r="AS27" s="123"/>
      <c r="AU27" s="123"/>
      <c r="AV27" s="123"/>
    </row>
    <row r="28">
      <c r="A28" s="192"/>
      <c r="B28" s="192"/>
      <c r="AB28" s="123"/>
      <c r="AC28" s="123"/>
      <c r="AE28" s="123"/>
      <c r="AF28" s="123"/>
      <c r="AH28" s="123"/>
      <c r="AI28" s="123"/>
      <c r="AL28" s="123"/>
      <c r="AM28" s="123"/>
      <c r="AR28" s="123"/>
      <c r="AS28" s="123"/>
      <c r="AU28" s="123"/>
      <c r="AV28" s="123"/>
    </row>
    <row r="29">
      <c r="A29" s="192"/>
      <c r="B29" s="192"/>
      <c r="AB29" s="123"/>
      <c r="AC29" s="123"/>
      <c r="AE29" s="123"/>
      <c r="AF29" s="123"/>
      <c r="AH29" s="123"/>
      <c r="AI29" s="123"/>
      <c r="AL29" s="123"/>
      <c r="AM29" s="123"/>
      <c r="AR29" s="123"/>
      <c r="AS29" s="123"/>
      <c r="AU29" s="123"/>
      <c r="AV29" s="123"/>
    </row>
    <row r="30">
      <c r="A30" s="192"/>
      <c r="B30" s="192"/>
      <c r="AB30" s="123"/>
      <c r="AC30" s="123"/>
      <c r="AE30" s="123"/>
      <c r="AF30" s="123"/>
      <c r="AH30" s="123"/>
      <c r="AI30" s="123"/>
      <c r="AL30" s="123"/>
      <c r="AM30" s="123"/>
      <c r="AR30" s="123"/>
      <c r="AS30" s="123"/>
      <c r="AU30" s="123"/>
      <c r="AV30" s="123"/>
    </row>
    <row r="31">
      <c r="A31" s="192"/>
      <c r="B31" s="192"/>
      <c r="AB31" s="123"/>
      <c r="AC31" s="123"/>
      <c r="AE31" s="123"/>
      <c r="AF31" s="123"/>
      <c r="AH31" s="123"/>
      <c r="AI31" s="123"/>
      <c r="AL31" s="123"/>
      <c r="AM31" s="123"/>
      <c r="AR31" s="123"/>
      <c r="AS31" s="123"/>
      <c r="AU31" s="123"/>
      <c r="AV31" s="123"/>
    </row>
    <row r="32">
      <c r="A32" s="192"/>
      <c r="B32" s="192"/>
      <c r="AB32" s="123"/>
      <c r="AC32" s="123"/>
      <c r="AE32" s="123"/>
      <c r="AF32" s="123"/>
      <c r="AH32" s="123"/>
      <c r="AI32" s="123"/>
      <c r="AL32" s="123"/>
      <c r="AM32" s="123"/>
      <c r="AR32" s="123"/>
      <c r="AS32" s="123"/>
      <c r="AU32" s="123"/>
      <c r="AV32" s="123"/>
    </row>
    <row r="33">
      <c r="A33" s="192"/>
      <c r="B33" s="192"/>
      <c r="AB33" s="123"/>
      <c r="AC33" s="123"/>
      <c r="AE33" s="123"/>
      <c r="AF33" s="123"/>
      <c r="AH33" s="123"/>
      <c r="AI33" s="123"/>
      <c r="AL33" s="123"/>
      <c r="AM33" s="123"/>
      <c r="AR33" s="123"/>
      <c r="AS33" s="123"/>
      <c r="AU33" s="123"/>
      <c r="AV33" s="123"/>
    </row>
    <row r="34">
      <c r="A34" s="192"/>
      <c r="B34" s="192"/>
      <c r="AB34" s="123"/>
      <c r="AC34" s="123"/>
      <c r="AE34" s="123"/>
      <c r="AF34" s="123"/>
      <c r="AH34" s="123"/>
      <c r="AI34" s="123"/>
      <c r="AL34" s="123"/>
      <c r="AM34" s="123"/>
      <c r="AR34" s="123"/>
      <c r="AS34" s="123"/>
      <c r="AU34" s="123"/>
      <c r="AV34" s="123"/>
    </row>
    <row r="35">
      <c r="A35" s="192"/>
      <c r="B35" s="192"/>
      <c r="AB35" s="123"/>
      <c r="AC35" s="123"/>
      <c r="AE35" s="123"/>
      <c r="AF35" s="123"/>
      <c r="AH35" s="123"/>
      <c r="AI35" s="123"/>
      <c r="AL35" s="123"/>
      <c r="AM35" s="123"/>
      <c r="AR35" s="123"/>
      <c r="AS35" s="123"/>
      <c r="AU35" s="123"/>
      <c r="AV35" s="123"/>
    </row>
    <row r="36">
      <c r="A36" s="192"/>
      <c r="B36" s="192"/>
      <c r="AB36" s="123"/>
      <c r="AC36" s="123"/>
      <c r="AE36" s="123"/>
      <c r="AF36" s="123"/>
      <c r="AH36" s="123"/>
      <c r="AI36" s="123"/>
      <c r="AL36" s="123"/>
      <c r="AM36" s="123"/>
      <c r="AR36" s="123"/>
      <c r="AS36" s="123"/>
      <c r="AU36" s="123"/>
      <c r="AV36" s="123"/>
    </row>
    <row r="37">
      <c r="A37" s="192"/>
      <c r="B37" s="192"/>
      <c r="AB37" s="123"/>
      <c r="AC37" s="123"/>
      <c r="AE37" s="123"/>
      <c r="AF37" s="123"/>
      <c r="AH37" s="123"/>
      <c r="AI37" s="123"/>
      <c r="AL37" s="123"/>
      <c r="AM37" s="123"/>
      <c r="AR37" s="123"/>
      <c r="AS37" s="123"/>
      <c r="AU37" s="123"/>
      <c r="AV37" s="123"/>
    </row>
    <row r="38">
      <c r="A38" s="192"/>
      <c r="B38" s="192"/>
      <c r="AB38" s="123"/>
      <c r="AC38" s="123"/>
      <c r="AE38" s="123"/>
      <c r="AF38" s="123"/>
      <c r="AH38" s="123"/>
      <c r="AI38" s="123"/>
      <c r="AL38" s="123"/>
      <c r="AM38" s="123"/>
      <c r="AR38" s="123"/>
      <c r="AS38" s="123"/>
      <c r="AU38" s="123"/>
      <c r="AV38" s="123"/>
    </row>
    <row r="39">
      <c r="A39" s="192"/>
      <c r="B39" s="192"/>
      <c r="AB39" s="123"/>
      <c r="AC39" s="123"/>
      <c r="AE39" s="123"/>
      <c r="AF39" s="123"/>
      <c r="AH39" s="123"/>
      <c r="AI39" s="123"/>
      <c r="AL39" s="123"/>
      <c r="AM39" s="123"/>
      <c r="AR39" s="123"/>
      <c r="AS39" s="123"/>
      <c r="AU39" s="123"/>
      <c r="AV39" s="123"/>
    </row>
    <row r="40">
      <c r="A40" s="192"/>
      <c r="B40" s="192"/>
      <c r="AB40" s="123"/>
      <c r="AC40" s="123"/>
      <c r="AE40" s="123"/>
      <c r="AF40" s="123"/>
      <c r="AH40" s="123"/>
      <c r="AI40" s="123"/>
      <c r="AL40" s="123"/>
      <c r="AM40" s="123"/>
      <c r="AR40" s="123"/>
      <c r="AS40" s="123"/>
      <c r="AU40" s="123"/>
      <c r="AV40" s="123"/>
    </row>
    <row r="41">
      <c r="A41" s="197"/>
      <c r="B41" s="197"/>
      <c r="AB41" s="123"/>
      <c r="AC41" s="123"/>
      <c r="AE41" s="123"/>
      <c r="AF41" s="123"/>
      <c r="AH41" s="123"/>
      <c r="AI41" s="123"/>
      <c r="AL41" s="123"/>
      <c r="AM41" s="123"/>
      <c r="AR41" s="123"/>
      <c r="AS41" s="123"/>
      <c r="AU41" s="123"/>
      <c r="AV41" s="123"/>
    </row>
    <row r="42">
      <c r="A42" s="197"/>
      <c r="B42" s="197"/>
      <c r="AB42" s="123"/>
      <c r="AC42" s="123"/>
      <c r="AE42" s="123"/>
      <c r="AF42" s="123"/>
      <c r="AH42" s="123"/>
      <c r="AI42" s="123"/>
      <c r="AL42" s="123"/>
      <c r="AM42" s="123"/>
      <c r="AR42" s="123"/>
      <c r="AS42" s="123"/>
      <c r="AU42" s="123"/>
      <c r="AV42" s="123"/>
    </row>
    <row r="43">
      <c r="A43" s="197"/>
      <c r="B43" s="197"/>
      <c r="AB43" s="123"/>
      <c r="AC43" s="123"/>
      <c r="AE43" s="123"/>
      <c r="AF43" s="123"/>
      <c r="AH43" s="123"/>
      <c r="AI43" s="123"/>
      <c r="AL43" s="123"/>
      <c r="AM43" s="123"/>
      <c r="AR43" s="123"/>
      <c r="AS43" s="123"/>
      <c r="AU43" s="123"/>
      <c r="AV43" s="123"/>
    </row>
    <row r="44">
      <c r="A44" s="197"/>
      <c r="B44" s="197"/>
      <c r="AB44" s="123"/>
      <c r="AC44" s="123"/>
      <c r="AE44" s="123"/>
      <c r="AF44" s="123"/>
      <c r="AH44" s="123"/>
      <c r="AI44" s="123"/>
      <c r="AL44" s="123"/>
      <c r="AM44" s="123"/>
      <c r="AR44" s="123"/>
      <c r="AS44" s="123"/>
      <c r="AU44" s="123"/>
      <c r="AV44" s="123"/>
    </row>
    <row r="45">
      <c r="A45" s="197"/>
      <c r="B45" s="197"/>
      <c r="AB45" s="123"/>
      <c r="AC45" s="123"/>
      <c r="AE45" s="123"/>
      <c r="AF45" s="123"/>
      <c r="AH45" s="123"/>
      <c r="AI45" s="123"/>
      <c r="AL45" s="123"/>
      <c r="AM45" s="123"/>
      <c r="AR45" s="123"/>
      <c r="AS45" s="123"/>
      <c r="AU45" s="123"/>
      <c r="AV45" s="123"/>
    </row>
    <row r="46">
      <c r="A46" s="197"/>
      <c r="B46" s="197"/>
      <c r="AB46" s="123"/>
      <c r="AC46" s="123"/>
      <c r="AE46" s="123"/>
      <c r="AF46" s="123"/>
      <c r="AH46" s="123"/>
      <c r="AI46" s="123"/>
      <c r="AL46" s="123"/>
      <c r="AM46" s="123"/>
      <c r="AR46" s="123"/>
      <c r="AS46" s="123"/>
      <c r="AU46" s="123"/>
      <c r="AV46" s="123"/>
    </row>
    <row r="47">
      <c r="A47" s="197"/>
      <c r="B47" s="197"/>
      <c r="AB47" s="123"/>
      <c r="AC47" s="123"/>
      <c r="AE47" s="123"/>
      <c r="AF47" s="123"/>
      <c r="AH47" s="123"/>
      <c r="AI47" s="123"/>
      <c r="AL47" s="123"/>
      <c r="AM47" s="123"/>
      <c r="AR47" s="123"/>
      <c r="AS47" s="123"/>
      <c r="AU47" s="123"/>
      <c r="AV47" s="123"/>
    </row>
    <row r="48">
      <c r="A48" s="197"/>
      <c r="B48" s="197"/>
      <c r="AB48" s="123"/>
      <c r="AC48" s="123"/>
      <c r="AE48" s="123"/>
      <c r="AF48" s="123"/>
      <c r="AH48" s="123"/>
      <c r="AI48" s="123"/>
      <c r="AL48" s="123"/>
      <c r="AM48" s="123"/>
      <c r="AR48" s="123"/>
      <c r="AS48" s="123"/>
      <c r="AU48" s="123"/>
      <c r="AV48" s="123"/>
    </row>
    <row r="49">
      <c r="A49" s="197"/>
      <c r="B49" s="197"/>
      <c r="AB49" s="123"/>
      <c r="AC49" s="123"/>
      <c r="AE49" s="123"/>
      <c r="AF49" s="123"/>
      <c r="AH49" s="123"/>
      <c r="AI49" s="123"/>
      <c r="AL49" s="123"/>
      <c r="AM49" s="123"/>
      <c r="AR49" s="123"/>
      <c r="AS49" s="123"/>
      <c r="AU49" s="123"/>
      <c r="AV49" s="123"/>
    </row>
    <row r="50">
      <c r="A50" s="197"/>
      <c r="B50" s="197"/>
      <c r="AB50" s="123"/>
      <c r="AC50" s="123"/>
      <c r="AE50" s="123"/>
      <c r="AF50" s="123"/>
      <c r="AH50" s="123"/>
      <c r="AI50" s="123"/>
      <c r="AL50" s="123"/>
      <c r="AM50" s="123"/>
      <c r="AR50" s="123"/>
      <c r="AS50" s="123"/>
      <c r="AU50" s="123"/>
      <c r="AV50" s="123"/>
    </row>
    <row r="51">
      <c r="A51" s="197"/>
      <c r="B51" s="197"/>
      <c r="AB51" s="123"/>
      <c r="AC51" s="123"/>
      <c r="AE51" s="123"/>
      <c r="AF51" s="123"/>
      <c r="AH51" s="123"/>
      <c r="AI51" s="123"/>
      <c r="AL51" s="123"/>
      <c r="AM51" s="123"/>
      <c r="AR51" s="123"/>
      <c r="AS51" s="123"/>
      <c r="AU51" s="123"/>
      <c r="AV51" s="123"/>
    </row>
    <row r="52">
      <c r="A52" s="197"/>
      <c r="B52" s="197"/>
      <c r="AB52" s="123"/>
      <c r="AC52" s="123"/>
      <c r="AE52" s="123"/>
      <c r="AF52" s="123"/>
      <c r="AH52" s="123"/>
      <c r="AI52" s="123"/>
      <c r="AL52" s="123"/>
      <c r="AM52" s="123"/>
      <c r="AR52" s="123"/>
      <c r="AS52" s="123"/>
      <c r="AU52" s="123"/>
      <c r="AV52" s="123"/>
    </row>
    <row r="53">
      <c r="A53" s="197"/>
      <c r="B53" s="197"/>
      <c r="AB53" s="123"/>
      <c r="AC53" s="123"/>
      <c r="AE53" s="123"/>
      <c r="AF53" s="123"/>
      <c r="AH53" s="123"/>
      <c r="AI53" s="123"/>
      <c r="AL53" s="123"/>
      <c r="AM53" s="123"/>
      <c r="AR53" s="123"/>
      <c r="AS53" s="123"/>
      <c r="AU53" s="123"/>
      <c r="AV53" s="123"/>
    </row>
    <row r="54">
      <c r="A54" s="197"/>
      <c r="B54" s="197"/>
      <c r="AB54" s="123"/>
      <c r="AC54" s="123"/>
      <c r="AE54" s="123"/>
      <c r="AF54" s="123"/>
      <c r="AH54" s="123"/>
      <c r="AI54" s="123"/>
      <c r="AL54" s="123"/>
      <c r="AM54" s="123"/>
      <c r="AR54" s="123"/>
      <c r="AS54" s="123"/>
      <c r="AU54" s="123"/>
      <c r="AV54" s="123"/>
    </row>
    <row r="55">
      <c r="A55" s="197"/>
      <c r="B55" s="197"/>
      <c r="AB55" s="123"/>
      <c r="AC55" s="123"/>
      <c r="AE55" s="123"/>
      <c r="AF55" s="123"/>
      <c r="AH55" s="123"/>
      <c r="AI55" s="123"/>
      <c r="AL55" s="123"/>
      <c r="AM55" s="123"/>
      <c r="AR55" s="123"/>
      <c r="AS55" s="123"/>
      <c r="AU55" s="123"/>
      <c r="AV55" s="123"/>
    </row>
    <row r="56">
      <c r="A56" s="197"/>
      <c r="B56" s="197"/>
      <c r="AB56" s="123"/>
      <c r="AC56" s="123"/>
      <c r="AE56" s="123"/>
      <c r="AF56" s="123"/>
      <c r="AH56" s="123"/>
      <c r="AI56" s="123"/>
      <c r="AL56" s="123"/>
      <c r="AM56" s="123"/>
      <c r="AR56" s="123"/>
      <c r="AS56" s="123"/>
      <c r="AU56" s="123"/>
      <c r="AV56" s="123"/>
    </row>
    <row r="57">
      <c r="A57" s="197"/>
      <c r="B57" s="197"/>
      <c r="AB57" s="123"/>
      <c r="AC57" s="123"/>
      <c r="AE57" s="123"/>
      <c r="AF57" s="123"/>
      <c r="AH57" s="123"/>
      <c r="AI57" s="123"/>
      <c r="AL57" s="123"/>
      <c r="AM57" s="123"/>
      <c r="AR57" s="123"/>
      <c r="AS57" s="123"/>
      <c r="AU57" s="123"/>
      <c r="AV57" s="123"/>
    </row>
    <row r="58">
      <c r="A58" s="197"/>
      <c r="B58" s="197"/>
      <c r="AB58" s="123"/>
      <c r="AC58" s="123"/>
      <c r="AE58" s="123"/>
      <c r="AF58" s="123"/>
      <c r="AH58" s="123"/>
      <c r="AI58" s="123"/>
      <c r="AL58" s="123"/>
      <c r="AM58" s="123"/>
      <c r="AR58" s="123"/>
      <c r="AS58" s="123"/>
      <c r="AU58" s="123"/>
      <c r="AV58" s="123"/>
    </row>
    <row r="59">
      <c r="A59" s="197"/>
      <c r="B59" s="197"/>
      <c r="AB59" s="123"/>
      <c r="AC59" s="123"/>
      <c r="AE59" s="123"/>
      <c r="AF59" s="123"/>
      <c r="AH59" s="123"/>
      <c r="AI59" s="123"/>
      <c r="AL59" s="123"/>
      <c r="AM59" s="123"/>
      <c r="AR59" s="123"/>
      <c r="AS59" s="123"/>
      <c r="AU59" s="123"/>
      <c r="AV59" s="123"/>
    </row>
    <row r="60">
      <c r="A60" s="197"/>
      <c r="B60" s="197"/>
      <c r="AB60" s="123"/>
      <c r="AC60" s="123"/>
      <c r="AE60" s="123"/>
      <c r="AF60" s="123"/>
      <c r="AH60" s="123"/>
      <c r="AI60" s="123"/>
      <c r="AL60" s="123"/>
      <c r="AM60" s="123"/>
      <c r="AR60" s="123"/>
      <c r="AS60" s="123"/>
      <c r="AU60" s="123"/>
      <c r="AV60" s="123"/>
    </row>
    <row r="61">
      <c r="A61" s="197"/>
      <c r="B61" s="197"/>
      <c r="AB61" s="123"/>
      <c r="AC61" s="123"/>
      <c r="AE61" s="123"/>
      <c r="AF61" s="123"/>
      <c r="AH61" s="123"/>
      <c r="AI61" s="123"/>
      <c r="AL61" s="123"/>
      <c r="AM61" s="123"/>
      <c r="AR61" s="123"/>
      <c r="AS61" s="123"/>
      <c r="AU61" s="123"/>
      <c r="AV61" s="123"/>
    </row>
    <row r="62">
      <c r="A62" s="197"/>
      <c r="B62" s="197"/>
      <c r="AB62" s="123"/>
      <c r="AC62" s="123"/>
      <c r="AE62" s="123"/>
      <c r="AF62" s="123"/>
      <c r="AH62" s="123"/>
      <c r="AI62" s="123"/>
      <c r="AL62" s="123"/>
      <c r="AM62" s="123"/>
      <c r="AR62" s="123"/>
      <c r="AS62" s="123"/>
      <c r="AU62" s="123"/>
      <c r="AV62" s="123"/>
    </row>
    <row r="63">
      <c r="A63" s="197"/>
      <c r="B63" s="197"/>
      <c r="AB63" s="123"/>
      <c r="AC63" s="123"/>
      <c r="AE63" s="123"/>
      <c r="AF63" s="123"/>
      <c r="AH63" s="123"/>
      <c r="AI63" s="123"/>
      <c r="AL63" s="123"/>
      <c r="AM63" s="123"/>
      <c r="AR63" s="123"/>
      <c r="AS63" s="123"/>
      <c r="AU63" s="123"/>
      <c r="AV63" s="123"/>
    </row>
    <row r="64">
      <c r="A64" s="197"/>
      <c r="B64" s="197"/>
      <c r="AB64" s="123"/>
      <c r="AC64" s="123"/>
      <c r="AE64" s="123"/>
      <c r="AF64" s="123"/>
      <c r="AH64" s="123"/>
      <c r="AI64" s="123"/>
      <c r="AL64" s="123"/>
      <c r="AM64" s="123"/>
      <c r="AR64" s="123"/>
      <c r="AS64" s="123"/>
      <c r="AU64" s="123"/>
      <c r="AV64" s="123"/>
    </row>
    <row r="65">
      <c r="A65" s="197"/>
      <c r="B65" s="197"/>
      <c r="AB65" s="123"/>
      <c r="AC65" s="123"/>
      <c r="AE65" s="123"/>
      <c r="AF65" s="123"/>
      <c r="AH65" s="123"/>
      <c r="AI65" s="123"/>
      <c r="AL65" s="123"/>
      <c r="AM65" s="123"/>
      <c r="AR65" s="123"/>
      <c r="AS65" s="123"/>
      <c r="AU65" s="123"/>
      <c r="AV65" s="123"/>
    </row>
    <row r="66">
      <c r="A66" s="197"/>
      <c r="B66" s="197"/>
      <c r="AB66" s="123"/>
      <c r="AC66" s="123"/>
      <c r="AE66" s="123"/>
      <c r="AF66" s="123"/>
      <c r="AH66" s="123"/>
      <c r="AI66" s="123"/>
      <c r="AL66" s="123"/>
      <c r="AM66" s="123"/>
      <c r="AR66" s="123"/>
      <c r="AS66" s="123"/>
      <c r="AU66" s="123"/>
      <c r="AV66" s="123"/>
    </row>
    <row r="67">
      <c r="A67" s="197"/>
      <c r="B67" s="197"/>
      <c r="AB67" s="123"/>
      <c r="AC67" s="123"/>
      <c r="AE67" s="123"/>
      <c r="AF67" s="123"/>
      <c r="AH67" s="123"/>
      <c r="AI67" s="123"/>
      <c r="AL67" s="123"/>
      <c r="AM67" s="123"/>
      <c r="AR67" s="123"/>
      <c r="AS67" s="123"/>
      <c r="AU67" s="123"/>
      <c r="AV67" s="123"/>
    </row>
    <row r="68">
      <c r="A68" s="197"/>
      <c r="B68" s="197"/>
      <c r="AB68" s="123"/>
      <c r="AC68" s="123"/>
      <c r="AE68" s="123"/>
      <c r="AF68" s="123"/>
      <c r="AH68" s="123"/>
      <c r="AI68" s="123"/>
      <c r="AL68" s="123"/>
      <c r="AM68" s="123"/>
      <c r="AR68" s="123"/>
      <c r="AS68" s="123"/>
      <c r="AU68" s="123"/>
      <c r="AV68" s="123"/>
    </row>
    <row r="69">
      <c r="A69" s="197"/>
      <c r="B69" s="197"/>
      <c r="AB69" s="123"/>
      <c r="AC69" s="123"/>
      <c r="AE69" s="123"/>
      <c r="AF69" s="123"/>
      <c r="AH69" s="123"/>
      <c r="AI69" s="123"/>
      <c r="AL69" s="123"/>
      <c r="AM69" s="123"/>
      <c r="AR69" s="123"/>
      <c r="AS69" s="123"/>
      <c r="AU69" s="123"/>
      <c r="AV69" s="123"/>
    </row>
    <row r="70">
      <c r="A70" s="197"/>
      <c r="B70" s="197"/>
      <c r="AB70" s="123"/>
      <c r="AC70" s="123"/>
      <c r="AE70" s="123"/>
      <c r="AF70" s="123"/>
      <c r="AH70" s="123"/>
      <c r="AI70" s="123"/>
      <c r="AL70" s="123"/>
      <c r="AM70" s="123"/>
      <c r="AR70" s="123"/>
      <c r="AS70" s="123"/>
      <c r="AU70" s="123"/>
      <c r="AV70" s="123"/>
    </row>
    <row r="71">
      <c r="A71" s="197"/>
      <c r="B71" s="197"/>
      <c r="AB71" s="123"/>
      <c r="AC71" s="123"/>
      <c r="AE71" s="123"/>
      <c r="AF71" s="123"/>
      <c r="AH71" s="123"/>
      <c r="AI71" s="123"/>
      <c r="AL71" s="123"/>
      <c r="AM71" s="123"/>
      <c r="AR71" s="123"/>
      <c r="AS71" s="123"/>
      <c r="AU71" s="123"/>
      <c r="AV71" s="123"/>
    </row>
    <row r="72">
      <c r="A72" s="197"/>
      <c r="B72" s="197"/>
      <c r="AB72" s="123"/>
      <c r="AC72" s="123"/>
      <c r="AE72" s="123"/>
      <c r="AF72" s="123"/>
      <c r="AH72" s="123"/>
      <c r="AI72" s="123"/>
      <c r="AL72" s="123"/>
      <c r="AM72" s="123"/>
      <c r="AR72" s="123"/>
      <c r="AS72" s="123"/>
      <c r="AU72" s="123"/>
      <c r="AV72" s="123"/>
    </row>
    <row r="73">
      <c r="A73" s="197"/>
      <c r="B73" s="197"/>
      <c r="AB73" s="123"/>
      <c r="AC73" s="123"/>
      <c r="AE73" s="123"/>
      <c r="AF73" s="123"/>
      <c r="AH73" s="123"/>
      <c r="AI73" s="123"/>
      <c r="AL73" s="123"/>
      <c r="AM73" s="123"/>
      <c r="AR73" s="123"/>
      <c r="AS73" s="123"/>
      <c r="AU73" s="123"/>
      <c r="AV73" s="123"/>
    </row>
    <row r="74">
      <c r="A74" s="197"/>
      <c r="B74" s="197"/>
      <c r="AB74" s="123"/>
      <c r="AC74" s="123"/>
      <c r="AE74" s="123"/>
      <c r="AF74" s="123"/>
      <c r="AH74" s="123"/>
      <c r="AI74" s="123"/>
      <c r="AL74" s="123"/>
      <c r="AM74" s="123"/>
      <c r="AR74" s="123"/>
      <c r="AS74" s="123"/>
      <c r="AU74" s="123"/>
      <c r="AV74" s="123"/>
    </row>
    <row r="75">
      <c r="A75" s="197"/>
      <c r="B75" s="197"/>
      <c r="AB75" s="123"/>
      <c r="AC75" s="123"/>
      <c r="AE75" s="123"/>
      <c r="AF75" s="123"/>
      <c r="AH75" s="123"/>
      <c r="AI75" s="123"/>
      <c r="AL75" s="123"/>
      <c r="AM75" s="123"/>
      <c r="AR75" s="123"/>
      <c r="AS75" s="123"/>
      <c r="AU75" s="123"/>
      <c r="AV75" s="123"/>
    </row>
    <row r="76">
      <c r="A76" s="197"/>
      <c r="B76" s="197"/>
      <c r="AB76" s="123"/>
      <c r="AC76" s="123"/>
      <c r="AE76" s="123"/>
      <c r="AF76" s="123"/>
      <c r="AH76" s="123"/>
      <c r="AI76" s="123"/>
      <c r="AL76" s="123"/>
      <c r="AM76" s="123"/>
      <c r="AR76" s="123"/>
      <c r="AS76" s="123"/>
      <c r="AU76" s="123"/>
      <c r="AV76" s="123"/>
    </row>
    <row r="77">
      <c r="A77" s="197"/>
      <c r="B77" s="197"/>
      <c r="AB77" s="123"/>
      <c r="AC77" s="123"/>
      <c r="AE77" s="123"/>
      <c r="AF77" s="123"/>
      <c r="AH77" s="123"/>
      <c r="AI77" s="123"/>
      <c r="AL77" s="123"/>
      <c r="AM77" s="123"/>
      <c r="AR77" s="123"/>
      <c r="AS77" s="123"/>
      <c r="AU77" s="123"/>
      <c r="AV77" s="123"/>
    </row>
    <row r="78">
      <c r="A78" s="197"/>
      <c r="B78" s="197"/>
      <c r="AB78" s="123"/>
      <c r="AC78" s="123"/>
      <c r="AE78" s="123"/>
      <c r="AF78" s="123"/>
      <c r="AH78" s="123"/>
      <c r="AI78" s="123"/>
      <c r="AL78" s="123"/>
      <c r="AM78" s="123"/>
      <c r="AR78" s="123"/>
      <c r="AS78" s="123"/>
      <c r="AU78" s="123"/>
      <c r="AV78" s="123"/>
    </row>
    <row r="79">
      <c r="A79" s="197"/>
      <c r="B79" s="197"/>
      <c r="AB79" s="123"/>
      <c r="AC79" s="123"/>
      <c r="AE79" s="123"/>
      <c r="AF79" s="123"/>
      <c r="AH79" s="123"/>
      <c r="AI79" s="123"/>
      <c r="AL79" s="123"/>
      <c r="AM79" s="123"/>
      <c r="AR79" s="123"/>
      <c r="AS79" s="123"/>
      <c r="AU79" s="123"/>
      <c r="AV79" s="123"/>
    </row>
    <row r="80">
      <c r="A80" s="197"/>
      <c r="B80" s="197"/>
      <c r="AB80" s="123"/>
      <c r="AC80" s="123"/>
      <c r="AE80" s="123"/>
      <c r="AF80" s="123"/>
      <c r="AH80" s="123"/>
      <c r="AI80" s="123"/>
      <c r="AL80" s="123"/>
      <c r="AM80" s="123"/>
      <c r="AR80" s="123"/>
      <c r="AS80" s="123"/>
      <c r="AU80" s="123"/>
      <c r="AV80" s="123"/>
    </row>
    <row r="81">
      <c r="A81" s="197"/>
      <c r="B81" s="197"/>
      <c r="AB81" s="123"/>
      <c r="AC81" s="123"/>
      <c r="AE81" s="123"/>
      <c r="AF81" s="123"/>
      <c r="AH81" s="123"/>
      <c r="AI81" s="123"/>
      <c r="AL81" s="123"/>
      <c r="AM81" s="123"/>
      <c r="AR81" s="123"/>
      <c r="AS81" s="123"/>
      <c r="AU81" s="123"/>
      <c r="AV81" s="123"/>
    </row>
    <row r="82">
      <c r="A82" s="197"/>
      <c r="B82" s="197"/>
      <c r="AB82" s="123"/>
      <c r="AC82" s="123"/>
      <c r="AE82" s="123"/>
      <c r="AF82" s="123"/>
      <c r="AH82" s="123"/>
      <c r="AI82" s="123"/>
      <c r="AL82" s="123"/>
      <c r="AM82" s="123"/>
      <c r="AR82" s="123"/>
      <c r="AS82" s="123"/>
      <c r="AU82" s="123"/>
      <c r="AV82" s="123"/>
    </row>
    <row r="83">
      <c r="A83" s="197"/>
      <c r="B83" s="197"/>
      <c r="AB83" s="123"/>
      <c r="AC83" s="123"/>
      <c r="AE83" s="123"/>
      <c r="AF83" s="123"/>
      <c r="AH83" s="123"/>
      <c r="AI83" s="123"/>
      <c r="AL83" s="123"/>
      <c r="AM83" s="123"/>
      <c r="AR83" s="123"/>
      <c r="AS83" s="123"/>
      <c r="AU83" s="123"/>
      <c r="AV83" s="123"/>
    </row>
    <row r="84">
      <c r="A84" s="197"/>
      <c r="B84" s="197"/>
      <c r="AB84" s="123"/>
      <c r="AC84" s="123"/>
      <c r="AE84" s="123"/>
      <c r="AF84" s="123"/>
      <c r="AH84" s="123"/>
      <c r="AI84" s="123"/>
      <c r="AL84" s="123"/>
      <c r="AM84" s="123"/>
      <c r="AR84" s="123"/>
      <c r="AS84" s="123"/>
      <c r="AU84" s="123"/>
      <c r="AV84" s="123"/>
    </row>
    <row r="85">
      <c r="A85" s="197"/>
      <c r="B85" s="197"/>
      <c r="AB85" s="123"/>
      <c r="AC85" s="123"/>
      <c r="AE85" s="123"/>
      <c r="AF85" s="123"/>
      <c r="AH85" s="123"/>
      <c r="AI85" s="123"/>
      <c r="AL85" s="123"/>
      <c r="AM85" s="123"/>
      <c r="AR85" s="123"/>
      <c r="AS85" s="123"/>
      <c r="AU85" s="123"/>
      <c r="AV85" s="123"/>
    </row>
    <row r="86">
      <c r="A86" s="197"/>
      <c r="B86" s="197"/>
      <c r="AB86" s="123"/>
      <c r="AC86" s="123"/>
      <c r="AE86" s="123"/>
      <c r="AF86" s="123"/>
      <c r="AH86" s="123"/>
      <c r="AI86" s="123"/>
      <c r="AL86" s="123"/>
      <c r="AM86" s="123"/>
      <c r="AR86" s="123"/>
      <c r="AS86" s="123"/>
      <c r="AU86" s="123"/>
      <c r="AV86" s="123"/>
    </row>
    <row r="87">
      <c r="A87" s="197"/>
      <c r="B87" s="197"/>
      <c r="AB87" s="123"/>
      <c r="AC87" s="123"/>
      <c r="AE87" s="123"/>
      <c r="AF87" s="123"/>
      <c r="AH87" s="123"/>
      <c r="AI87" s="123"/>
      <c r="AL87" s="123"/>
      <c r="AM87" s="123"/>
      <c r="AR87" s="123"/>
      <c r="AS87" s="123"/>
      <c r="AU87" s="123"/>
      <c r="AV87" s="123"/>
    </row>
    <row r="88">
      <c r="A88" s="197"/>
      <c r="B88" s="197"/>
      <c r="AB88" s="123"/>
      <c r="AC88" s="123"/>
      <c r="AE88" s="123"/>
      <c r="AF88" s="123"/>
      <c r="AH88" s="123"/>
      <c r="AI88" s="123"/>
      <c r="AL88" s="123"/>
      <c r="AM88" s="123"/>
      <c r="AR88" s="123"/>
      <c r="AS88" s="123"/>
      <c r="AU88" s="123"/>
      <c r="AV88" s="123"/>
    </row>
    <row r="89">
      <c r="A89" s="197"/>
      <c r="B89" s="197"/>
      <c r="AB89" s="123"/>
      <c r="AC89" s="123"/>
      <c r="AE89" s="123"/>
      <c r="AF89" s="123"/>
      <c r="AH89" s="123"/>
      <c r="AI89" s="123"/>
      <c r="AL89" s="123"/>
      <c r="AM89" s="123"/>
      <c r="AR89" s="123"/>
      <c r="AS89" s="123"/>
      <c r="AU89" s="123"/>
      <c r="AV89" s="123"/>
    </row>
    <row r="90">
      <c r="A90" s="197"/>
      <c r="B90" s="197"/>
      <c r="AB90" s="123"/>
      <c r="AC90" s="123"/>
      <c r="AE90" s="123"/>
      <c r="AF90" s="123"/>
      <c r="AH90" s="123"/>
      <c r="AI90" s="123"/>
      <c r="AL90" s="123"/>
      <c r="AM90" s="123"/>
      <c r="AR90" s="123"/>
      <c r="AS90" s="123"/>
      <c r="AU90" s="123"/>
      <c r="AV90" s="123"/>
    </row>
    <row r="91">
      <c r="A91" s="197"/>
      <c r="B91" s="197"/>
      <c r="AB91" s="123"/>
      <c r="AC91" s="123"/>
      <c r="AE91" s="123"/>
      <c r="AF91" s="123"/>
      <c r="AH91" s="123"/>
      <c r="AI91" s="123"/>
      <c r="AL91" s="123"/>
      <c r="AM91" s="123"/>
      <c r="AR91" s="123"/>
      <c r="AS91" s="123"/>
      <c r="AU91" s="123"/>
      <c r="AV91" s="123"/>
    </row>
    <row r="92">
      <c r="A92" s="197"/>
      <c r="B92" s="197"/>
      <c r="AB92" s="123"/>
      <c r="AC92" s="123"/>
      <c r="AE92" s="123"/>
      <c r="AF92" s="123"/>
      <c r="AH92" s="123"/>
      <c r="AI92" s="123"/>
      <c r="AL92" s="123"/>
      <c r="AM92" s="123"/>
      <c r="AR92" s="123"/>
      <c r="AS92" s="123"/>
      <c r="AU92" s="123"/>
      <c r="AV92" s="123"/>
    </row>
    <row r="93">
      <c r="A93" s="197"/>
      <c r="B93" s="197"/>
      <c r="AB93" s="123"/>
      <c r="AC93" s="123"/>
      <c r="AE93" s="123"/>
      <c r="AF93" s="123"/>
      <c r="AH93" s="123"/>
      <c r="AI93" s="123"/>
      <c r="AL93" s="123"/>
      <c r="AM93" s="123"/>
      <c r="AR93" s="123"/>
      <c r="AS93" s="123"/>
      <c r="AU93" s="123"/>
      <c r="AV93" s="123"/>
    </row>
    <row r="94">
      <c r="A94" s="197"/>
      <c r="B94" s="197"/>
      <c r="AB94" s="123"/>
      <c r="AC94" s="123"/>
      <c r="AE94" s="123"/>
      <c r="AF94" s="123"/>
      <c r="AH94" s="123"/>
      <c r="AI94" s="123"/>
      <c r="AL94" s="123"/>
      <c r="AM94" s="123"/>
      <c r="AR94" s="123"/>
      <c r="AS94" s="123"/>
      <c r="AU94" s="123"/>
      <c r="AV94" s="123"/>
    </row>
    <row r="95">
      <c r="A95" s="197"/>
      <c r="B95" s="197"/>
      <c r="AB95" s="123"/>
      <c r="AC95" s="123"/>
      <c r="AE95" s="123"/>
      <c r="AF95" s="123"/>
      <c r="AH95" s="123"/>
      <c r="AI95" s="123"/>
      <c r="AL95" s="123"/>
      <c r="AM95" s="123"/>
      <c r="AR95" s="123"/>
      <c r="AS95" s="123"/>
      <c r="AU95" s="123"/>
      <c r="AV95" s="123"/>
    </row>
    <row r="96">
      <c r="A96" s="197"/>
      <c r="B96" s="197"/>
      <c r="AB96" s="123"/>
      <c r="AC96" s="123"/>
      <c r="AE96" s="123"/>
      <c r="AF96" s="123"/>
      <c r="AH96" s="123"/>
      <c r="AI96" s="123"/>
      <c r="AL96" s="123"/>
      <c r="AM96" s="123"/>
      <c r="AR96" s="123"/>
      <c r="AS96" s="123"/>
      <c r="AU96" s="123"/>
      <c r="AV96" s="123"/>
    </row>
    <row r="97">
      <c r="A97" s="197"/>
      <c r="B97" s="197"/>
      <c r="AB97" s="123"/>
      <c r="AC97" s="123"/>
      <c r="AE97" s="123"/>
      <c r="AF97" s="123"/>
      <c r="AH97" s="123"/>
      <c r="AI97" s="123"/>
      <c r="AL97" s="123"/>
      <c r="AM97" s="123"/>
      <c r="AR97" s="123"/>
      <c r="AS97" s="123"/>
      <c r="AU97" s="123"/>
      <c r="AV97" s="123"/>
    </row>
    <row r="98">
      <c r="A98" s="197"/>
      <c r="B98" s="197"/>
      <c r="AB98" s="123"/>
      <c r="AC98" s="123"/>
      <c r="AE98" s="123"/>
      <c r="AF98" s="123"/>
      <c r="AH98" s="123"/>
      <c r="AI98" s="123"/>
      <c r="AL98" s="123"/>
      <c r="AM98" s="123"/>
      <c r="AR98" s="123"/>
      <c r="AS98" s="123"/>
      <c r="AU98" s="123"/>
      <c r="AV98" s="123"/>
    </row>
    <row r="99">
      <c r="A99" s="197"/>
      <c r="B99" s="197"/>
      <c r="AB99" s="123"/>
      <c r="AC99" s="123"/>
      <c r="AE99" s="123"/>
      <c r="AF99" s="123"/>
      <c r="AH99" s="123"/>
      <c r="AI99" s="123"/>
      <c r="AL99" s="123"/>
      <c r="AM99" s="123"/>
      <c r="AR99" s="123"/>
      <c r="AS99" s="123"/>
      <c r="AU99" s="123"/>
      <c r="AV99" s="123"/>
    </row>
    <row r="100">
      <c r="A100" s="197"/>
      <c r="B100" s="197"/>
      <c r="AB100" s="123"/>
      <c r="AC100" s="123"/>
      <c r="AE100" s="123"/>
      <c r="AF100" s="123"/>
      <c r="AH100" s="123"/>
      <c r="AI100" s="123"/>
      <c r="AL100" s="123"/>
      <c r="AM100" s="123"/>
      <c r="AR100" s="123"/>
      <c r="AS100" s="123"/>
      <c r="AU100" s="123"/>
      <c r="AV100" s="123"/>
    </row>
    <row r="101">
      <c r="A101" s="197"/>
      <c r="B101" s="197"/>
      <c r="AB101" s="123"/>
      <c r="AC101" s="123"/>
      <c r="AE101" s="123"/>
      <c r="AF101" s="123"/>
      <c r="AH101" s="123"/>
      <c r="AI101" s="123"/>
      <c r="AL101" s="123"/>
      <c r="AM101" s="123"/>
      <c r="AR101" s="123"/>
      <c r="AS101" s="123"/>
      <c r="AU101" s="123"/>
      <c r="AV101" s="123"/>
    </row>
    <row r="102">
      <c r="A102" s="197"/>
      <c r="B102" s="197"/>
      <c r="AB102" s="123"/>
      <c r="AC102" s="123"/>
      <c r="AE102" s="123"/>
      <c r="AF102" s="123"/>
      <c r="AH102" s="123"/>
      <c r="AI102" s="123"/>
      <c r="AL102" s="123"/>
      <c r="AM102" s="123"/>
      <c r="AR102" s="123"/>
      <c r="AS102" s="123"/>
      <c r="AU102" s="123"/>
      <c r="AV102" s="123"/>
    </row>
    <row r="103">
      <c r="A103" s="197"/>
      <c r="B103" s="197"/>
      <c r="AB103" s="123"/>
      <c r="AC103" s="123"/>
      <c r="AE103" s="123"/>
      <c r="AF103" s="123"/>
      <c r="AH103" s="123"/>
      <c r="AI103" s="123"/>
      <c r="AL103" s="123"/>
      <c r="AM103" s="123"/>
      <c r="AR103" s="123"/>
      <c r="AS103" s="123"/>
      <c r="AU103" s="123"/>
      <c r="AV103" s="123"/>
    </row>
    <row r="104">
      <c r="A104" s="197"/>
      <c r="B104" s="197"/>
      <c r="AB104" s="123"/>
      <c r="AC104" s="123"/>
      <c r="AE104" s="123"/>
      <c r="AF104" s="123"/>
      <c r="AH104" s="123"/>
      <c r="AI104" s="123"/>
      <c r="AL104" s="123"/>
      <c r="AM104" s="123"/>
      <c r="AR104" s="123"/>
      <c r="AS104" s="123"/>
      <c r="AU104" s="123"/>
      <c r="AV104" s="123"/>
    </row>
    <row r="105">
      <c r="A105" s="197"/>
      <c r="B105" s="197"/>
      <c r="AB105" s="123"/>
      <c r="AC105" s="123"/>
      <c r="AE105" s="123"/>
      <c r="AF105" s="123"/>
      <c r="AH105" s="123"/>
      <c r="AI105" s="123"/>
      <c r="AL105" s="123"/>
      <c r="AM105" s="123"/>
      <c r="AR105" s="123"/>
      <c r="AS105" s="123"/>
      <c r="AU105" s="123"/>
      <c r="AV105" s="123"/>
    </row>
    <row r="106">
      <c r="A106" s="197"/>
      <c r="B106" s="197"/>
      <c r="AB106" s="123"/>
      <c r="AC106" s="123"/>
      <c r="AE106" s="123"/>
      <c r="AF106" s="123"/>
      <c r="AH106" s="123"/>
      <c r="AI106" s="123"/>
      <c r="AL106" s="123"/>
      <c r="AM106" s="123"/>
      <c r="AR106" s="123"/>
      <c r="AS106" s="123"/>
      <c r="AU106" s="123"/>
      <c r="AV106" s="123"/>
    </row>
    <row r="107">
      <c r="A107" s="197"/>
      <c r="B107" s="197"/>
      <c r="AB107" s="123"/>
      <c r="AC107" s="123"/>
      <c r="AE107" s="123"/>
      <c r="AF107" s="123"/>
      <c r="AH107" s="123"/>
      <c r="AI107" s="123"/>
      <c r="AL107" s="123"/>
      <c r="AM107" s="123"/>
      <c r="AR107" s="123"/>
      <c r="AS107" s="123"/>
      <c r="AU107" s="123"/>
      <c r="AV107" s="123"/>
    </row>
    <row r="108">
      <c r="A108" s="197"/>
      <c r="B108" s="197"/>
      <c r="AB108" s="123"/>
      <c r="AC108" s="123"/>
      <c r="AE108" s="123"/>
      <c r="AF108" s="123"/>
      <c r="AH108" s="123"/>
      <c r="AI108" s="123"/>
      <c r="AL108" s="123"/>
      <c r="AM108" s="123"/>
      <c r="AR108" s="123"/>
      <c r="AS108" s="123"/>
      <c r="AU108" s="123"/>
      <c r="AV108" s="123"/>
    </row>
    <row r="109">
      <c r="A109" s="197"/>
      <c r="B109" s="197"/>
      <c r="AB109" s="123"/>
      <c r="AC109" s="123"/>
      <c r="AE109" s="123"/>
      <c r="AF109" s="123"/>
      <c r="AH109" s="123"/>
      <c r="AI109" s="123"/>
      <c r="AL109" s="123"/>
      <c r="AM109" s="123"/>
      <c r="AR109" s="123"/>
      <c r="AS109" s="123"/>
      <c r="AU109" s="123"/>
      <c r="AV109" s="123"/>
    </row>
    <row r="110">
      <c r="A110" s="197"/>
      <c r="B110" s="197"/>
      <c r="AB110" s="123"/>
      <c r="AC110" s="123"/>
      <c r="AE110" s="123"/>
      <c r="AF110" s="123"/>
      <c r="AH110" s="123"/>
      <c r="AI110" s="123"/>
      <c r="AL110" s="123"/>
      <c r="AM110" s="123"/>
      <c r="AR110" s="123"/>
      <c r="AS110" s="123"/>
      <c r="AU110" s="123"/>
      <c r="AV110" s="123"/>
    </row>
    <row r="111">
      <c r="A111" s="197"/>
      <c r="B111" s="197"/>
      <c r="AB111" s="123"/>
      <c r="AC111" s="123"/>
      <c r="AE111" s="123"/>
      <c r="AF111" s="123"/>
      <c r="AH111" s="123"/>
      <c r="AI111" s="123"/>
      <c r="AL111" s="123"/>
      <c r="AM111" s="123"/>
      <c r="AR111" s="123"/>
      <c r="AS111" s="123"/>
      <c r="AU111" s="123"/>
      <c r="AV111" s="123"/>
    </row>
    <row r="112">
      <c r="A112" s="197"/>
      <c r="B112" s="197"/>
      <c r="AB112" s="123"/>
      <c r="AC112" s="123"/>
      <c r="AE112" s="123"/>
      <c r="AF112" s="123"/>
      <c r="AH112" s="123"/>
      <c r="AI112" s="123"/>
      <c r="AL112" s="123"/>
      <c r="AM112" s="123"/>
      <c r="AR112" s="123"/>
      <c r="AS112" s="123"/>
      <c r="AU112" s="123"/>
      <c r="AV112" s="123"/>
    </row>
    <row r="113">
      <c r="A113" s="197"/>
      <c r="B113" s="197"/>
      <c r="AB113" s="123"/>
      <c r="AC113" s="123"/>
      <c r="AE113" s="123"/>
      <c r="AF113" s="123"/>
      <c r="AH113" s="123"/>
      <c r="AI113" s="123"/>
      <c r="AL113" s="123"/>
      <c r="AM113" s="123"/>
      <c r="AR113" s="123"/>
      <c r="AS113" s="123"/>
      <c r="AU113" s="123"/>
      <c r="AV113" s="123"/>
    </row>
    <row r="114">
      <c r="A114" s="197"/>
      <c r="B114" s="197"/>
      <c r="AB114" s="123"/>
      <c r="AC114" s="123"/>
      <c r="AE114" s="123"/>
      <c r="AF114" s="123"/>
      <c r="AH114" s="123"/>
      <c r="AI114" s="123"/>
      <c r="AL114" s="123"/>
      <c r="AM114" s="123"/>
      <c r="AR114" s="123"/>
      <c r="AS114" s="123"/>
      <c r="AU114" s="123"/>
      <c r="AV114" s="123"/>
    </row>
    <row r="115">
      <c r="A115" s="197"/>
      <c r="B115" s="197"/>
      <c r="AB115" s="123"/>
      <c r="AC115" s="123"/>
      <c r="AE115" s="123"/>
      <c r="AF115" s="123"/>
      <c r="AH115" s="123"/>
      <c r="AI115" s="123"/>
      <c r="AL115" s="123"/>
      <c r="AM115" s="123"/>
      <c r="AR115" s="123"/>
      <c r="AS115" s="123"/>
      <c r="AU115" s="123"/>
      <c r="AV115" s="123"/>
    </row>
    <row r="116">
      <c r="A116" s="197"/>
      <c r="B116" s="197"/>
      <c r="AB116" s="123"/>
      <c r="AC116" s="123"/>
      <c r="AE116" s="123"/>
      <c r="AF116" s="123"/>
      <c r="AH116" s="123"/>
      <c r="AI116" s="123"/>
      <c r="AL116" s="123"/>
      <c r="AM116" s="123"/>
      <c r="AR116" s="123"/>
      <c r="AS116" s="123"/>
      <c r="AU116" s="123"/>
      <c r="AV116" s="123"/>
    </row>
    <row r="117">
      <c r="A117" s="197"/>
      <c r="B117" s="197"/>
      <c r="AB117" s="123"/>
      <c r="AC117" s="123"/>
      <c r="AE117" s="123"/>
      <c r="AF117" s="123"/>
      <c r="AH117" s="123"/>
      <c r="AI117" s="123"/>
      <c r="AL117" s="123"/>
      <c r="AM117" s="123"/>
      <c r="AR117" s="123"/>
      <c r="AS117" s="123"/>
      <c r="AU117" s="123"/>
      <c r="AV117" s="123"/>
    </row>
    <row r="118">
      <c r="A118" s="197"/>
      <c r="B118" s="197"/>
      <c r="AB118" s="123"/>
      <c r="AC118" s="123"/>
      <c r="AE118" s="123"/>
      <c r="AF118" s="123"/>
      <c r="AH118" s="123"/>
      <c r="AI118" s="123"/>
      <c r="AL118" s="123"/>
      <c r="AM118" s="123"/>
      <c r="AR118" s="123"/>
      <c r="AS118" s="123"/>
      <c r="AU118" s="123"/>
      <c r="AV118" s="123"/>
    </row>
    <row r="119">
      <c r="A119" s="197"/>
      <c r="B119" s="197"/>
      <c r="AB119" s="123"/>
      <c r="AC119" s="123"/>
      <c r="AE119" s="123"/>
      <c r="AF119" s="123"/>
      <c r="AH119" s="123"/>
      <c r="AI119" s="123"/>
      <c r="AL119" s="123"/>
      <c r="AM119" s="123"/>
      <c r="AR119" s="123"/>
      <c r="AS119" s="123"/>
      <c r="AU119" s="123"/>
      <c r="AV119" s="123"/>
    </row>
    <row r="120">
      <c r="A120" s="197"/>
      <c r="B120" s="197"/>
      <c r="AB120" s="123"/>
      <c r="AC120" s="123"/>
      <c r="AE120" s="123"/>
      <c r="AF120" s="123"/>
      <c r="AH120" s="123"/>
      <c r="AI120" s="123"/>
      <c r="AL120" s="123"/>
      <c r="AM120" s="123"/>
      <c r="AR120" s="123"/>
      <c r="AS120" s="123"/>
      <c r="AU120" s="123"/>
      <c r="AV120" s="123"/>
    </row>
    <row r="121">
      <c r="A121" s="197"/>
      <c r="B121" s="197"/>
      <c r="AB121" s="123"/>
      <c r="AC121" s="123"/>
      <c r="AE121" s="123"/>
      <c r="AF121" s="123"/>
      <c r="AH121" s="123"/>
      <c r="AI121" s="123"/>
      <c r="AL121" s="123"/>
      <c r="AM121" s="123"/>
      <c r="AR121" s="123"/>
      <c r="AS121" s="123"/>
      <c r="AU121" s="123"/>
      <c r="AV121" s="123"/>
    </row>
    <row r="122">
      <c r="A122" s="197"/>
      <c r="B122" s="197"/>
      <c r="AB122" s="123"/>
      <c r="AC122" s="123"/>
      <c r="AE122" s="123"/>
      <c r="AF122" s="123"/>
      <c r="AH122" s="123"/>
      <c r="AI122" s="123"/>
      <c r="AL122" s="123"/>
      <c r="AM122" s="123"/>
      <c r="AR122" s="123"/>
      <c r="AS122" s="123"/>
      <c r="AU122" s="123"/>
      <c r="AV122" s="123"/>
    </row>
    <row r="123">
      <c r="A123" s="197"/>
      <c r="B123" s="197"/>
      <c r="AB123" s="123"/>
      <c r="AC123" s="123"/>
      <c r="AE123" s="123"/>
      <c r="AF123" s="123"/>
      <c r="AH123" s="123"/>
      <c r="AI123" s="123"/>
      <c r="AL123" s="123"/>
      <c r="AM123" s="123"/>
      <c r="AR123" s="123"/>
      <c r="AS123" s="123"/>
      <c r="AU123" s="123"/>
      <c r="AV123" s="123"/>
    </row>
    <row r="124">
      <c r="A124" s="197"/>
      <c r="B124" s="197"/>
      <c r="AB124" s="123"/>
      <c r="AC124" s="123"/>
      <c r="AE124" s="123"/>
      <c r="AF124" s="123"/>
      <c r="AH124" s="123"/>
      <c r="AI124" s="123"/>
      <c r="AL124" s="123"/>
      <c r="AM124" s="123"/>
      <c r="AR124" s="123"/>
      <c r="AS124" s="123"/>
      <c r="AU124" s="123"/>
      <c r="AV124" s="123"/>
    </row>
    <row r="125">
      <c r="A125" s="197"/>
      <c r="B125" s="197"/>
      <c r="AB125" s="123"/>
      <c r="AC125" s="123"/>
      <c r="AE125" s="123"/>
      <c r="AF125" s="123"/>
      <c r="AH125" s="123"/>
      <c r="AI125" s="123"/>
      <c r="AL125" s="123"/>
      <c r="AM125" s="123"/>
      <c r="AR125" s="123"/>
      <c r="AS125" s="123"/>
      <c r="AU125" s="123"/>
      <c r="AV125" s="123"/>
    </row>
    <row r="126">
      <c r="A126" s="197"/>
      <c r="B126" s="197"/>
      <c r="AB126" s="123"/>
      <c r="AC126" s="123"/>
      <c r="AE126" s="123"/>
      <c r="AF126" s="123"/>
      <c r="AH126" s="123"/>
      <c r="AI126" s="123"/>
      <c r="AL126" s="123"/>
      <c r="AM126" s="123"/>
      <c r="AR126" s="123"/>
      <c r="AS126" s="123"/>
      <c r="AU126" s="123"/>
      <c r="AV126" s="123"/>
    </row>
    <row r="127">
      <c r="A127" s="197"/>
      <c r="B127" s="197"/>
      <c r="AB127" s="123"/>
      <c r="AC127" s="123"/>
      <c r="AE127" s="123"/>
      <c r="AF127" s="123"/>
      <c r="AH127" s="123"/>
      <c r="AI127" s="123"/>
      <c r="AL127" s="123"/>
      <c r="AM127" s="123"/>
      <c r="AR127" s="123"/>
      <c r="AS127" s="123"/>
      <c r="AU127" s="123"/>
      <c r="AV127" s="123"/>
    </row>
    <row r="128">
      <c r="A128" s="197"/>
      <c r="B128" s="197"/>
      <c r="AB128" s="123"/>
      <c r="AC128" s="123"/>
      <c r="AE128" s="123"/>
      <c r="AF128" s="123"/>
      <c r="AH128" s="123"/>
      <c r="AI128" s="123"/>
      <c r="AL128" s="123"/>
      <c r="AM128" s="123"/>
      <c r="AR128" s="123"/>
      <c r="AS128" s="123"/>
      <c r="AU128" s="123"/>
      <c r="AV128" s="123"/>
    </row>
    <row r="129">
      <c r="A129" s="197"/>
      <c r="B129" s="197"/>
      <c r="AB129" s="123"/>
      <c r="AC129" s="123"/>
      <c r="AE129" s="123"/>
      <c r="AF129" s="123"/>
      <c r="AH129" s="123"/>
      <c r="AI129" s="123"/>
      <c r="AL129" s="123"/>
      <c r="AM129" s="123"/>
      <c r="AR129" s="123"/>
      <c r="AS129" s="123"/>
      <c r="AU129" s="123"/>
      <c r="AV129" s="123"/>
    </row>
    <row r="130">
      <c r="A130" s="197"/>
      <c r="B130" s="197"/>
      <c r="AB130" s="123"/>
      <c r="AC130" s="123"/>
      <c r="AE130" s="123"/>
      <c r="AF130" s="123"/>
      <c r="AH130" s="123"/>
      <c r="AI130" s="123"/>
      <c r="AL130" s="123"/>
      <c r="AM130" s="123"/>
      <c r="AR130" s="123"/>
      <c r="AS130" s="123"/>
      <c r="AU130" s="123"/>
      <c r="AV130" s="123"/>
    </row>
    <row r="131">
      <c r="A131" s="197"/>
      <c r="B131" s="197"/>
      <c r="AB131" s="123"/>
      <c r="AC131" s="123"/>
      <c r="AE131" s="123"/>
      <c r="AF131" s="123"/>
      <c r="AH131" s="123"/>
      <c r="AI131" s="123"/>
      <c r="AL131" s="123"/>
      <c r="AM131" s="123"/>
      <c r="AR131" s="123"/>
      <c r="AS131" s="123"/>
      <c r="AU131" s="123"/>
      <c r="AV131" s="123"/>
    </row>
    <row r="132">
      <c r="A132" s="197"/>
      <c r="B132" s="197"/>
      <c r="AB132" s="123"/>
      <c r="AC132" s="123"/>
      <c r="AE132" s="123"/>
      <c r="AF132" s="123"/>
      <c r="AH132" s="123"/>
      <c r="AI132" s="123"/>
      <c r="AL132" s="123"/>
      <c r="AM132" s="123"/>
      <c r="AR132" s="123"/>
      <c r="AS132" s="123"/>
      <c r="AU132" s="123"/>
      <c r="AV132" s="123"/>
    </row>
    <row r="133">
      <c r="A133" s="197"/>
      <c r="B133" s="197"/>
      <c r="AB133" s="123"/>
      <c r="AC133" s="123"/>
      <c r="AE133" s="123"/>
      <c r="AF133" s="123"/>
      <c r="AH133" s="123"/>
      <c r="AI133" s="123"/>
      <c r="AL133" s="123"/>
      <c r="AM133" s="123"/>
      <c r="AR133" s="123"/>
      <c r="AS133" s="123"/>
      <c r="AU133" s="123"/>
      <c r="AV133" s="123"/>
    </row>
    <row r="134">
      <c r="A134" s="197"/>
      <c r="B134" s="197"/>
      <c r="AB134" s="123"/>
      <c r="AC134" s="123"/>
      <c r="AE134" s="123"/>
      <c r="AF134" s="123"/>
      <c r="AH134" s="123"/>
      <c r="AI134" s="123"/>
      <c r="AL134" s="123"/>
      <c r="AM134" s="123"/>
      <c r="AR134" s="123"/>
      <c r="AS134" s="123"/>
      <c r="AU134" s="123"/>
      <c r="AV134" s="123"/>
    </row>
    <row r="135">
      <c r="A135" s="197"/>
      <c r="B135" s="197"/>
      <c r="AB135" s="123"/>
      <c r="AC135" s="123"/>
      <c r="AE135" s="123"/>
      <c r="AF135" s="123"/>
      <c r="AH135" s="123"/>
      <c r="AI135" s="123"/>
      <c r="AL135" s="123"/>
      <c r="AM135" s="123"/>
      <c r="AR135" s="123"/>
      <c r="AS135" s="123"/>
      <c r="AU135" s="123"/>
      <c r="AV135" s="123"/>
    </row>
    <row r="136">
      <c r="A136" s="197"/>
      <c r="B136" s="197"/>
      <c r="AB136" s="123"/>
      <c r="AC136" s="123"/>
      <c r="AE136" s="123"/>
      <c r="AF136" s="123"/>
      <c r="AH136" s="123"/>
      <c r="AI136" s="123"/>
      <c r="AL136" s="123"/>
      <c r="AM136" s="123"/>
      <c r="AR136" s="123"/>
      <c r="AS136" s="123"/>
      <c r="AU136" s="123"/>
      <c r="AV136" s="123"/>
    </row>
    <row r="137">
      <c r="A137" s="197"/>
      <c r="B137" s="197"/>
      <c r="AB137" s="123"/>
      <c r="AC137" s="123"/>
      <c r="AE137" s="123"/>
      <c r="AF137" s="123"/>
      <c r="AH137" s="123"/>
      <c r="AI137" s="123"/>
      <c r="AL137" s="123"/>
      <c r="AM137" s="123"/>
      <c r="AR137" s="123"/>
      <c r="AS137" s="123"/>
      <c r="AU137" s="123"/>
      <c r="AV137" s="123"/>
    </row>
    <row r="138">
      <c r="A138" s="197"/>
      <c r="B138" s="197"/>
      <c r="AB138" s="123"/>
      <c r="AC138" s="123"/>
      <c r="AE138" s="123"/>
      <c r="AF138" s="123"/>
      <c r="AH138" s="123"/>
      <c r="AI138" s="123"/>
      <c r="AL138" s="123"/>
      <c r="AM138" s="123"/>
      <c r="AR138" s="123"/>
      <c r="AS138" s="123"/>
      <c r="AU138" s="123"/>
      <c r="AV138" s="123"/>
    </row>
    <row r="139">
      <c r="A139" s="197"/>
      <c r="B139" s="197"/>
      <c r="AB139" s="123"/>
      <c r="AC139" s="123"/>
      <c r="AE139" s="123"/>
      <c r="AF139" s="123"/>
      <c r="AH139" s="123"/>
      <c r="AI139" s="123"/>
      <c r="AL139" s="123"/>
      <c r="AM139" s="123"/>
      <c r="AR139" s="123"/>
      <c r="AS139" s="123"/>
      <c r="AU139" s="123"/>
      <c r="AV139" s="123"/>
    </row>
    <row r="140">
      <c r="A140" s="197"/>
      <c r="B140" s="197"/>
      <c r="AB140" s="123"/>
      <c r="AC140" s="123"/>
      <c r="AE140" s="123"/>
      <c r="AF140" s="123"/>
      <c r="AH140" s="123"/>
      <c r="AI140" s="123"/>
      <c r="AL140" s="123"/>
      <c r="AM140" s="123"/>
      <c r="AR140" s="123"/>
      <c r="AS140" s="123"/>
      <c r="AU140" s="123"/>
      <c r="AV140" s="123"/>
    </row>
    <row r="141">
      <c r="A141" s="197"/>
      <c r="B141" s="197"/>
      <c r="AB141" s="123"/>
      <c r="AC141" s="123"/>
      <c r="AE141" s="123"/>
      <c r="AF141" s="123"/>
      <c r="AH141" s="123"/>
      <c r="AI141" s="123"/>
      <c r="AL141" s="123"/>
      <c r="AM141" s="123"/>
      <c r="AR141" s="123"/>
      <c r="AS141" s="123"/>
      <c r="AU141" s="123"/>
      <c r="AV141" s="123"/>
    </row>
    <row r="142">
      <c r="A142" s="197"/>
      <c r="B142" s="197"/>
      <c r="AB142" s="123"/>
      <c r="AC142" s="123"/>
      <c r="AE142" s="123"/>
      <c r="AF142" s="123"/>
      <c r="AH142" s="123"/>
      <c r="AI142" s="123"/>
      <c r="AL142" s="123"/>
      <c r="AM142" s="123"/>
      <c r="AR142" s="123"/>
      <c r="AS142" s="123"/>
      <c r="AU142" s="123"/>
      <c r="AV142" s="123"/>
    </row>
    <row r="143">
      <c r="A143" s="197"/>
      <c r="B143" s="197"/>
      <c r="AB143" s="123"/>
      <c r="AC143" s="123"/>
      <c r="AE143" s="123"/>
      <c r="AF143" s="123"/>
      <c r="AH143" s="123"/>
      <c r="AI143" s="123"/>
      <c r="AL143" s="123"/>
      <c r="AM143" s="123"/>
      <c r="AR143" s="123"/>
      <c r="AS143" s="123"/>
      <c r="AU143" s="123"/>
      <c r="AV143" s="123"/>
    </row>
    <row r="144">
      <c r="A144" s="197"/>
      <c r="B144" s="197"/>
      <c r="AB144" s="123"/>
      <c r="AC144" s="123"/>
      <c r="AE144" s="123"/>
      <c r="AF144" s="123"/>
      <c r="AH144" s="123"/>
      <c r="AI144" s="123"/>
      <c r="AL144" s="123"/>
      <c r="AM144" s="123"/>
      <c r="AR144" s="123"/>
      <c r="AS144" s="123"/>
      <c r="AU144" s="123"/>
      <c r="AV144" s="123"/>
    </row>
    <row r="145">
      <c r="A145" s="197"/>
      <c r="B145" s="197"/>
      <c r="AB145" s="123"/>
      <c r="AC145" s="123"/>
      <c r="AE145" s="123"/>
      <c r="AF145" s="123"/>
      <c r="AH145" s="123"/>
      <c r="AI145" s="123"/>
      <c r="AL145" s="123"/>
      <c r="AM145" s="123"/>
      <c r="AR145" s="123"/>
      <c r="AS145" s="123"/>
      <c r="AU145" s="123"/>
      <c r="AV145" s="123"/>
    </row>
    <row r="146">
      <c r="A146" s="197"/>
      <c r="B146" s="197"/>
      <c r="AB146" s="123"/>
      <c r="AC146" s="123"/>
      <c r="AE146" s="123"/>
      <c r="AF146" s="123"/>
      <c r="AH146" s="123"/>
      <c r="AI146" s="123"/>
      <c r="AL146" s="123"/>
      <c r="AM146" s="123"/>
      <c r="AR146" s="123"/>
      <c r="AS146" s="123"/>
      <c r="AU146" s="123"/>
      <c r="AV146" s="123"/>
    </row>
    <row r="147">
      <c r="A147" s="197"/>
      <c r="B147" s="197"/>
      <c r="AB147" s="123"/>
      <c r="AC147" s="123"/>
      <c r="AE147" s="123"/>
      <c r="AF147" s="123"/>
      <c r="AH147" s="123"/>
      <c r="AI147" s="123"/>
      <c r="AL147" s="123"/>
      <c r="AM147" s="123"/>
      <c r="AR147" s="123"/>
      <c r="AS147" s="123"/>
      <c r="AU147" s="123"/>
      <c r="AV147" s="123"/>
    </row>
    <row r="148">
      <c r="A148" s="197"/>
      <c r="B148" s="197"/>
      <c r="AB148" s="123"/>
      <c r="AC148" s="123"/>
      <c r="AE148" s="123"/>
      <c r="AF148" s="123"/>
      <c r="AH148" s="123"/>
      <c r="AI148" s="123"/>
      <c r="AL148" s="123"/>
      <c r="AM148" s="123"/>
      <c r="AR148" s="123"/>
      <c r="AS148" s="123"/>
      <c r="AU148" s="123"/>
      <c r="AV148" s="123"/>
    </row>
    <row r="149">
      <c r="A149" s="197"/>
      <c r="B149" s="197"/>
      <c r="AB149" s="123"/>
      <c r="AC149" s="123"/>
      <c r="AE149" s="123"/>
      <c r="AF149" s="123"/>
      <c r="AH149" s="123"/>
      <c r="AI149" s="123"/>
      <c r="AL149" s="123"/>
      <c r="AM149" s="123"/>
      <c r="AR149" s="123"/>
      <c r="AS149" s="123"/>
      <c r="AU149" s="123"/>
      <c r="AV149" s="123"/>
    </row>
    <row r="150">
      <c r="A150" s="197"/>
      <c r="B150" s="197"/>
      <c r="AB150" s="123"/>
      <c r="AC150" s="123"/>
      <c r="AE150" s="123"/>
      <c r="AF150" s="123"/>
      <c r="AH150" s="123"/>
      <c r="AI150" s="123"/>
      <c r="AL150" s="123"/>
      <c r="AM150" s="123"/>
      <c r="AR150" s="123"/>
      <c r="AS150" s="123"/>
      <c r="AU150" s="123"/>
      <c r="AV150" s="123"/>
    </row>
    <row r="151">
      <c r="A151" s="197"/>
      <c r="B151" s="197"/>
      <c r="AB151" s="123"/>
      <c r="AC151" s="123"/>
      <c r="AE151" s="123"/>
      <c r="AF151" s="123"/>
      <c r="AH151" s="123"/>
      <c r="AI151" s="123"/>
      <c r="AL151" s="123"/>
      <c r="AM151" s="123"/>
      <c r="AR151" s="123"/>
      <c r="AS151" s="123"/>
      <c r="AU151" s="123"/>
      <c r="AV151" s="123"/>
    </row>
    <row r="152">
      <c r="A152" s="197"/>
      <c r="B152" s="197"/>
      <c r="AB152" s="123"/>
      <c r="AC152" s="123"/>
      <c r="AE152" s="123"/>
      <c r="AF152" s="123"/>
      <c r="AH152" s="123"/>
      <c r="AI152" s="123"/>
      <c r="AL152" s="123"/>
      <c r="AM152" s="123"/>
      <c r="AR152" s="123"/>
      <c r="AS152" s="123"/>
      <c r="AU152" s="123"/>
      <c r="AV152" s="123"/>
    </row>
    <row r="153">
      <c r="A153" s="197"/>
      <c r="B153" s="197"/>
      <c r="AB153" s="123"/>
      <c r="AC153" s="123"/>
      <c r="AE153" s="123"/>
      <c r="AF153" s="123"/>
      <c r="AH153" s="123"/>
      <c r="AI153" s="123"/>
      <c r="AL153" s="123"/>
      <c r="AM153" s="123"/>
      <c r="AR153" s="123"/>
      <c r="AS153" s="123"/>
      <c r="AU153" s="123"/>
      <c r="AV153" s="123"/>
    </row>
    <row r="154">
      <c r="A154" s="197"/>
      <c r="B154" s="197"/>
      <c r="AB154" s="123"/>
      <c r="AC154" s="123"/>
      <c r="AE154" s="123"/>
      <c r="AF154" s="123"/>
      <c r="AH154" s="123"/>
      <c r="AI154" s="123"/>
      <c r="AL154" s="123"/>
      <c r="AM154" s="123"/>
      <c r="AR154" s="123"/>
      <c r="AS154" s="123"/>
      <c r="AU154" s="123"/>
      <c r="AV154" s="123"/>
    </row>
    <row r="155">
      <c r="A155" s="197"/>
      <c r="B155" s="197"/>
      <c r="AB155" s="123"/>
      <c r="AC155" s="123"/>
      <c r="AE155" s="123"/>
      <c r="AF155" s="123"/>
      <c r="AH155" s="123"/>
      <c r="AI155" s="123"/>
      <c r="AL155" s="123"/>
      <c r="AM155" s="123"/>
      <c r="AR155" s="123"/>
      <c r="AS155" s="123"/>
      <c r="AU155" s="123"/>
      <c r="AV155" s="123"/>
    </row>
    <row r="156">
      <c r="A156" s="197"/>
      <c r="B156" s="197"/>
      <c r="AB156" s="123"/>
      <c r="AC156" s="123"/>
      <c r="AE156" s="123"/>
      <c r="AF156" s="123"/>
      <c r="AH156" s="123"/>
      <c r="AI156" s="123"/>
      <c r="AL156" s="123"/>
      <c r="AM156" s="123"/>
      <c r="AR156" s="123"/>
      <c r="AS156" s="123"/>
      <c r="AU156" s="123"/>
      <c r="AV156" s="123"/>
    </row>
    <row r="157">
      <c r="A157" s="197"/>
      <c r="B157" s="197"/>
      <c r="AB157" s="123"/>
      <c r="AC157" s="123"/>
      <c r="AE157" s="123"/>
      <c r="AF157" s="123"/>
      <c r="AH157" s="123"/>
      <c r="AI157" s="123"/>
      <c r="AL157" s="123"/>
      <c r="AM157" s="123"/>
      <c r="AR157" s="123"/>
      <c r="AS157" s="123"/>
      <c r="AU157" s="123"/>
      <c r="AV157" s="123"/>
    </row>
    <row r="158">
      <c r="A158" s="197"/>
      <c r="B158" s="197"/>
      <c r="AB158" s="123"/>
      <c r="AC158" s="123"/>
      <c r="AE158" s="123"/>
      <c r="AF158" s="123"/>
      <c r="AH158" s="123"/>
      <c r="AI158" s="123"/>
      <c r="AL158" s="123"/>
      <c r="AM158" s="123"/>
      <c r="AR158" s="123"/>
      <c r="AS158" s="123"/>
      <c r="AU158" s="123"/>
      <c r="AV158" s="123"/>
    </row>
    <row r="159">
      <c r="A159" s="197"/>
      <c r="B159" s="197"/>
      <c r="AB159" s="123"/>
      <c r="AC159" s="123"/>
      <c r="AE159" s="123"/>
      <c r="AF159" s="123"/>
      <c r="AH159" s="123"/>
      <c r="AI159" s="123"/>
      <c r="AL159" s="123"/>
      <c r="AM159" s="123"/>
      <c r="AR159" s="123"/>
      <c r="AS159" s="123"/>
      <c r="AU159" s="123"/>
      <c r="AV159" s="123"/>
    </row>
    <row r="160">
      <c r="A160" s="197"/>
      <c r="B160" s="197"/>
      <c r="AB160" s="123"/>
      <c r="AC160" s="123"/>
      <c r="AE160" s="123"/>
      <c r="AF160" s="123"/>
      <c r="AH160" s="123"/>
      <c r="AI160" s="123"/>
      <c r="AL160" s="123"/>
      <c r="AM160" s="123"/>
      <c r="AR160" s="123"/>
      <c r="AS160" s="123"/>
      <c r="AU160" s="123"/>
      <c r="AV160" s="123"/>
    </row>
    <row r="161">
      <c r="A161" s="197"/>
      <c r="B161" s="197"/>
      <c r="AB161" s="123"/>
      <c r="AC161" s="123"/>
      <c r="AE161" s="123"/>
      <c r="AF161" s="123"/>
      <c r="AH161" s="123"/>
      <c r="AI161" s="123"/>
      <c r="AL161" s="123"/>
      <c r="AM161" s="123"/>
      <c r="AR161" s="123"/>
      <c r="AS161" s="123"/>
      <c r="AU161" s="123"/>
      <c r="AV161" s="123"/>
    </row>
    <row r="162">
      <c r="A162" s="197"/>
      <c r="B162" s="197"/>
      <c r="AB162" s="123"/>
      <c r="AC162" s="123"/>
      <c r="AE162" s="123"/>
      <c r="AF162" s="123"/>
      <c r="AH162" s="123"/>
      <c r="AI162" s="123"/>
      <c r="AL162" s="123"/>
      <c r="AM162" s="123"/>
      <c r="AR162" s="123"/>
      <c r="AS162" s="123"/>
      <c r="AU162" s="123"/>
      <c r="AV162" s="123"/>
    </row>
    <row r="163">
      <c r="A163" s="197"/>
      <c r="B163" s="197"/>
      <c r="AB163" s="123"/>
      <c r="AC163" s="123"/>
      <c r="AE163" s="123"/>
      <c r="AF163" s="123"/>
      <c r="AH163" s="123"/>
      <c r="AI163" s="123"/>
      <c r="AL163" s="123"/>
      <c r="AM163" s="123"/>
      <c r="AR163" s="123"/>
      <c r="AS163" s="123"/>
      <c r="AU163" s="123"/>
      <c r="AV163" s="123"/>
    </row>
    <row r="164">
      <c r="A164" s="197"/>
      <c r="B164" s="197"/>
      <c r="AB164" s="123"/>
      <c r="AC164" s="123"/>
      <c r="AE164" s="123"/>
      <c r="AF164" s="123"/>
      <c r="AH164" s="123"/>
      <c r="AI164" s="123"/>
      <c r="AL164" s="123"/>
      <c r="AM164" s="123"/>
      <c r="AR164" s="123"/>
      <c r="AS164" s="123"/>
      <c r="AU164" s="123"/>
      <c r="AV164" s="123"/>
    </row>
    <row r="165">
      <c r="A165" s="197"/>
      <c r="B165" s="197"/>
      <c r="AB165" s="123"/>
      <c r="AC165" s="123"/>
      <c r="AE165" s="123"/>
      <c r="AF165" s="123"/>
      <c r="AH165" s="123"/>
      <c r="AI165" s="123"/>
      <c r="AL165" s="123"/>
      <c r="AM165" s="123"/>
      <c r="AR165" s="123"/>
      <c r="AS165" s="123"/>
      <c r="AU165" s="123"/>
      <c r="AV165" s="123"/>
    </row>
    <row r="166">
      <c r="A166" s="197"/>
      <c r="B166" s="197"/>
      <c r="AB166" s="123"/>
      <c r="AC166" s="123"/>
      <c r="AE166" s="123"/>
      <c r="AF166" s="123"/>
      <c r="AH166" s="123"/>
      <c r="AI166" s="123"/>
      <c r="AL166" s="123"/>
      <c r="AM166" s="123"/>
      <c r="AR166" s="123"/>
      <c r="AS166" s="123"/>
      <c r="AU166" s="123"/>
      <c r="AV166" s="123"/>
    </row>
    <row r="167">
      <c r="A167" s="197"/>
      <c r="B167" s="197"/>
      <c r="AB167" s="123"/>
      <c r="AC167" s="123"/>
      <c r="AE167" s="123"/>
      <c r="AF167" s="123"/>
      <c r="AH167" s="123"/>
      <c r="AI167" s="123"/>
      <c r="AL167" s="123"/>
      <c r="AM167" s="123"/>
      <c r="AR167" s="123"/>
      <c r="AS167" s="123"/>
      <c r="AU167" s="123"/>
      <c r="AV167" s="123"/>
    </row>
    <row r="168">
      <c r="A168" s="197"/>
      <c r="B168" s="197"/>
      <c r="AB168" s="123"/>
      <c r="AC168" s="123"/>
      <c r="AE168" s="123"/>
      <c r="AF168" s="123"/>
      <c r="AH168" s="123"/>
      <c r="AI168" s="123"/>
      <c r="AL168" s="123"/>
      <c r="AM168" s="123"/>
      <c r="AR168" s="123"/>
      <c r="AS168" s="123"/>
      <c r="AU168" s="123"/>
      <c r="AV168" s="123"/>
    </row>
    <row r="169">
      <c r="A169" s="197"/>
      <c r="B169" s="197"/>
      <c r="AB169" s="123"/>
      <c r="AC169" s="123"/>
      <c r="AE169" s="123"/>
      <c r="AF169" s="123"/>
      <c r="AH169" s="123"/>
      <c r="AI169" s="123"/>
      <c r="AL169" s="123"/>
      <c r="AM169" s="123"/>
      <c r="AR169" s="123"/>
      <c r="AS169" s="123"/>
      <c r="AU169" s="123"/>
      <c r="AV169" s="123"/>
    </row>
    <row r="170">
      <c r="A170" s="197"/>
      <c r="B170" s="197"/>
      <c r="AB170" s="123"/>
      <c r="AC170" s="123"/>
      <c r="AE170" s="123"/>
      <c r="AF170" s="123"/>
      <c r="AH170" s="123"/>
      <c r="AI170" s="123"/>
      <c r="AL170" s="123"/>
      <c r="AM170" s="123"/>
      <c r="AR170" s="123"/>
      <c r="AS170" s="123"/>
      <c r="AU170" s="123"/>
      <c r="AV170" s="123"/>
    </row>
    <row r="171">
      <c r="A171" s="197"/>
      <c r="B171" s="197"/>
      <c r="AB171" s="123"/>
      <c r="AC171" s="123"/>
      <c r="AE171" s="123"/>
      <c r="AF171" s="123"/>
      <c r="AH171" s="123"/>
      <c r="AI171" s="123"/>
      <c r="AL171" s="123"/>
      <c r="AM171" s="123"/>
      <c r="AR171" s="123"/>
      <c r="AS171" s="123"/>
      <c r="AU171" s="123"/>
      <c r="AV171" s="123"/>
    </row>
    <row r="172">
      <c r="A172" s="197"/>
      <c r="B172" s="197"/>
      <c r="AB172" s="123"/>
      <c r="AC172" s="123"/>
      <c r="AE172" s="123"/>
      <c r="AF172" s="123"/>
      <c r="AH172" s="123"/>
      <c r="AI172" s="123"/>
      <c r="AL172" s="123"/>
      <c r="AM172" s="123"/>
      <c r="AR172" s="123"/>
      <c r="AS172" s="123"/>
      <c r="AU172" s="123"/>
      <c r="AV172" s="123"/>
    </row>
    <row r="173">
      <c r="A173" s="197"/>
      <c r="B173" s="197"/>
      <c r="AB173" s="123"/>
      <c r="AC173" s="123"/>
      <c r="AE173" s="123"/>
      <c r="AF173" s="123"/>
      <c r="AH173" s="123"/>
      <c r="AI173" s="123"/>
      <c r="AL173" s="123"/>
      <c r="AM173" s="123"/>
      <c r="AR173" s="123"/>
      <c r="AS173" s="123"/>
      <c r="AU173" s="123"/>
      <c r="AV173" s="123"/>
    </row>
    <row r="174">
      <c r="A174" s="197"/>
      <c r="B174" s="197"/>
      <c r="AB174" s="123"/>
      <c r="AC174" s="123"/>
      <c r="AE174" s="123"/>
      <c r="AF174" s="123"/>
      <c r="AH174" s="123"/>
      <c r="AI174" s="123"/>
      <c r="AL174" s="123"/>
      <c r="AM174" s="123"/>
      <c r="AR174" s="123"/>
      <c r="AS174" s="123"/>
      <c r="AU174" s="123"/>
      <c r="AV174" s="123"/>
    </row>
    <row r="175">
      <c r="A175" s="197"/>
      <c r="B175" s="197"/>
      <c r="AB175" s="123"/>
      <c r="AC175" s="123"/>
      <c r="AE175" s="123"/>
      <c r="AF175" s="123"/>
      <c r="AH175" s="123"/>
      <c r="AI175" s="123"/>
      <c r="AL175" s="123"/>
      <c r="AM175" s="123"/>
      <c r="AR175" s="123"/>
      <c r="AS175" s="123"/>
      <c r="AU175" s="123"/>
      <c r="AV175" s="123"/>
    </row>
    <row r="176">
      <c r="A176" s="197"/>
      <c r="B176" s="197"/>
      <c r="AB176" s="123"/>
      <c r="AC176" s="123"/>
      <c r="AE176" s="123"/>
      <c r="AF176" s="123"/>
      <c r="AH176" s="123"/>
      <c r="AI176" s="123"/>
      <c r="AL176" s="123"/>
      <c r="AM176" s="123"/>
      <c r="AR176" s="123"/>
      <c r="AS176" s="123"/>
      <c r="AU176" s="123"/>
      <c r="AV176" s="123"/>
    </row>
    <row r="177">
      <c r="A177" s="197"/>
      <c r="B177" s="197"/>
      <c r="AB177" s="123"/>
      <c r="AC177" s="123"/>
      <c r="AE177" s="123"/>
      <c r="AF177" s="123"/>
      <c r="AH177" s="123"/>
      <c r="AI177" s="123"/>
      <c r="AL177" s="123"/>
      <c r="AM177" s="123"/>
      <c r="AR177" s="123"/>
      <c r="AS177" s="123"/>
      <c r="AU177" s="123"/>
      <c r="AV177" s="123"/>
    </row>
    <row r="178">
      <c r="A178" s="197"/>
      <c r="B178" s="197"/>
      <c r="AB178" s="123"/>
      <c r="AC178" s="123"/>
      <c r="AE178" s="123"/>
      <c r="AF178" s="123"/>
      <c r="AH178" s="123"/>
      <c r="AI178" s="123"/>
      <c r="AL178" s="123"/>
      <c r="AM178" s="123"/>
      <c r="AR178" s="123"/>
      <c r="AS178" s="123"/>
      <c r="AU178" s="123"/>
      <c r="AV178" s="123"/>
    </row>
    <row r="179">
      <c r="A179" s="197"/>
      <c r="B179" s="197"/>
      <c r="AB179" s="123"/>
      <c r="AC179" s="123"/>
      <c r="AE179" s="123"/>
      <c r="AF179" s="123"/>
      <c r="AH179" s="123"/>
      <c r="AI179" s="123"/>
      <c r="AL179" s="123"/>
      <c r="AM179" s="123"/>
      <c r="AR179" s="123"/>
      <c r="AS179" s="123"/>
      <c r="AU179" s="123"/>
      <c r="AV179" s="123"/>
    </row>
    <row r="180">
      <c r="A180" s="197"/>
      <c r="B180" s="197"/>
      <c r="AB180" s="123"/>
      <c r="AC180" s="123"/>
      <c r="AE180" s="123"/>
      <c r="AF180" s="123"/>
      <c r="AH180" s="123"/>
      <c r="AI180" s="123"/>
      <c r="AL180" s="123"/>
      <c r="AM180" s="123"/>
      <c r="AR180" s="123"/>
      <c r="AS180" s="123"/>
      <c r="AU180" s="123"/>
      <c r="AV180" s="123"/>
    </row>
    <row r="181">
      <c r="A181" s="197"/>
      <c r="B181" s="197"/>
      <c r="AB181" s="123"/>
      <c r="AC181" s="123"/>
      <c r="AE181" s="123"/>
      <c r="AF181" s="123"/>
      <c r="AH181" s="123"/>
      <c r="AI181" s="123"/>
      <c r="AL181" s="123"/>
      <c r="AM181" s="123"/>
      <c r="AR181" s="123"/>
      <c r="AS181" s="123"/>
      <c r="AU181" s="123"/>
      <c r="AV181" s="123"/>
    </row>
    <row r="182">
      <c r="A182" s="197"/>
      <c r="B182" s="197"/>
      <c r="AB182" s="123"/>
      <c r="AC182" s="123"/>
      <c r="AE182" s="123"/>
      <c r="AF182" s="123"/>
      <c r="AH182" s="123"/>
      <c r="AI182" s="123"/>
      <c r="AL182" s="123"/>
      <c r="AM182" s="123"/>
      <c r="AR182" s="123"/>
      <c r="AS182" s="123"/>
      <c r="AU182" s="123"/>
      <c r="AV182" s="123"/>
    </row>
    <row r="183">
      <c r="A183" s="197"/>
      <c r="B183" s="197"/>
      <c r="AB183" s="123"/>
      <c r="AC183" s="123"/>
      <c r="AE183" s="123"/>
      <c r="AF183" s="123"/>
      <c r="AH183" s="123"/>
      <c r="AI183" s="123"/>
      <c r="AL183" s="123"/>
      <c r="AM183" s="123"/>
      <c r="AR183" s="123"/>
      <c r="AS183" s="123"/>
      <c r="AU183" s="123"/>
      <c r="AV183" s="123"/>
    </row>
    <row r="184">
      <c r="A184" s="197"/>
      <c r="B184" s="197"/>
      <c r="AB184" s="123"/>
      <c r="AC184" s="123"/>
      <c r="AE184" s="123"/>
      <c r="AF184" s="123"/>
      <c r="AH184" s="123"/>
      <c r="AI184" s="123"/>
      <c r="AL184" s="123"/>
      <c r="AM184" s="123"/>
      <c r="AR184" s="123"/>
      <c r="AS184" s="123"/>
      <c r="AU184" s="123"/>
      <c r="AV184" s="123"/>
    </row>
    <row r="185">
      <c r="A185" s="197"/>
      <c r="B185" s="197"/>
      <c r="AB185" s="123"/>
      <c r="AC185" s="123"/>
      <c r="AE185" s="123"/>
      <c r="AF185" s="123"/>
      <c r="AH185" s="123"/>
      <c r="AI185" s="123"/>
      <c r="AL185" s="123"/>
      <c r="AM185" s="123"/>
      <c r="AR185" s="123"/>
      <c r="AS185" s="123"/>
      <c r="AU185" s="123"/>
      <c r="AV185" s="123"/>
    </row>
    <row r="186">
      <c r="A186" s="197"/>
      <c r="B186" s="197"/>
      <c r="AB186" s="123"/>
      <c r="AC186" s="123"/>
      <c r="AE186" s="123"/>
      <c r="AF186" s="123"/>
      <c r="AH186" s="123"/>
      <c r="AI186" s="123"/>
      <c r="AL186" s="123"/>
      <c r="AM186" s="123"/>
      <c r="AR186" s="123"/>
      <c r="AS186" s="123"/>
      <c r="AU186" s="123"/>
      <c r="AV186" s="123"/>
    </row>
    <row r="187">
      <c r="A187" s="197"/>
      <c r="B187" s="197"/>
      <c r="AB187" s="123"/>
      <c r="AC187" s="123"/>
      <c r="AE187" s="123"/>
      <c r="AF187" s="123"/>
      <c r="AH187" s="123"/>
      <c r="AI187" s="123"/>
      <c r="AL187" s="123"/>
      <c r="AM187" s="123"/>
      <c r="AR187" s="123"/>
      <c r="AS187" s="123"/>
      <c r="AU187" s="123"/>
      <c r="AV187" s="123"/>
    </row>
    <row r="188">
      <c r="A188" s="197"/>
      <c r="B188" s="197"/>
      <c r="AB188" s="123"/>
      <c r="AC188" s="123"/>
      <c r="AE188" s="123"/>
      <c r="AF188" s="123"/>
      <c r="AH188" s="123"/>
      <c r="AI188" s="123"/>
      <c r="AL188" s="123"/>
      <c r="AM188" s="123"/>
      <c r="AR188" s="123"/>
      <c r="AS188" s="123"/>
      <c r="AU188" s="123"/>
      <c r="AV188" s="123"/>
    </row>
    <row r="189">
      <c r="A189" s="197"/>
      <c r="B189" s="197"/>
      <c r="AB189" s="123"/>
      <c r="AC189" s="123"/>
      <c r="AE189" s="123"/>
      <c r="AF189" s="123"/>
      <c r="AH189" s="123"/>
      <c r="AI189" s="123"/>
      <c r="AL189" s="123"/>
      <c r="AM189" s="123"/>
      <c r="AR189" s="123"/>
      <c r="AS189" s="123"/>
      <c r="AU189" s="123"/>
      <c r="AV189" s="123"/>
    </row>
    <row r="190">
      <c r="A190" s="197"/>
      <c r="B190" s="197"/>
      <c r="AB190" s="123"/>
      <c r="AC190" s="123"/>
      <c r="AE190" s="123"/>
      <c r="AF190" s="123"/>
      <c r="AH190" s="123"/>
      <c r="AI190" s="123"/>
      <c r="AL190" s="123"/>
      <c r="AM190" s="123"/>
      <c r="AR190" s="123"/>
      <c r="AS190" s="123"/>
      <c r="AU190" s="123"/>
      <c r="AV190" s="123"/>
    </row>
    <row r="191">
      <c r="A191" s="197"/>
      <c r="B191" s="197"/>
      <c r="AB191" s="123"/>
      <c r="AC191" s="123"/>
      <c r="AE191" s="123"/>
      <c r="AF191" s="123"/>
      <c r="AH191" s="123"/>
      <c r="AI191" s="123"/>
      <c r="AL191" s="123"/>
      <c r="AM191" s="123"/>
      <c r="AR191" s="123"/>
      <c r="AS191" s="123"/>
      <c r="AU191" s="123"/>
      <c r="AV191" s="123"/>
    </row>
    <row r="192">
      <c r="A192" s="197"/>
      <c r="B192" s="197"/>
      <c r="AB192" s="123"/>
      <c r="AC192" s="123"/>
      <c r="AE192" s="123"/>
      <c r="AF192" s="123"/>
      <c r="AH192" s="123"/>
      <c r="AI192" s="123"/>
      <c r="AL192" s="123"/>
      <c r="AM192" s="123"/>
      <c r="AR192" s="123"/>
      <c r="AS192" s="123"/>
      <c r="AU192" s="123"/>
      <c r="AV192" s="123"/>
    </row>
    <row r="193">
      <c r="A193" s="197"/>
      <c r="B193" s="197"/>
      <c r="AB193" s="123"/>
      <c r="AC193" s="123"/>
      <c r="AE193" s="123"/>
      <c r="AF193" s="123"/>
      <c r="AH193" s="123"/>
      <c r="AI193" s="123"/>
      <c r="AL193" s="123"/>
      <c r="AM193" s="123"/>
      <c r="AR193" s="123"/>
      <c r="AS193" s="123"/>
      <c r="AU193" s="123"/>
      <c r="AV193" s="123"/>
    </row>
    <row r="194">
      <c r="A194" s="197"/>
      <c r="B194" s="197"/>
      <c r="AB194" s="123"/>
      <c r="AC194" s="123"/>
      <c r="AE194" s="123"/>
      <c r="AF194" s="123"/>
      <c r="AH194" s="123"/>
      <c r="AI194" s="123"/>
      <c r="AL194" s="123"/>
      <c r="AM194" s="123"/>
      <c r="AR194" s="123"/>
      <c r="AS194" s="123"/>
      <c r="AU194" s="123"/>
      <c r="AV194" s="123"/>
    </row>
    <row r="195">
      <c r="A195" s="197"/>
      <c r="B195" s="197"/>
      <c r="AB195" s="123"/>
      <c r="AC195" s="123"/>
      <c r="AE195" s="123"/>
      <c r="AF195" s="123"/>
      <c r="AH195" s="123"/>
      <c r="AI195" s="123"/>
      <c r="AL195" s="123"/>
      <c r="AM195" s="123"/>
      <c r="AR195" s="123"/>
      <c r="AS195" s="123"/>
      <c r="AU195" s="123"/>
      <c r="AV195" s="123"/>
    </row>
    <row r="196">
      <c r="A196" s="197"/>
      <c r="B196" s="197"/>
      <c r="AB196" s="123"/>
      <c r="AC196" s="123"/>
      <c r="AE196" s="123"/>
      <c r="AF196" s="123"/>
      <c r="AH196" s="123"/>
      <c r="AI196" s="123"/>
      <c r="AL196" s="123"/>
      <c r="AM196" s="123"/>
      <c r="AR196" s="123"/>
      <c r="AS196" s="123"/>
      <c r="AU196" s="123"/>
      <c r="AV196" s="123"/>
    </row>
    <row r="197">
      <c r="A197" s="197"/>
      <c r="B197" s="197"/>
      <c r="AB197" s="123"/>
      <c r="AC197" s="123"/>
      <c r="AE197" s="123"/>
      <c r="AF197" s="123"/>
      <c r="AH197" s="123"/>
      <c r="AI197" s="123"/>
      <c r="AL197" s="123"/>
      <c r="AM197" s="123"/>
      <c r="AR197" s="123"/>
      <c r="AS197" s="123"/>
      <c r="AU197" s="123"/>
      <c r="AV197" s="123"/>
    </row>
    <row r="198">
      <c r="A198" s="197"/>
      <c r="B198" s="197"/>
      <c r="AB198" s="123"/>
      <c r="AC198" s="123"/>
      <c r="AE198" s="123"/>
      <c r="AF198" s="123"/>
      <c r="AH198" s="123"/>
      <c r="AI198" s="123"/>
      <c r="AL198" s="123"/>
      <c r="AM198" s="123"/>
      <c r="AR198" s="123"/>
      <c r="AS198" s="123"/>
      <c r="AU198" s="123"/>
      <c r="AV198" s="123"/>
    </row>
    <row r="199">
      <c r="A199" s="197"/>
      <c r="B199" s="197"/>
      <c r="AB199" s="123"/>
      <c r="AC199" s="123"/>
      <c r="AE199" s="123"/>
      <c r="AF199" s="123"/>
      <c r="AH199" s="123"/>
      <c r="AI199" s="123"/>
      <c r="AL199" s="123"/>
      <c r="AM199" s="123"/>
      <c r="AR199" s="123"/>
      <c r="AS199" s="123"/>
      <c r="AU199" s="123"/>
      <c r="AV199" s="123"/>
    </row>
    <row r="200">
      <c r="A200" s="197"/>
      <c r="B200" s="197"/>
      <c r="AB200" s="123"/>
      <c r="AC200" s="123"/>
      <c r="AE200" s="123"/>
      <c r="AF200" s="123"/>
      <c r="AH200" s="123"/>
      <c r="AI200" s="123"/>
      <c r="AL200" s="123"/>
      <c r="AM200" s="123"/>
      <c r="AR200" s="123"/>
      <c r="AS200" s="123"/>
      <c r="AU200" s="123"/>
      <c r="AV200" s="123"/>
    </row>
    <row r="201">
      <c r="A201" s="197"/>
      <c r="B201" s="197"/>
      <c r="AB201" s="123"/>
      <c r="AC201" s="123"/>
      <c r="AE201" s="123"/>
      <c r="AF201" s="123"/>
      <c r="AH201" s="123"/>
      <c r="AI201" s="123"/>
      <c r="AL201" s="123"/>
      <c r="AM201" s="123"/>
      <c r="AR201" s="123"/>
      <c r="AS201" s="123"/>
      <c r="AU201" s="123"/>
      <c r="AV201" s="123"/>
    </row>
    <row r="202">
      <c r="A202" s="197"/>
      <c r="B202" s="197"/>
      <c r="AB202" s="123"/>
      <c r="AC202" s="123"/>
      <c r="AE202" s="123"/>
      <c r="AF202" s="123"/>
      <c r="AH202" s="123"/>
      <c r="AI202" s="123"/>
      <c r="AL202" s="123"/>
      <c r="AM202" s="123"/>
      <c r="AR202" s="123"/>
      <c r="AS202" s="123"/>
      <c r="AU202" s="123"/>
      <c r="AV202" s="123"/>
    </row>
    <row r="203">
      <c r="A203" s="197"/>
      <c r="B203" s="197"/>
      <c r="AB203" s="123"/>
      <c r="AC203" s="123"/>
      <c r="AE203" s="123"/>
      <c r="AF203" s="123"/>
      <c r="AH203" s="123"/>
      <c r="AI203" s="123"/>
      <c r="AL203" s="123"/>
      <c r="AM203" s="123"/>
      <c r="AR203" s="123"/>
      <c r="AS203" s="123"/>
      <c r="AU203" s="123"/>
      <c r="AV203" s="123"/>
    </row>
    <row r="204">
      <c r="A204" s="197"/>
      <c r="B204" s="197"/>
      <c r="AB204" s="123"/>
      <c r="AC204" s="123"/>
      <c r="AE204" s="123"/>
      <c r="AF204" s="123"/>
      <c r="AH204" s="123"/>
      <c r="AI204" s="123"/>
      <c r="AL204" s="123"/>
      <c r="AM204" s="123"/>
      <c r="AR204" s="123"/>
      <c r="AS204" s="123"/>
      <c r="AU204" s="123"/>
      <c r="AV204" s="123"/>
    </row>
    <row r="205">
      <c r="A205" s="197"/>
      <c r="B205" s="197"/>
      <c r="AB205" s="123"/>
      <c r="AC205" s="123"/>
      <c r="AE205" s="123"/>
      <c r="AF205" s="123"/>
      <c r="AH205" s="123"/>
      <c r="AI205" s="123"/>
      <c r="AL205" s="123"/>
      <c r="AM205" s="123"/>
      <c r="AR205" s="123"/>
      <c r="AS205" s="123"/>
      <c r="AU205" s="123"/>
      <c r="AV205" s="123"/>
    </row>
    <row r="206">
      <c r="A206" s="197"/>
      <c r="B206" s="197"/>
      <c r="AB206" s="123"/>
      <c r="AC206" s="123"/>
      <c r="AE206" s="123"/>
      <c r="AF206" s="123"/>
      <c r="AH206" s="123"/>
      <c r="AI206" s="123"/>
      <c r="AL206" s="123"/>
      <c r="AM206" s="123"/>
      <c r="AR206" s="123"/>
      <c r="AS206" s="123"/>
      <c r="AU206" s="123"/>
      <c r="AV206" s="123"/>
    </row>
    <row r="207">
      <c r="A207" s="197"/>
      <c r="B207" s="197"/>
      <c r="AB207" s="123"/>
      <c r="AC207" s="123"/>
      <c r="AE207" s="123"/>
      <c r="AF207" s="123"/>
      <c r="AH207" s="123"/>
      <c r="AI207" s="123"/>
      <c r="AL207" s="123"/>
      <c r="AM207" s="123"/>
      <c r="AR207" s="123"/>
      <c r="AS207" s="123"/>
      <c r="AU207" s="123"/>
      <c r="AV207" s="123"/>
    </row>
    <row r="208">
      <c r="A208" s="197"/>
      <c r="B208" s="197"/>
      <c r="AB208" s="123"/>
      <c r="AC208" s="123"/>
      <c r="AE208" s="123"/>
      <c r="AF208" s="123"/>
      <c r="AH208" s="123"/>
      <c r="AI208" s="123"/>
      <c r="AL208" s="123"/>
      <c r="AM208" s="123"/>
      <c r="AR208" s="123"/>
      <c r="AS208" s="123"/>
      <c r="AU208" s="123"/>
      <c r="AV208" s="123"/>
    </row>
    <row r="209">
      <c r="A209" s="197"/>
      <c r="B209" s="197"/>
      <c r="AB209" s="123"/>
      <c r="AC209" s="123"/>
      <c r="AE209" s="123"/>
      <c r="AF209" s="123"/>
      <c r="AH209" s="123"/>
      <c r="AI209" s="123"/>
      <c r="AL209" s="123"/>
      <c r="AM209" s="123"/>
      <c r="AR209" s="123"/>
      <c r="AS209" s="123"/>
      <c r="AU209" s="123"/>
      <c r="AV209" s="123"/>
    </row>
    <row r="210">
      <c r="A210" s="197"/>
      <c r="B210" s="197"/>
      <c r="AB210" s="123"/>
      <c r="AC210" s="123"/>
      <c r="AE210" s="123"/>
      <c r="AF210" s="123"/>
      <c r="AH210" s="123"/>
      <c r="AI210" s="123"/>
      <c r="AL210" s="123"/>
      <c r="AM210" s="123"/>
      <c r="AR210" s="123"/>
      <c r="AS210" s="123"/>
      <c r="AU210" s="123"/>
      <c r="AV210" s="123"/>
    </row>
    <row r="211">
      <c r="A211" s="197"/>
      <c r="B211" s="197"/>
      <c r="AB211" s="123"/>
      <c r="AC211" s="123"/>
      <c r="AE211" s="123"/>
      <c r="AF211" s="123"/>
      <c r="AH211" s="123"/>
      <c r="AI211" s="123"/>
      <c r="AL211" s="123"/>
      <c r="AM211" s="123"/>
      <c r="AR211" s="123"/>
      <c r="AS211" s="123"/>
      <c r="AU211" s="123"/>
      <c r="AV211" s="123"/>
    </row>
    <row r="212">
      <c r="A212" s="197"/>
      <c r="B212" s="197"/>
      <c r="AB212" s="123"/>
      <c r="AC212" s="123"/>
      <c r="AE212" s="123"/>
      <c r="AF212" s="123"/>
      <c r="AH212" s="123"/>
      <c r="AI212" s="123"/>
      <c r="AL212" s="123"/>
      <c r="AM212" s="123"/>
      <c r="AR212" s="123"/>
      <c r="AS212" s="123"/>
      <c r="AU212" s="123"/>
      <c r="AV212" s="123"/>
    </row>
    <row r="213">
      <c r="A213" s="197"/>
      <c r="B213" s="197"/>
      <c r="AB213" s="123"/>
      <c r="AC213" s="123"/>
      <c r="AE213" s="123"/>
      <c r="AF213" s="123"/>
      <c r="AH213" s="123"/>
      <c r="AI213" s="123"/>
      <c r="AL213" s="123"/>
      <c r="AM213" s="123"/>
      <c r="AR213" s="123"/>
      <c r="AS213" s="123"/>
      <c r="AU213" s="123"/>
      <c r="AV213" s="123"/>
    </row>
    <row r="214">
      <c r="A214" s="197"/>
      <c r="B214" s="197"/>
      <c r="AB214" s="123"/>
      <c r="AC214" s="123"/>
      <c r="AE214" s="123"/>
      <c r="AF214" s="123"/>
      <c r="AH214" s="123"/>
      <c r="AI214" s="123"/>
      <c r="AL214" s="123"/>
      <c r="AM214" s="123"/>
      <c r="AR214" s="123"/>
      <c r="AS214" s="123"/>
      <c r="AU214" s="123"/>
      <c r="AV214" s="123"/>
    </row>
    <row r="215">
      <c r="A215" s="197"/>
      <c r="B215" s="197"/>
      <c r="AB215" s="123"/>
      <c r="AC215" s="123"/>
      <c r="AE215" s="123"/>
      <c r="AF215" s="123"/>
      <c r="AH215" s="123"/>
      <c r="AI215" s="123"/>
      <c r="AL215" s="123"/>
      <c r="AM215" s="123"/>
      <c r="AR215" s="123"/>
      <c r="AS215" s="123"/>
      <c r="AU215" s="123"/>
      <c r="AV215" s="123"/>
    </row>
    <row r="216">
      <c r="A216" s="197"/>
      <c r="B216" s="197"/>
      <c r="AB216" s="123"/>
      <c r="AC216" s="123"/>
      <c r="AE216" s="123"/>
      <c r="AF216" s="123"/>
      <c r="AH216" s="123"/>
      <c r="AI216" s="123"/>
      <c r="AL216" s="123"/>
      <c r="AM216" s="123"/>
      <c r="AR216" s="123"/>
      <c r="AS216" s="123"/>
      <c r="AU216" s="123"/>
      <c r="AV216" s="123"/>
    </row>
    <row r="217">
      <c r="A217" s="197"/>
      <c r="B217" s="197"/>
      <c r="AB217" s="123"/>
      <c r="AC217" s="123"/>
      <c r="AE217" s="123"/>
      <c r="AF217" s="123"/>
      <c r="AH217" s="123"/>
      <c r="AI217" s="123"/>
      <c r="AL217" s="123"/>
      <c r="AM217" s="123"/>
      <c r="AR217" s="123"/>
      <c r="AS217" s="123"/>
      <c r="AU217" s="123"/>
      <c r="AV217" s="123"/>
    </row>
    <row r="218">
      <c r="A218" s="197"/>
      <c r="B218" s="197"/>
      <c r="AB218" s="123"/>
      <c r="AC218" s="123"/>
      <c r="AE218" s="123"/>
      <c r="AF218" s="123"/>
      <c r="AH218" s="123"/>
      <c r="AI218" s="123"/>
      <c r="AL218" s="123"/>
      <c r="AM218" s="123"/>
      <c r="AR218" s="123"/>
      <c r="AS218" s="123"/>
      <c r="AU218" s="123"/>
      <c r="AV218" s="123"/>
    </row>
    <row r="219">
      <c r="A219" s="197"/>
      <c r="B219" s="197"/>
      <c r="AB219" s="123"/>
      <c r="AC219" s="123"/>
      <c r="AE219" s="123"/>
      <c r="AF219" s="123"/>
      <c r="AH219" s="123"/>
      <c r="AI219" s="123"/>
      <c r="AL219" s="123"/>
      <c r="AM219" s="123"/>
      <c r="AR219" s="123"/>
      <c r="AS219" s="123"/>
      <c r="AU219" s="123"/>
      <c r="AV219" s="123"/>
    </row>
    <row r="220">
      <c r="A220" s="197"/>
      <c r="B220" s="197"/>
      <c r="AB220" s="123"/>
      <c r="AC220" s="123"/>
      <c r="AE220" s="123"/>
      <c r="AF220" s="123"/>
      <c r="AH220" s="123"/>
      <c r="AI220" s="123"/>
      <c r="AL220" s="123"/>
      <c r="AM220" s="123"/>
      <c r="AR220" s="123"/>
      <c r="AS220" s="123"/>
      <c r="AU220" s="123"/>
      <c r="AV220" s="123"/>
    </row>
    <row r="221">
      <c r="A221" s="197"/>
      <c r="B221" s="197"/>
      <c r="AB221" s="123"/>
      <c r="AC221" s="123"/>
      <c r="AE221" s="123"/>
      <c r="AF221" s="123"/>
      <c r="AH221" s="123"/>
      <c r="AI221" s="123"/>
      <c r="AL221" s="123"/>
      <c r="AM221" s="123"/>
      <c r="AR221" s="123"/>
      <c r="AS221" s="123"/>
      <c r="AU221" s="123"/>
      <c r="AV221" s="123"/>
    </row>
    <row r="222">
      <c r="A222" s="197"/>
      <c r="B222" s="197"/>
      <c r="AB222" s="123"/>
      <c r="AC222" s="123"/>
      <c r="AE222" s="123"/>
      <c r="AF222" s="123"/>
      <c r="AH222" s="123"/>
      <c r="AI222" s="123"/>
      <c r="AL222" s="123"/>
      <c r="AM222" s="123"/>
      <c r="AR222" s="123"/>
      <c r="AS222" s="123"/>
      <c r="AU222" s="123"/>
      <c r="AV222" s="123"/>
    </row>
    <row r="223">
      <c r="A223" s="197"/>
      <c r="B223" s="197"/>
      <c r="AB223" s="123"/>
      <c r="AC223" s="123"/>
      <c r="AE223" s="123"/>
      <c r="AF223" s="123"/>
      <c r="AH223" s="123"/>
      <c r="AI223" s="123"/>
      <c r="AL223" s="123"/>
      <c r="AM223" s="123"/>
      <c r="AR223" s="123"/>
      <c r="AS223" s="123"/>
      <c r="AU223" s="123"/>
      <c r="AV223" s="123"/>
    </row>
    <row r="224">
      <c r="A224" s="197"/>
      <c r="B224" s="197"/>
      <c r="AB224" s="123"/>
      <c r="AC224" s="123"/>
      <c r="AE224" s="123"/>
      <c r="AF224" s="123"/>
      <c r="AH224" s="123"/>
      <c r="AI224" s="123"/>
      <c r="AL224" s="123"/>
      <c r="AM224" s="123"/>
      <c r="AR224" s="123"/>
      <c r="AS224" s="123"/>
      <c r="AU224" s="123"/>
      <c r="AV224" s="123"/>
    </row>
    <row r="225">
      <c r="A225" s="197"/>
      <c r="B225" s="197"/>
      <c r="AB225" s="123"/>
      <c r="AC225" s="123"/>
      <c r="AE225" s="123"/>
      <c r="AF225" s="123"/>
      <c r="AH225" s="123"/>
      <c r="AI225" s="123"/>
      <c r="AL225" s="123"/>
      <c r="AM225" s="123"/>
      <c r="AR225" s="123"/>
      <c r="AS225" s="123"/>
      <c r="AU225" s="123"/>
      <c r="AV225" s="123"/>
    </row>
    <row r="226">
      <c r="A226" s="197"/>
      <c r="B226" s="197"/>
      <c r="AB226" s="123"/>
      <c r="AC226" s="123"/>
      <c r="AE226" s="123"/>
      <c r="AF226" s="123"/>
      <c r="AH226" s="123"/>
      <c r="AI226" s="123"/>
      <c r="AL226" s="123"/>
      <c r="AM226" s="123"/>
      <c r="AR226" s="123"/>
      <c r="AS226" s="123"/>
      <c r="AU226" s="123"/>
      <c r="AV226" s="123"/>
    </row>
    <row r="227">
      <c r="A227" s="197"/>
      <c r="B227" s="197"/>
      <c r="AB227" s="123"/>
      <c r="AC227" s="123"/>
      <c r="AE227" s="123"/>
      <c r="AF227" s="123"/>
      <c r="AH227" s="123"/>
      <c r="AI227" s="123"/>
      <c r="AL227" s="123"/>
      <c r="AM227" s="123"/>
      <c r="AR227" s="123"/>
      <c r="AS227" s="123"/>
      <c r="AU227" s="123"/>
      <c r="AV227" s="123"/>
    </row>
    <row r="228">
      <c r="A228" s="197"/>
      <c r="B228" s="197"/>
      <c r="AB228" s="123"/>
      <c r="AC228" s="123"/>
      <c r="AE228" s="123"/>
      <c r="AF228" s="123"/>
      <c r="AH228" s="123"/>
      <c r="AI228" s="123"/>
      <c r="AL228" s="123"/>
      <c r="AM228" s="123"/>
      <c r="AR228" s="123"/>
      <c r="AS228" s="123"/>
      <c r="AU228" s="123"/>
      <c r="AV228" s="123"/>
    </row>
    <row r="229">
      <c r="A229" s="197"/>
      <c r="B229" s="197"/>
      <c r="AB229" s="123"/>
      <c r="AC229" s="123"/>
      <c r="AE229" s="123"/>
      <c r="AF229" s="123"/>
      <c r="AH229" s="123"/>
      <c r="AI229" s="123"/>
      <c r="AL229" s="123"/>
      <c r="AM229" s="123"/>
      <c r="AR229" s="123"/>
      <c r="AS229" s="123"/>
      <c r="AU229" s="123"/>
      <c r="AV229" s="123"/>
    </row>
    <row r="230">
      <c r="A230" s="197"/>
      <c r="B230" s="197"/>
      <c r="AB230" s="123"/>
      <c r="AC230" s="123"/>
      <c r="AE230" s="123"/>
      <c r="AF230" s="123"/>
      <c r="AH230" s="123"/>
      <c r="AI230" s="123"/>
      <c r="AL230" s="123"/>
      <c r="AM230" s="123"/>
      <c r="AR230" s="123"/>
      <c r="AS230" s="123"/>
      <c r="AU230" s="123"/>
      <c r="AV230" s="123"/>
    </row>
    <row r="231">
      <c r="A231" s="197"/>
      <c r="B231" s="197"/>
      <c r="AB231" s="123"/>
      <c r="AC231" s="123"/>
      <c r="AE231" s="123"/>
      <c r="AF231" s="123"/>
      <c r="AH231" s="123"/>
      <c r="AI231" s="123"/>
      <c r="AL231" s="123"/>
      <c r="AM231" s="123"/>
      <c r="AR231" s="123"/>
      <c r="AS231" s="123"/>
      <c r="AU231" s="123"/>
      <c r="AV231" s="123"/>
    </row>
    <row r="232">
      <c r="A232" s="197"/>
      <c r="B232" s="197"/>
      <c r="AB232" s="123"/>
      <c r="AC232" s="123"/>
      <c r="AE232" s="123"/>
      <c r="AF232" s="123"/>
      <c r="AH232" s="123"/>
      <c r="AI232" s="123"/>
      <c r="AL232" s="123"/>
      <c r="AM232" s="123"/>
      <c r="AR232" s="123"/>
      <c r="AS232" s="123"/>
      <c r="AU232" s="123"/>
      <c r="AV232" s="123"/>
    </row>
    <row r="233">
      <c r="A233" s="197"/>
      <c r="B233" s="197"/>
      <c r="AB233" s="123"/>
      <c r="AC233" s="123"/>
      <c r="AE233" s="123"/>
      <c r="AF233" s="123"/>
      <c r="AH233" s="123"/>
      <c r="AI233" s="123"/>
      <c r="AL233" s="123"/>
      <c r="AM233" s="123"/>
      <c r="AR233" s="123"/>
      <c r="AS233" s="123"/>
      <c r="AU233" s="123"/>
      <c r="AV233" s="123"/>
    </row>
    <row r="234">
      <c r="A234" s="197"/>
      <c r="B234" s="197"/>
      <c r="AB234" s="123"/>
      <c r="AC234" s="123"/>
      <c r="AE234" s="123"/>
      <c r="AF234" s="123"/>
      <c r="AH234" s="123"/>
      <c r="AI234" s="123"/>
      <c r="AL234" s="123"/>
      <c r="AM234" s="123"/>
      <c r="AR234" s="123"/>
      <c r="AS234" s="123"/>
      <c r="AU234" s="123"/>
      <c r="AV234" s="123"/>
    </row>
    <row r="235">
      <c r="A235" s="197"/>
      <c r="B235" s="197"/>
      <c r="AB235" s="123"/>
      <c r="AC235" s="123"/>
      <c r="AE235" s="123"/>
      <c r="AF235" s="123"/>
      <c r="AH235" s="123"/>
      <c r="AI235" s="123"/>
      <c r="AL235" s="123"/>
      <c r="AM235" s="123"/>
      <c r="AR235" s="123"/>
      <c r="AS235" s="123"/>
      <c r="AU235" s="123"/>
      <c r="AV235" s="123"/>
    </row>
    <row r="236">
      <c r="A236" s="197"/>
      <c r="B236" s="197"/>
      <c r="AB236" s="123"/>
      <c r="AC236" s="123"/>
      <c r="AE236" s="123"/>
      <c r="AF236" s="123"/>
      <c r="AH236" s="123"/>
      <c r="AI236" s="123"/>
      <c r="AL236" s="123"/>
      <c r="AM236" s="123"/>
      <c r="AR236" s="123"/>
      <c r="AS236" s="123"/>
      <c r="AU236" s="123"/>
      <c r="AV236" s="123"/>
    </row>
    <row r="237">
      <c r="A237" s="197"/>
      <c r="B237" s="197"/>
      <c r="AB237" s="123"/>
      <c r="AC237" s="123"/>
      <c r="AE237" s="123"/>
      <c r="AF237" s="123"/>
      <c r="AH237" s="123"/>
      <c r="AI237" s="123"/>
      <c r="AL237" s="123"/>
      <c r="AM237" s="123"/>
      <c r="AR237" s="123"/>
      <c r="AS237" s="123"/>
      <c r="AU237" s="123"/>
      <c r="AV237" s="123"/>
    </row>
    <row r="238">
      <c r="A238" s="197"/>
      <c r="B238" s="197"/>
      <c r="AB238" s="123"/>
      <c r="AC238" s="123"/>
      <c r="AE238" s="123"/>
      <c r="AF238" s="123"/>
      <c r="AH238" s="123"/>
      <c r="AI238" s="123"/>
      <c r="AL238" s="123"/>
      <c r="AM238" s="123"/>
      <c r="AR238" s="123"/>
      <c r="AS238" s="123"/>
      <c r="AU238" s="123"/>
      <c r="AV238" s="123"/>
    </row>
    <row r="239">
      <c r="A239" s="197"/>
      <c r="B239" s="197"/>
      <c r="AB239" s="123"/>
      <c r="AC239" s="123"/>
      <c r="AE239" s="123"/>
      <c r="AF239" s="123"/>
      <c r="AH239" s="123"/>
      <c r="AI239" s="123"/>
      <c r="AL239" s="123"/>
      <c r="AM239" s="123"/>
      <c r="AR239" s="123"/>
      <c r="AS239" s="123"/>
      <c r="AU239" s="123"/>
      <c r="AV239" s="123"/>
    </row>
    <row r="240">
      <c r="A240" s="197"/>
      <c r="B240" s="197"/>
      <c r="AB240" s="123"/>
      <c r="AC240" s="123"/>
      <c r="AE240" s="123"/>
      <c r="AF240" s="123"/>
      <c r="AH240" s="123"/>
      <c r="AI240" s="123"/>
      <c r="AL240" s="123"/>
      <c r="AM240" s="123"/>
      <c r="AR240" s="123"/>
      <c r="AS240" s="123"/>
      <c r="AU240" s="123"/>
      <c r="AV240" s="123"/>
    </row>
    <row r="241">
      <c r="A241" s="197"/>
      <c r="B241" s="197"/>
      <c r="AB241" s="123"/>
      <c r="AC241" s="123"/>
      <c r="AE241" s="123"/>
      <c r="AF241" s="123"/>
      <c r="AH241" s="123"/>
      <c r="AI241" s="123"/>
      <c r="AL241" s="123"/>
      <c r="AM241" s="123"/>
      <c r="AR241" s="123"/>
      <c r="AS241" s="123"/>
      <c r="AU241" s="123"/>
      <c r="AV241" s="123"/>
    </row>
    <row r="242">
      <c r="A242" s="197"/>
      <c r="B242" s="197"/>
      <c r="AB242" s="123"/>
      <c r="AC242" s="123"/>
      <c r="AE242" s="123"/>
      <c r="AF242" s="123"/>
      <c r="AH242" s="123"/>
      <c r="AI242" s="123"/>
      <c r="AL242" s="123"/>
      <c r="AM242" s="123"/>
      <c r="AR242" s="123"/>
      <c r="AS242" s="123"/>
      <c r="AU242" s="123"/>
      <c r="AV242" s="123"/>
    </row>
    <row r="243">
      <c r="A243" s="197"/>
      <c r="B243" s="197"/>
      <c r="AB243" s="123"/>
      <c r="AC243" s="123"/>
      <c r="AE243" s="123"/>
      <c r="AF243" s="123"/>
      <c r="AH243" s="123"/>
      <c r="AI243" s="123"/>
      <c r="AL243" s="123"/>
      <c r="AM243" s="123"/>
      <c r="AR243" s="123"/>
      <c r="AS243" s="123"/>
      <c r="AU243" s="123"/>
      <c r="AV243" s="123"/>
    </row>
    <row r="244">
      <c r="A244" s="197"/>
      <c r="B244" s="197"/>
      <c r="AB244" s="123"/>
      <c r="AC244" s="123"/>
      <c r="AE244" s="123"/>
      <c r="AF244" s="123"/>
      <c r="AH244" s="123"/>
      <c r="AI244" s="123"/>
      <c r="AL244" s="123"/>
      <c r="AM244" s="123"/>
      <c r="AR244" s="123"/>
      <c r="AS244" s="123"/>
      <c r="AU244" s="123"/>
      <c r="AV244" s="123"/>
    </row>
    <row r="245">
      <c r="A245" s="197"/>
      <c r="B245" s="197"/>
      <c r="AB245" s="123"/>
      <c r="AC245" s="123"/>
      <c r="AE245" s="123"/>
      <c r="AF245" s="123"/>
      <c r="AH245" s="123"/>
      <c r="AI245" s="123"/>
      <c r="AL245" s="123"/>
      <c r="AM245" s="123"/>
      <c r="AR245" s="123"/>
      <c r="AS245" s="123"/>
      <c r="AU245" s="123"/>
      <c r="AV245" s="123"/>
    </row>
    <row r="246">
      <c r="A246" s="197"/>
      <c r="B246" s="197"/>
      <c r="AB246" s="123"/>
      <c r="AC246" s="123"/>
      <c r="AE246" s="123"/>
      <c r="AF246" s="123"/>
      <c r="AH246" s="123"/>
      <c r="AI246" s="123"/>
      <c r="AL246" s="123"/>
      <c r="AM246" s="123"/>
      <c r="AR246" s="123"/>
      <c r="AS246" s="123"/>
      <c r="AU246" s="123"/>
      <c r="AV246" s="123"/>
    </row>
    <row r="247">
      <c r="A247" s="197"/>
      <c r="B247" s="197"/>
      <c r="AB247" s="123"/>
      <c r="AC247" s="123"/>
      <c r="AE247" s="123"/>
      <c r="AF247" s="123"/>
      <c r="AH247" s="123"/>
      <c r="AI247" s="123"/>
      <c r="AL247" s="123"/>
      <c r="AM247" s="123"/>
      <c r="AR247" s="123"/>
      <c r="AS247" s="123"/>
      <c r="AU247" s="123"/>
      <c r="AV247" s="123"/>
    </row>
    <row r="248">
      <c r="A248" s="197"/>
      <c r="B248" s="197"/>
      <c r="AB248" s="123"/>
      <c r="AC248" s="123"/>
      <c r="AE248" s="123"/>
      <c r="AF248" s="123"/>
      <c r="AH248" s="123"/>
      <c r="AI248" s="123"/>
      <c r="AL248" s="123"/>
      <c r="AM248" s="123"/>
      <c r="AR248" s="123"/>
      <c r="AS248" s="123"/>
      <c r="AU248" s="123"/>
      <c r="AV248" s="123"/>
    </row>
    <row r="249">
      <c r="A249" s="197"/>
      <c r="B249" s="197"/>
      <c r="AB249" s="123"/>
      <c r="AC249" s="123"/>
      <c r="AE249" s="123"/>
      <c r="AF249" s="123"/>
      <c r="AH249" s="123"/>
      <c r="AI249" s="123"/>
      <c r="AL249" s="123"/>
      <c r="AM249" s="123"/>
      <c r="AR249" s="123"/>
      <c r="AS249" s="123"/>
      <c r="AU249" s="123"/>
      <c r="AV249" s="123"/>
    </row>
    <row r="250">
      <c r="A250" s="197"/>
      <c r="B250" s="197"/>
      <c r="AB250" s="123"/>
      <c r="AC250" s="123"/>
      <c r="AE250" s="123"/>
      <c r="AF250" s="123"/>
      <c r="AH250" s="123"/>
      <c r="AI250" s="123"/>
      <c r="AL250" s="123"/>
      <c r="AM250" s="123"/>
      <c r="AR250" s="123"/>
      <c r="AS250" s="123"/>
      <c r="AU250" s="123"/>
      <c r="AV250" s="123"/>
    </row>
    <row r="251">
      <c r="A251" s="197"/>
      <c r="B251" s="197"/>
      <c r="AB251" s="123"/>
      <c r="AC251" s="123"/>
      <c r="AE251" s="123"/>
      <c r="AF251" s="123"/>
      <c r="AH251" s="123"/>
      <c r="AI251" s="123"/>
      <c r="AL251" s="123"/>
      <c r="AM251" s="123"/>
      <c r="AR251" s="123"/>
      <c r="AS251" s="123"/>
      <c r="AU251" s="123"/>
      <c r="AV251" s="123"/>
    </row>
    <row r="252">
      <c r="A252" s="197"/>
      <c r="B252" s="197"/>
      <c r="AB252" s="123"/>
      <c r="AC252" s="123"/>
      <c r="AE252" s="123"/>
      <c r="AF252" s="123"/>
      <c r="AH252" s="123"/>
      <c r="AI252" s="123"/>
      <c r="AL252" s="123"/>
      <c r="AM252" s="123"/>
      <c r="AR252" s="123"/>
      <c r="AS252" s="123"/>
      <c r="AU252" s="123"/>
      <c r="AV252" s="123"/>
    </row>
    <row r="253">
      <c r="A253" s="197"/>
      <c r="B253" s="197"/>
      <c r="AB253" s="123"/>
      <c r="AC253" s="123"/>
      <c r="AE253" s="123"/>
      <c r="AF253" s="123"/>
      <c r="AH253" s="123"/>
      <c r="AI253" s="123"/>
      <c r="AL253" s="123"/>
      <c r="AM253" s="123"/>
      <c r="AR253" s="123"/>
      <c r="AS253" s="123"/>
      <c r="AU253" s="123"/>
      <c r="AV253" s="123"/>
    </row>
    <row r="254">
      <c r="A254" s="197"/>
      <c r="B254" s="197"/>
      <c r="AB254" s="123"/>
      <c r="AC254" s="123"/>
      <c r="AE254" s="123"/>
      <c r="AF254" s="123"/>
      <c r="AH254" s="123"/>
      <c r="AI254" s="123"/>
      <c r="AL254" s="123"/>
      <c r="AM254" s="123"/>
      <c r="AR254" s="123"/>
      <c r="AS254" s="123"/>
      <c r="AU254" s="123"/>
      <c r="AV254" s="123"/>
    </row>
    <row r="255">
      <c r="A255" s="197"/>
      <c r="B255" s="197"/>
      <c r="AB255" s="123"/>
      <c r="AC255" s="123"/>
      <c r="AE255" s="123"/>
      <c r="AF255" s="123"/>
      <c r="AH255" s="123"/>
      <c r="AI255" s="123"/>
      <c r="AL255" s="123"/>
      <c r="AM255" s="123"/>
      <c r="AR255" s="123"/>
      <c r="AS255" s="123"/>
      <c r="AU255" s="123"/>
      <c r="AV255" s="123"/>
    </row>
    <row r="256">
      <c r="A256" s="197"/>
      <c r="B256" s="197"/>
      <c r="AB256" s="123"/>
      <c r="AC256" s="123"/>
      <c r="AE256" s="123"/>
      <c r="AF256" s="123"/>
      <c r="AH256" s="123"/>
      <c r="AI256" s="123"/>
      <c r="AL256" s="123"/>
      <c r="AM256" s="123"/>
      <c r="AR256" s="123"/>
      <c r="AS256" s="123"/>
      <c r="AU256" s="123"/>
      <c r="AV256" s="123"/>
    </row>
    <row r="257">
      <c r="A257" s="197"/>
      <c r="B257" s="197"/>
      <c r="AB257" s="123"/>
      <c r="AC257" s="123"/>
      <c r="AE257" s="123"/>
      <c r="AF257" s="123"/>
      <c r="AH257" s="123"/>
      <c r="AI257" s="123"/>
      <c r="AL257" s="123"/>
      <c r="AM257" s="123"/>
      <c r="AR257" s="123"/>
      <c r="AS257" s="123"/>
      <c r="AU257" s="123"/>
      <c r="AV257" s="123"/>
    </row>
    <row r="258">
      <c r="A258" s="197"/>
      <c r="B258" s="197"/>
      <c r="AB258" s="123"/>
      <c r="AC258" s="123"/>
      <c r="AE258" s="123"/>
      <c r="AF258" s="123"/>
      <c r="AH258" s="123"/>
      <c r="AI258" s="123"/>
      <c r="AL258" s="123"/>
      <c r="AM258" s="123"/>
      <c r="AR258" s="123"/>
      <c r="AS258" s="123"/>
      <c r="AU258" s="123"/>
      <c r="AV258" s="123"/>
    </row>
    <row r="259">
      <c r="A259" s="197"/>
      <c r="B259" s="197"/>
      <c r="AB259" s="123"/>
      <c r="AC259" s="123"/>
      <c r="AE259" s="123"/>
      <c r="AF259" s="123"/>
      <c r="AH259" s="123"/>
      <c r="AI259" s="123"/>
      <c r="AL259" s="123"/>
      <c r="AM259" s="123"/>
      <c r="AR259" s="123"/>
      <c r="AS259" s="123"/>
      <c r="AU259" s="123"/>
      <c r="AV259" s="123"/>
    </row>
    <row r="260">
      <c r="A260" s="197"/>
      <c r="B260" s="197"/>
      <c r="AB260" s="123"/>
      <c r="AC260" s="123"/>
      <c r="AE260" s="123"/>
      <c r="AF260" s="123"/>
      <c r="AH260" s="123"/>
      <c r="AI260" s="123"/>
      <c r="AL260" s="123"/>
      <c r="AM260" s="123"/>
      <c r="AR260" s="123"/>
      <c r="AS260" s="123"/>
      <c r="AU260" s="123"/>
      <c r="AV260" s="123"/>
    </row>
    <row r="261">
      <c r="A261" s="197"/>
      <c r="B261" s="197"/>
      <c r="AB261" s="123"/>
      <c r="AC261" s="123"/>
      <c r="AE261" s="123"/>
      <c r="AF261" s="123"/>
      <c r="AH261" s="123"/>
      <c r="AI261" s="123"/>
      <c r="AL261" s="123"/>
      <c r="AM261" s="123"/>
      <c r="AR261" s="123"/>
      <c r="AS261" s="123"/>
      <c r="AU261" s="123"/>
      <c r="AV261" s="123"/>
    </row>
    <row r="262">
      <c r="A262" s="197"/>
      <c r="B262" s="197"/>
      <c r="AB262" s="123"/>
      <c r="AC262" s="123"/>
      <c r="AE262" s="123"/>
      <c r="AF262" s="123"/>
      <c r="AH262" s="123"/>
      <c r="AI262" s="123"/>
      <c r="AL262" s="123"/>
      <c r="AM262" s="123"/>
      <c r="AR262" s="123"/>
      <c r="AS262" s="123"/>
      <c r="AU262" s="123"/>
      <c r="AV262" s="123"/>
    </row>
    <row r="263">
      <c r="A263" s="197"/>
      <c r="B263" s="197"/>
      <c r="AB263" s="123"/>
      <c r="AC263" s="123"/>
      <c r="AE263" s="123"/>
      <c r="AF263" s="123"/>
      <c r="AH263" s="123"/>
      <c r="AI263" s="123"/>
      <c r="AL263" s="123"/>
      <c r="AM263" s="123"/>
      <c r="AR263" s="123"/>
      <c r="AS263" s="123"/>
      <c r="AU263" s="123"/>
      <c r="AV263" s="123"/>
    </row>
    <row r="264">
      <c r="A264" s="197"/>
      <c r="B264" s="197"/>
      <c r="AB264" s="123"/>
      <c r="AC264" s="123"/>
      <c r="AE264" s="123"/>
      <c r="AF264" s="123"/>
      <c r="AH264" s="123"/>
      <c r="AI264" s="123"/>
      <c r="AL264" s="123"/>
      <c r="AM264" s="123"/>
      <c r="AR264" s="123"/>
      <c r="AS264" s="123"/>
      <c r="AU264" s="123"/>
      <c r="AV264" s="123"/>
    </row>
    <row r="265">
      <c r="A265" s="197"/>
      <c r="B265" s="197"/>
      <c r="AB265" s="123"/>
      <c r="AC265" s="123"/>
      <c r="AE265" s="123"/>
      <c r="AF265" s="123"/>
      <c r="AH265" s="123"/>
      <c r="AI265" s="123"/>
      <c r="AL265" s="123"/>
      <c r="AM265" s="123"/>
      <c r="AR265" s="123"/>
      <c r="AS265" s="123"/>
      <c r="AU265" s="123"/>
      <c r="AV265" s="123"/>
    </row>
    <row r="266">
      <c r="A266" s="197"/>
      <c r="B266" s="197"/>
      <c r="AB266" s="123"/>
      <c r="AC266" s="123"/>
      <c r="AE266" s="123"/>
      <c r="AF266" s="123"/>
      <c r="AH266" s="123"/>
      <c r="AI266" s="123"/>
      <c r="AL266" s="123"/>
      <c r="AM266" s="123"/>
      <c r="AR266" s="123"/>
      <c r="AS266" s="123"/>
      <c r="AU266" s="123"/>
      <c r="AV266" s="123"/>
    </row>
    <row r="267">
      <c r="A267" s="197"/>
      <c r="B267" s="197"/>
      <c r="AB267" s="123"/>
      <c r="AC267" s="123"/>
      <c r="AE267" s="123"/>
      <c r="AF267" s="123"/>
      <c r="AH267" s="123"/>
      <c r="AI267" s="123"/>
      <c r="AL267" s="123"/>
      <c r="AM267" s="123"/>
      <c r="AR267" s="123"/>
      <c r="AS267" s="123"/>
      <c r="AU267" s="123"/>
      <c r="AV267" s="123"/>
    </row>
    <row r="268">
      <c r="A268" s="197"/>
      <c r="B268" s="197"/>
      <c r="AB268" s="123"/>
      <c r="AC268" s="123"/>
      <c r="AE268" s="123"/>
      <c r="AF268" s="123"/>
      <c r="AH268" s="123"/>
      <c r="AI268" s="123"/>
      <c r="AL268" s="123"/>
      <c r="AM268" s="123"/>
      <c r="AR268" s="123"/>
      <c r="AS268" s="123"/>
      <c r="AU268" s="123"/>
      <c r="AV268" s="123"/>
    </row>
    <row r="269">
      <c r="A269" s="197"/>
      <c r="B269" s="197"/>
      <c r="AB269" s="123"/>
      <c r="AC269" s="123"/>
      <c r="AE269" s="123"/>
      <c r="AF269" s="123"/>
      <c r="AH269" s="123"/>
      <c r="AI269" s="123"/>
      <c r="AL269" s="123"/>
      <c r="AM269" s="123"/>
      <c r="AR269" s="123"/>
      <c r="AS269" s="123"/>
      <c r="AU269" s="123"/>
      <c r="AV269" s="123"/>
    </row>
    <row r="270">
      <c r="A270" s="197"/>
      <c r="B270" s="197"/>
      <c r="AB270" s="123"/>
      <c r="AC270" s="123"/>
      <c r="AE270" s="123"/>
      <c r="AF270" s="123"/>
      <c r="AH270" s="123"/>
      <c r="AI270" s="123"/>
      <c r="AL270" s="123"/>
      <c r="AM270" s="123"/>
      <c r="AR270" s="123"/>
      <c r="AS270" s="123"/>
      <c r="AU270" s="123"/>
      <c r="AV270" s="123"/>
    </row>
    <row r="271">
      <c r="A271" s="197"/>
      <c r="B271" s="197"/>
      <c r="AB271" s="123"/>
      <c r="AC271" s="123"/>
      <c r="AE271" s="123"/>
      <c r="AF271" s="123"/>
      <c r="AH271" s="123"/>
      <c r="AI271" s="123"/>
      <c r="AL271" s="123"/>
      <c r="AM271" s="123"/>
      <c r="AR271" s="123"/>
      <c r="AS271" s="123"/>
      <c r="AU271" s="123"/>
      <c r="AV271" s="123"/>
    </row>
    <row r="272">
      <c r="A272" s="197"/>
      <c r="B272" s="197"/>
      <c r="AB272" s="123"/>
      <c r="AC272" s="123"/>
      <c r="AE272" s="123"/>
      <c r="AF272" s="123"/>
      <c r="AH272" s="123"/>
      <c r="AI272" s="123"/>
      <c r="AL272" s="123"/>
      <c r="AM272" s="123"/>
      <c r="AR272" s="123"/>
      <c r="AS272" s="123"/>
      <c r="AU272" s="123"/>
      <c r="AV272" s="123"/>
    </row>
    <row r="273">
      <c r="A273" s="197"/>
      <c r="B273" s="197"/>
      <c r="AB273" s="123"/>
      <c r="AC273" s="123"/>
      <c r="AE273" s="123"/>
      <c r="AF273" s="123"/>
      <c r="AH273" s="123"/>
      <c r="AI273" s="123"/>
      <c r="AL273" s="123"/>
      <c r="AM273" s="123"/>
      <c r="AR273" s="123"/>
      <c r="AS273" s="123"/>
      <c r="AU273" s="123"/>
      <c r="AV273" s="123"/>
    </row>
    <row r="274">
      <c r="A274" s="197"/>
      <c r="B274" s="197"/>
      <c r="AB274" s="123"/>
      <c r="AC274" s="123"/>
      <c r="AE274" s="123"/>
      <c r="AF274" s="123"/>
      <c r="AH274" s="123"/>
      <c r="AI274" s="123"/>
      <c r="AL274" s="123"/>
      <c r="AM274" s="123"/>
      <c r="AR274" s="123"/>
      <c r="AS274" s="123"/>
      <c r="AU274" s="123"/>
      <c r="AV274" s="123"/>
    </row>
    <row r="275">
      <c r="A275" s="197"/>
      <c r="B275" s="197"/>
      <c r="AB275" s="123"/>
      <c r="AC275" s="123"/>
      <c r="AE275" s="123"/>
      <c r="AF275" s="123"/>
      <c r="AH275" s="123"/>
      <c r="AI275" s="123"/>
      <c r="AL275" s="123"/>
      <c r="AM275" s="123"/>
      <c r="AR275" s="123"/>
      <c r="AS275" s="123"/>
      <c r="AU275" s="123"/>
      <c r="AV275" s="123"/>
    </row>
    <row r="276">
      <c r="A276" s="197"/>
      <c r="B276" s="197"/>
      <c r="AB276" s="123"/>
      <c r="AC276" s="123"/>
      <c r="AE276" s="123"/>
      <c r="AF276" s="123"/>
      <c r="AH276" s="123"/>
      <c r="AI276" s="123"/>
      <c r="AL276" s="123"/>
      <c r="AM276" s="123"/>
      <c r="AR276" s="123"/>
      <c r="AS276" s="123"/>
      <c r="AU276" s="123"/>
      <c r="AV276" s="123"/>
    </row>
    <row r="277">
      <c r="A277" s="197"/>
      <c r="B277" s="197"/>
      <c r="AB277" s="123"/>
      <c r="AC277" s="123"/>
      <c r="AE277" s="123"/>
      <c r="AF277" s="123"/>
      <c r="AH277" s="123"/>
      <c r="AI277" s="123"/>
      <c r="AL277" s="123"/>
      <c r="AM277" s="123"/>
      <c r="AR277" s="123"/>
      <c r="AS277" s="123"/>
      <c r="AU277" s="123"/>
      <c r="AV277" s="123"/>
    </row>
    <row r="278">
      <c r="A278" s="197"/>
      <c r="B278" s="197"/>
      <c r="AB278" s="123"/>
      <c r="AC278" s="123"/>
      <c r="AE278" s="123"/>
      <c r="AF278" s="123"/>
      <c r="AH278" s="123"/>
      <c r="AI278" s="123"/>
      <c r="AL278" s="123"/>
      <c r="AM278" s="123"/>
      <c r="AR278" s="123"/>
      <c r="AS278" s="123"/>
      <c r="AU278" s="123"/>
      <c r="AV278" s="123"/>
    </row>
    <row r="279">
      <c r="A279" s="197"/>
      <c r="B279" s="197"/>
      <c r="AB279" s="123"/>
      <c r="AC279" s="123"/>
      <c r="AE279" s="123"/>
      <c r="AF279" s="123"/>
      <c r="AH279" s="123"/>
      <c r="AI279" s="123"/>
      <c r="AL279" s="123"/>
      <c r="AM279" s="123"/>
      <c r="AR279" s="123"/>
      <c r="AS279" s="123"/>
      <c r="AU279" s="123"/>
      <c r="AV279" s="123"/>
    </row>
    <row r="280">
      <c r="A280" s="197"/>
      <c r="B280" s="197"/>
      <c r="AB280" s="123"/>
      <c r="AC280" s="123"/>
      <c r="AE280" s="123"/>
      <c r="AF280" s="123"/>
      <c r="AH280" s="123"/>
      <c r="AI280" s="123"/>
      <c r="AL280" s="123"/>
      <c r="AM280" s="123"/>
      <c r="AR280" s="123"/>
      <c r="AS280" s="123"/>
      <c r="AU280" s="123"/>
      <c r="AV280" s="123"/>
    </row>
    <row r="281">
      <c r="A281" s="197"/>
      <c r="B281" s="197"/>
      <c r="AB281" s="123"/>
      <c r="AC281" s="123"/>
      <c r="AE281" s="123"/>
      <c r="AF281" s="123"/>
      <c r="AH281" s="123"/>
      <c r="AI281" s="123"/>
      <c r="AL281" s="123"/>
      <c r="AM281" s="123"/>
      <c r="AR281" s="123"/>
      <c r="AS281" s="123"/>
      <c r="AU281" s="123"/>
      <c r="AV281" s="123"/>
    </row>
    <row r="282">
      <c r="A282" s="197"/>
      <c r="B282" s="197"/>
      <c r="AB282" s="123"/>
      <c r="AC282" s="123"/>
      <c r="AE282" s="123"/>
      <c r="AF282" s="123"/>
      <c r="AH282" s="123"/>
      <c r="AI282" s="123"/>
      <c r="AL282" s="123"/>
      <c r="AM282" s="123"/>
      <c r="AR282" s="123"/>
      <c r="AS282" s="123"/>
      <c r="AU282" s="123"/>
      <c r="AV282" s="123"/>
    </row>
    <row r="283">
      <c r="A283" s="197"/>
      <c r="B283" s="197"/>
      <c r="AB283" s="123"/>
      <c r="AC283" s="123"/>
      <c r="AE283" s="123"/>
      <c r="AF283" s="123"/>
      <c r="AH283" s="123"/>
      <c r="AI283" s="123"/>
      <c r="AL283" s="123"/>
      <c r="AM283" s="123"/>
      <c r="AR283" s="123"/>
      <c r="AS283" s="123"/>
      <c r="AU283" s="123"/>
      <c r="AV283" s="123"/>
    </row>
    <row r="284">
      <c r="A284" s="197"/>
      <c r="B284" s="197"/>
      <c r="AB284" s="123"/>
      <c r="AC284" s="123"/>
      <c r="AE284" s="123"/>
      <c r="AF284" s="123"/>
      <c r="AH284" s="123"/>
      <c r="AI284" s="123"/>
      <c r="AL284" s="123"/>
      <c r="AM284" s="123"/>
      <c r="AR284" s="123"/>
      <c r="AS284" s="123"/>
      <c r="AU284" s="123"/>
      <c r="AV284" s="123"/>
    </row>
    <row r="285">
      <c r="A285" s="197"/>
      <c r="B285" s="197"/>
      <c r="AB285" s="123"/>
      <c r="AC285" s="123"/>
      <c r="AE285" s="123"/>
      <c r="AF285" s="123"/>
      <c r="AH285" s="123"/>
      <c r="AI285" s="123"/>
      <c r="AL285" s="123"/>
      <c r="AM285" s="123"/>
      <c r="AR285" s="123"/>
      <c r="AS285" s="123"/>
      <c r="AU285" s="123"/>
      <c r="AV285" s="123"/>
    </row>
    <row r="286">
      <c r="A286" s="197"/>
      <c r="B286" s="197"/>
      <c r="AB286" s="123"/>
      <c r="AC286" s="123"/>
      <c r="AE286" s="123"/>
      <c r="AF286" s="123"/>
      <c r="AH286" s="123"/>
      <c r="AI286" s="123"/>
      <c r="AL286" s="123"/>
      <c r="AM286" s="123"/>
      <c r="AR286" s="123"/>
      <c r="AS286" s="123"/>
      <c r="AU286" s="123"/>
      <c r="AV286" s="123"/>
    </row>
    <row r="287">
      <c r="A287" s="197"/>
      <c r="B287" s="197"/>
      <c r="AB287" s="123"/>
      <c r="AC287" s="123"/>
      <c r="AE287" s="123"/>
      <c r="AF287" s="123"/>
      <c r="AH287" s="123"/>
      <c r="AI287" s="123"/>
      <c r="AL287" s="123"/>
      <c r="AM287" s="123"/>
      <c r="AR287" s="123"/>
      <c r="AS287" s="123"/>
      <c r="AU287" s="123"/>
      <c r="AV287" s="123"/>
    </row>
    <row r="288">
      <c r="A288" s="197"/>
      <c r="B288" s="197"/>
      <c r="AB288" s="123"/>
      <c r="AC288" s="123"/>
      <c r="AE288" s="123"/>
      <c r="AF288" s="123"/>
      <c r="AH288" s="123"/>
      <c r="AI288" s="123"/>
      <c r="AL288" s="123"/>
      <c r="AM288" s="123"/>
      <c r="AR288" s="123"/>
      <c r="AS288" s="123"/>
      <c r="AU288" s="123"/>
      <c r="AV288" s="123"/>
    </row>
    <row r="289">
      <c r="A289" s="197"/>
      <c r="B289" s="197"/>
      <c r="AB289" s="123"/>
      <c r="AC289" s="123"/>
      <c r="AE289" s="123"/>
      <c r="AF289" s="123"/>
      <c r="AH289" s="123"/>
      <c r="AI289" s="123"/>
      <c r="AL289" s="123"/>
      <c r="AM289" s="123"/>
      <c r="AR289" s="123"/>
      <c r="AS289" s="123"/>
      <c r="AU289" s="123"/>
      <c r="AV289" s="123"/>
    </row>
    <row r="290">
      <c r="A290" s="197"/>
      <c r="B290" s="197"/>
      <c r="AB290" s="123"/>
      <c r="AC290" s="123"/>
      <c r="AE290" s="123"/>
      <c r="AF290" s="123"/>
      <c r="AH290" s="123"/>
      <c r="AI290" s="123"/>
      <c r="AL290" s="123"/>
      <c r="AM290" s="123"/>
      <c r="AR290" s="123"/>
      <c r="AS290" s="123"/>
      <c r="AU290" s="123"/>
      <c r="AV290" s="123"/>
    </row>
    <row r="291">
      <c r="A291" s="197"/>
      <c r="B291" s="197"/>
      <c r="AB291" s="123"/>
      <c r="AC291" s="123"/>
      <c r="AE291" s="123"/>
      <c r="AF291" s="123"/>
      <c r="AH291" s="123"/>
      <c r="AI291" s="123"/>
      <c r="AL291" s="123"/>
      <c r="AM291" s="123"/>
      <c r="AR291" s="123"/>
      <c r="AS291" s="123"/>
      <c r="AU291" s="123"/>
      <c r="AV291" s="123"/>
    </row>
    <row r="292">
      <c r="A292" s="197"/>
      <c r="B292" s="197"/>
      <c r="AB292" s="123"/>
      <c r="AC292" s="123"/>
      <c r="AE292" s="123"/>
      <c r="AF292" s="123"/>
      <c r="AH292" s="123"/>
      <c r="AI292" s="123"/>
      <c r="AL292" s="123"/>
      <c r="AM292" s="123"/>
      <c r="AR292" s="123"/>
      <c r="AS292" s="123"/>
      <c r="AU292" s="123"/>
      <c r="AV292" s="123"/>
    </row>
    <row r="293">
      <c r="A293" s="197"/>
      <c r="B293" s="197"/>
      <c r="AB293" s="123"/>
      <c r="AC293" s="123"/>
      <c r="AE293" s="123"/>
      <c r="AF293" s="123"/>
      <c r="AH293" s="123"/>
      <c r="AI293" s="123"/>
      <c r="AL293" s="123"/>
      <c r="AM293" s="123"/>
      <c r="AR293" s="123"/>
      <c r="AS293" s="123"/>
      <c r="AU293" s="123"/>
      <c r="AV293" s="123"/>
    </row>
    <row r="294">
      <c r="A294" s="197"/>
      <c r="B294" s="197"/>
      <c r="AB294" s="123"/>
      <c r="AC294" s="123"/>
      <c r="AE294" s="123"/>
      <c r="AF294" s="123"/>
      <c r="AH294" s="123"/>
      <c r="AI294" s="123"/>
      <c r="AL294" s="123"/>
      <c r="AM294" s="123"/>
      <c r="AR294" s="123"/>
      <c r="AS294" s="123"/>
      <c r="AU294" s="123"/>
      <c r="AV294" s="123"/>
    </row>
    <row r="295">
      <c r="A295" s="197"/>
      <c r="B295" s="197"/>
      <c r="AB295" s="123"/>
      <c r="AC295" s="123"/>
      <c r="AE295" s="123"/>
      <c r="AF295" s="123"/>
      <c r="AH295" s="123"/>
      <c r="AI295" s="123"/>
      <c r="AL295" s="123"/>
      <c r="AM295" s="123"/>
      <c r="AR295" s="123"/>
      <c r="AS295" s="123"/>
      <c r="AU295" s="123"/>
      <c r="AV295" s="123"/>
    </row>
    <row r="296">
      <c r="A296" s="197"/>
      <c r="B296" s="197"/>
      <c r="AB296" s="123"/>
      <c r="AC296" s="123"/>
      <c r="AE296" s="123"/>
      <c r="AF296" s="123"/>
      <c r="AH296" s="123"/>
      <c r="AI296" s="123"/>
      <c r="AL296" s="123"/>
      <c r="AM296" s="123"/>
      <c r="AR296" s="123"/>
      <c r="AS296" s="123"/>
      <c r="AU296" s="123"/>
      <c r="AV296" s="123"/>
    </row>
    <row r="297">
      <c r="A297" s="197"/>
      <c r="B297" s="197"/>
      <c r="AB297" s="123"/>
      <c r="AC297" s="123"/>
      <c r="AE297" s="123"/>
      <c r="AF297" s="123"/>
      <c r="AH297" s="123"/>
      <c r="AI297" s="123"/>
      <c r="AL297" s="123"/>
      <c r="AM297" s="123"/>
      <c r="AR297" s="123"/>
      <c r="AS297" s="123"/>
      <c r="AU297" s="123"/>
      <c r="AV297" s="123"/>
    </row>
    <row r="298">
      <c r="A298" s="197"/>
      <c r="B298" s="197"/>
      <c r="AB298" s="123"/>
      <c r="AC298" s="123"/>
      <c r="AE298" s="123"/>
      <c r="AF298" s="123"/>
      <c r="AH298" s="123"/>
      <c r="AI298" s="123"/>
      <c r="AL298" s="123"/>
      <c r="AM298" s="123"/>
      <c r="AR298" s="123"/>
      <c r="AS298" s="123"/>
      <c r="AU298" s="123"/>
      <c r="AV298" s="123"/>
    </row>
    <row r="299">
      <c r="A299" s="197"/>
      <c r="B299" s="197"/>
      <c r="AB299" s="123"/>
      <c r="AC299" s="123"/>
      <c r="AE299" s="123"/>
      <c r="AF299" s="123"/>
      <c r="AH299" s="123"/>
      <c r="AI299" s="123"/>
      <c r="AL299" s="123"/>
      <c r="AM299" s="123"/>
      <c r="AR299" s="123"/>
      <c r="AS299" s="123"/>
      <c r="AU299" s="123"/>
      <c r="AV299" s="123"/>
    </row>
    <row r="300">
      <c r="A300" s="197"/>
      <c r="B300" s="197"/>
      <c r="AB300" s="123"/>
      <c r="AC300" s="123"/>
      <c r="AE300" s="123"/>
      <c r="AF300" s="123"/>
      <c r="AH300" s="123"/>
      <c r="AI300" s="123"/>
      <c r="AL300" s="123"/>
      <c r="AM300" s="123"/>
      <c r="AR300" s="123"/>
      <c r="AS300" s="123"/>
      <c r="AU300" s="123"/>
      <c r="AV300" s="123"/>
    </row>
    <row r="301">
      <c r="A301" s="197"/>
      <c r="B301" s="197"/>
      <c r="AB301" s="123"/>
      <c r="AC301" s="123"/>
      <c r="AE301" s="123"/>
      <c r="AF301" s="123"/>
      <c r="AH301" s="123"/>
      <c r="AI301" s="123"/>
      <c r="AL301" s="123"/>
      <c r="AM301" s="123"/>
      <c r="AR301" s="123"/>
      <c r="AS301" s="123"/>
      <c r="AU301" s="123"/>
      <c r="AV301" s="123"/>
    </row>
    <row r="302">
      <c r="A302" s="197"/>
      <c r="B302" s="197"/>
      <c r="AB302" s="123"/>
      <c r="AC302" s="123"/>
      <c r="AE302" s="123"/>
      <c r="AF302" s="123"/>
      <c r="AH302" s="123"/>
      <c r="AI302" s="123"/>
      <c r="AL302" s="123"/>
      <c r="AM302" s="123"/>
      <c r="AR302" s="123"/>
      <c r="AS302" s="123"/>
      <c r="AU302" s="123"/>
      <c r="AV302" s="123"/>
    </row>
    <row r="303">
      <c r="A303" s="197"/>
      <c r="B303" s="197"/>
      <c r="AB303" s="123"/>
      <c r="AC303" s="123"/>
      <c r="AE303" s="123"/>
      <c r="AF303" s="123"/>
      <c r="AH303" s="123"/>
      <c r="AI303" s="123"/>
      <c r="AL303" s="123"/>
      <c r="AM303" s="123"/>
      <c r="AR303" s="123"/>
      <c r="AS303" s="123"/>
      <c r="AU303" s="123"/>
      <c r="AV303" s="123"/>
    </row>
    <row r="304">
      <c r="A304" s="197"/>
      <c r="B304" s="197"/>
      <c r="AB304" s="123"/>
      <c r="AC304" s="123"/>
      <c r="AE304" s="123"/>
      <c r="AF304" s="123"/>
      <c r="AH304" s="123"/>
      <c r="AI304" s="123"/>
      <c r="AL304" s="123"/>
      <c r="AM304" s="123"/>
      <c r="AR304" s="123"/>
      <c r="AS304" s="123"/>
      <c r="AU304" s="123"/>
      <c r="AV304" s="123"/>
    </row>
    <row r="305">
      <c r="A305" s="197"/>
      <c r="B305" s="197"/>
      <c r="AB305" s="123"/>
      <c r="AC305" s="123"/>
      <c r="AE305" s="123"/>
      <c r="AF305" s="123"/>
      <c r="AH305" s="123"/>
      <c r="AI305" s="123"/>
      <c r="AL305" s="123"/>
      <c r="AM305" s="123"/>
      <c r="AR305" s="123"/>
      <c r="AS305" s="123"/>
      <c r="AU305" s="123"/>
      <c r="AV305" s="123"/>
    </row>
    <row r="306">
      <c r="A306" s="197"/>
      <c r="B306" s="197"/>
      <c r="AB306" s="123"/>
      <c r="AC306" s="123"/>
      <c r="AE306" s="123"/>
      <c r="AF306" s="123"/>
      <c r="AH306" s="123"/>
      <c r="AI306" s="123"/>
      <c r="AL306" s="123"/>
      <c r="AM306" s="123"/>
      <c r="AR306" s="123"/>
      <c r="AS306" s="123"/>
      <c r="AU306" s="123"/>
      <c r="AV306" s="123"/>
    </row>
    <row r="307">
      <c r="A307" s="197"/>
      <c r="B307" s="197"/>
      <c r="AB307" s="123"/>
      <c r="AC307" s="123"/>
      <c r="AE307" s="123"/>
      <c r="AF307" s="123"/>
      <c r="AH307" s="123"/>
      <c r="AI307" s="123"/>
      <c r="AL307" s="123"/>
      <c r="AM307" s="123"/>
      <c r="AR307" s="123"/>
      <c r="AS307" s="123"/>
      <c r="AU307" s="123"/>
      <c r="AV307" s="123"/>
    </row>
    <row r="308">
      <c r="A308" s="197"/>
      <c r="B308" s="197"/>
      <c r="AB308" s="123"/>
      <c r="AC308" s="123"/>
      <c r="AE308" s="123"/>
      <c r="AF308" s="123"/>
      <c r="AH308" s="123"/>
      <c r="AI308" s="123"/>
      <c r="AL308" s="123"/>
      <c r="AM308" s="123"/>
      <c r="AR308" s="123"/>
      <c r="AS308" s="123"/>
      <c r="AU308" s="123"/>
      <c r="AV308" s="123"/>
    </row>
    <row r="309">
      <c r="A309" s="197"/>
      <c r="B309" s="197"/>
      <c r="AB309" s="123"/>
      <c r="AC309" s="123"/>
      <c r="AE309" s="123"/>
      <c r="AF309" s="123"/>
      <c r="AH309" s="123"/>
      <c r="AI309" s="123"/>
      <c r="AL309" s="123"/>
      <c r="AM309" s="123"/>
      <c r="AR309" s="123"/>
      <c r="AS309" s="123"/>
      <c r="AU309" s="123"/>
      <c r="AV309" s="123"/>
    </row>
    <row r="310">
      <c r="A310" s="197"/>
      <c r="B310" s="197"/>
      <c r="AB310" s="123"/>
      <c r="AC310" s="123"/>
      <c r="AE310" s="123"/>
      <c r="AF310" s="123"/>
      <c r="AH310" s="123"/>
      <c r="AI310" s="123"/>
      <c r="AL310" s="123"/>
      <c r="AM310" s="123"/>
      <c r="AR310" s="123"/>
      <c r="AS310" s="123"/>
      <c r="AU310" s="123"/>
      <c r="AV310" s="123"/>
    </row>
    <row r="311">
      <c r="A311" s="197"/>
      <c r="B311" s="197"/>
      <c r="AB311" s="123"/>
      <c r="AC311" s="123"/>
      <c r="AE311" s="123"/>
      <c r="AF311" s="123"/>
      <c r="AH311" s="123"/>
      <c r="AI311" s="123"/>
      <c r="AL311" s="123"/>
      <c r="AM311" s="123"/>
      <c r="AR311" s="123"/>
      <c r="AS311" s="123"/>
      <c r="AU311" s="123"/>
      <c r="AV311" s="123"/>
    </row>
    <row r="312">
      <c r="A312" s="197"/>
      <c r="B312" s="197"/>
      <c r="AB312" s="123"/>
      <c r="AC312" s="123"/>
      <c r="AE312" s="123"/>
      <c r="AF312" s="123"/>
      <c r="AH312" s="123"/>
      <c r="AI312" s="123"/>
      <c r="AL312" s="123"/>
      <c r="AM312" s="123"/>
      <c r="AR312" s="123"/>
      <c r="AS312" s="123"/>
      <c r="AU312" s="123"/>
      <c r="AV312" s="123"/>
    </row>
    <row r="313">
      <c r="A313" s="197"/>
      <c r="B313" s="197"/>
      <c r="AB313" s="123"/>
      <c r="AC313" s="123"/>
      <c r="AE313" s="123"/>
      <c r="AF313" s="123"/>
      <c r="AH313" s="123"/>
      <c r="AI313" s="123"/>
      <c r="AL313" s="123"/>
      <c r="AM313" s="123"/>
      <c r="AR313" s="123"/>
      <c r="AS313" s="123"/>
      <c r="AU313" s="123"/>
      <c r="AV313" s="123"/>
    </row>
    <row r="314">
      <c r="A314" s="197"/>
      <c r="B314" s="197"/>
      <c r="AB314" s="123"/>
      <c r="AC314" s="123"/>
      <c r="AE314" s="123"/>
      <c r="AF314" s="123"/>
      <c r="AH314" s="123"/>
      <c r="AI314" s="123"/>
      <c r="AL314" s="123"/>
      <c r="AM314" s="123"/>
      <c r="AR314" s="123"/>
      <c r="AS314" s="123"/>
      <c r="AU314" s="123"/>
      <c r="AV314" s="123"/>
    </row>
    <row r="315">
      <c r="A315" s="197"/>
      <c r="B315" s="197"/>
      <c r="AB315" s="123"/>
      <c r="AC315" s="123"/>
      <c r="AE315" s="123"/>
      <c r="AF315" s="123"/>
      <c r="AH315" s="123"/>
      <c r="AI315" s="123"/>
      <c r="AL315" s="123"/>
      <c r="AM315" s="123"/>
      <c r="AR315" s="123"/>
      <c r="AS315" s="123"/>
      <c r="AU315" s="123"/>
      <c r="AV315" s="123"/>
    </row>
    <row r="316">
      <c r="A316" s="197"/>
      <c r="B316" s="197"/>
      <c r="AB316" s="123"/>
      <c r="AC316" s="123"/>
      <c r="AE316" s="123"/>
      <c r="AF316" s="123"/>
      <c r="AH316" s="123"/>
      <c r="AI316" s="123"/>
      <c r="AL316" s="123"/>
      <c r="AM316" s="123"/>
      <c r="AR316" s="123"/>
      <c r="AS316" s="123"/>
      <c r="AU316" s="123"/>
      <c r="AV316" s="123"/>
    </row>
    <row r="317">
      <c r="A317" s="197"/>
      <c r="B317" s="197"/>
      <c r="AB317" s="123"/>
      <c r="AC317" s="123"/>
      <c r="AE317" s="123"/>
      <c r="AF317" s="123"/>
      <c r="AH317" s="123"/>
      <c r="AI317" s="123"/>
      <c r="AL317" s="123"/>
      <c r="AM317" s="123"/>
      <c r="AR317" s="123"/>
      <c r="AS317" s="123"/>
      <c r="AU317" s="123"/>
      <c r="AV317" s="123"/>
    </row>
    <row r="318">
      <c r="A318" s="197"/>
      <c r="B318" s="197"/>
      <c r="AB318" s="123"/>
      <c r="AC318" s="123"/>
      <c r="AE318" s="123"/>
      <c r="AF318" s="123"/>
      <c r="AH318" s="123"/>
      <c r="AI318" s="123"/>
      <c r="AL318" s="123"/>
      <c r="AM318" s="123"/>
      <c r="AR318" s="123"/>
      <c r="AS318" s="123"/>
      <c r="AU318" s="123"/>
      <c r="AV318" s="123"/>
    </row>
    <row r="319">
      <c r="A319" s="197"/>
      <c r="B319" s="197"/>
      <c r="AB319" s="123"/>
      <c r="AC319" s="123"/>
      <c r="AE319" s="123"/>
      <c r="AF319" s="123"/>
      <c r="AH319" s="123"/>
      <c r="AI319" s="123"/>
      <c r="AL319" s="123"/>
      <c r="AM319" s="123"/>
      <c r="AR319" s="123"/>
      <c r="AS319" s="123"/>
      <c r="AU319" s="123"/>
      <c r="AV319" s="123"/>
    </row>
    <row r="320">
      <c r="A320" s="197"/>
      <c r="B320" s="197"/>
      <c r="AB320" s="123"/>
      <c r="AC320" s="123"/>
      <c r="AE320" s="123"/>
      <c r="AF320" s="123"/>
      <c r="AH320" s="123"/>
      <c r="AI320" s="123"/>
      <c r="AL320" s="123"/>
      <c r="AM320" s="123"/>
      <c r="AR320" s="123"/>
      <c r="AS320" s="123"/>
      <c r="AU320" s="123"/>
      <c r="AV320" s="123"/>
    </row>
    <row r="321">
      <c r="A321" s="197"/>
      <c r="B321" s="197"/>
      <c r="AB321" s="123"/>
      <c r="AC321" s="123"/>
      <c r="AE321" s="123"/>
      <c r="AF321" s="123"/>
      <c r="AH321" s="123"/>
      <c r="AI321" s="123"/>
      <c r="AL321" s="123"/>
      <c r="AM321" s="123"/>
      <c r="AR321" s="123"/>
      <c r="AS321" s="123"/>
      <c r="AU321" s="123"/>
      <c r="AV321" s="123"/>
    </row>
    <row r="322">
      <c r="A322" s="197"/>
      <c r="B322" s="197"/>
      <c r="AB322" s="123"/>
      <c r="AC322" s="123"/>
      <c r="AE322" s="123"/>
      <c r="AF322" s="123"/>
      <c r="AH322" s="123"/>
      <c r="AI322" s="123"/>
      <c r="AL322" s="123"/>
      <c r="AM322" s="123"/>
      <c r="AR322" s="123"/>
      <c r="AS322" s="123"/>
      <c r="AU322" s="123"/>
      <c r="AV322" s="123"/>
    </row>
    <row r="323">
      <c r="A323" s="197"/>
      <c r="B323" s="197"/>
      <c r="AB323" s="123"/>
      <c r="AC323" s="123"/>
      <c r="AE323" s="123"/>
      <c r="AF323" s="123"/>
      <c r="AH323" s="123"/>
      <c r="AI323" s="123"/>
      <c r="AL323" s="123"/>
      <c r="AM323" s="123"/>
      <c r="AR323" s="123"/>
      <c r="AS323" s="123"/>
      <c r="AU323" s="123"/>
      <c r="AV323" s="123"/>
    </row>
    <row r="324">
      <c r="A324" s="197"/>
      <c r="B324" s="197"/>
      <c r="AB324" s="123"/>
      <c r="AC324" s="123"/>
      <c r="AE324" s="123"/>
      <c r="AF324" s="123"/>
      <c r="AH324" s="123"/>
      <c r="AI324" s="123"/>
      <c r="AL324" s="123"/>
      <c r="AM324" s="123"/>
      <c r="AR324" s="123"/>
      <c r="AS324" s="123"/>
      <c r="AU324" s="123"/>
      <c r="AV324" s="123"/>
    </row>
    <row r="325">
      <c r="A325" s="197"/>
      <c r="B325" s="197"/>
      <c r="AB325" s="123"/>
      <c r="AC325" s="123"/>
      <c r="AE325" s="123"/>
      <c r="AF325" s="123"/>
      <c r="AH325" s="123"/>
      <c r="AI325" s="123"/>
      <c r="AL325" s="123"/>
      <c r="AM325" s="123"/>
      <c r="AR325" s="123"/>
      <c r="AS325" s="123"/>
      <c r="AU325" s="123"/>
      <c r="AV325" s="123"/>
    </row>
    <row r="326">
      <c r="A326" s="197"/>
      <c r="B326" s="197"/>
      <c r="AB326" s="123"/>
      <c r="AC326" s="123"/>
      <c r="AE326" s="123"/>
      <c r="AF326" s="123"/>
      <c r="AH326" s="123"/>
      <c r="AI326" s="123"/>
      <c r="AL326" s="123"/>
      <c r="AM326" s="123"/>
      <c r="AR326" s="123"/>
      <c r="AS326" s="123"/>
      <c r="AU326" s="123"/>
      <c r="AV326" s="123"/>
    </row>
    <row r="327">
      <c r="A327" s="197"/>
      <c r="B327" s="197"/>
      <c r="AB327" s="123"/>
      <c r="AC327" s="123"/>
      <c r="AE327" s="123"/>
      <c r="AF327" s="123"/>
      <c r="AH327" s="123"/>
      <c r="AI327" s="123"/>
      <c r="AL327" s="123"/>
      <c r="AM327" s="123"/>
      <c r="AR327" s="123"/>
      <c r="AS327" s="123"/>
      <c r="AU327" s="123"/>
      <c r="AV327" s="123"/>
    </row>
    <row r="328">
      <c r="A328" s="197"/>
      <c r="B328" s="197"/>
      <c r="AB328" s="123"/>
      <c r="AC328" s="123"/>
      <c r="AE328" s="123"/>
      <c r="AF328" s="123"/>
      <c r="AH328" s="123"/>
      <c r="AI328" s="123"/>
      <c r="AL328" s="123"/>
      <c r="AM328" s="123"/>
      <c r="AR328" s="123"/>
      <c r="AS328" s="123"/>
      <c r="AU328" s="123"/>
      <c r="AV328" s="123"/>
    </row>
    <row r="329">
      <c r="A329" s="197"/>
      <c r="B329" s="197"/>
      <c r="AB329" s="123"/>
      <c r="AC329" s="123"/>
      <c r="AE329" s="123"/>
      <c r="AF329" s="123"/>
      <c r="AH329" s="123"/>
      <c r="AI329" s="123"/>
      <c r="AL329" s="123"/>
      <c r="AM329" s="123"/>
      <c r="AR329" s="123"/>
      <c r="AS329" s="123"/>
      <c r="AU329" s="123"/>
      <c r="AV329" s="123"/>
    </row>
    <row r="330">
      <c r="A330" s="197"/>
      <c r="B330" s="197"/>
      <c r="AB330" s="123"/>
      <c r="AC330" s="123"/>
      <c r="AE330" s="123"/>
      <c r="AF330" s="123"/>
      <c r="AH330" s="123"/>
      <c r="AI330" s="123"/>
      <c r="AL330" s="123"/>
      <c r="AM330" s="123"/>
      <c r="AR330" s="123"/>
      <c r="AS330" s="123"/>
      <c r="AU330" s="123"/>
      <c r="AV330" s="123"/>
    </row>
    <row r="331">
      <c r="A331" s="197"/>
      <c r="B331" s="197"/>
      <c r="AB331" s="123"/>
      <c r="AC331" s="123"/>
      <c r="AE331" s="123"/>
      <c r="AF331" s="123"/>
      <c r="AH331" s="123"/>
      <c r="AI331" s="123"/>
      <c r="AL331" s="123"/>
      <c r="AM331" s="123"/>
      <c r="AR331" s="123"/>
      <c r="AS331" s="123"/>
      <c r="AU331" s="123"/>
      <c r="AV331" s="123"/>
    </row>
    <row r="332">
      <c r="A332" s="197"/>
      <c r="B332" s="197"/>
      <c r="AB332" s="123"/>
      <c r="AC332" s="123"/>
      <c r="AE332" s="123"/>
      <c r="AF332" s="123"/>
      <c r="AH332" s="123"/>
      <c r="AI332" s="123"/>
      <c r="AL332" s="123"/>
      <c r="AM332" s="123"/>
      <c r="AR332" s="123"/>
      <c r="AS332" s="123"/>
      <c r="AU332" s="123"/>
      <c r="AV332" s="123"/>
    </row>
    <row r="333">
      <c r="A333" s="197"/>
      <c r="B333" s="197"/>
      <c r="AB333" s="123"/>
      <c r="AC333" s="123"/>
      <c r="AE333" s="123"/>
      <c r="AF333" s="123"/>
      <c r="AH333" s="123"/>
      <c r="AI333" s="123"/>
      <c r="AL333" s="123"/>
      <c r="AM333" s="123"/>
      <c r="AR333" s="123"/>
      <c r="AS333" s="123"/>
      <c r="AU333" s="123"/>
      <c r="AV333" s="123"/>
    </row>
    <row r="334">
      <c r="A334" s="197"/>
      <c r="B334" s="197"/>
      <c r="AB334" s="123"/>
      <c r="AC334" s="123"/>
      <c r="AE334" s="123"/>
      <c r="AF334" s="123"/>
      <c r="AH334" s="123"/>
      <c r="AI334" s="123"/>
      <c r="AL334" s="123"/>
      <c r="AM334" s="123"/>
      <c r="AR334" s="123"/>
      <c r="AS334" s="123"/>
      <c r="AU334" s="123"/>
      <c r="AV334" s="123"/>
    </row>
    <row r="335">
      <c r="A335" s="197"/>
      <c r="B335" s="197"/>
      <c r="AB335" s="123"/>
      <c r="AC335" s="123"/>
      <c r="AE335" s="123"/>
      <c r="AF335" s="123"/>
      <c r="AH335" s="123"/>
      <c r="AI335" s="123"/>
      <c r="AL335" s="123"/>
      <c r="AM335" s="123"/>
      <c r="AR335" s="123"/>
      <c r="AS335" s="123"/>
      <c r="AU335" s="123"/>
      <c r="AV335" s="123"/>
    </row>
    <row r="336">
      <c r="A336" s="197"/>
      <c r="B336" s="197"/>
      <c r="AB336" s="123"/>
      <c r="AC336" s="123"/>
      <c r="AE336" s="123"/>
      <c r="AF336" s="123"/>
      <c r="AH336" s="123"/>
      <c r="AI336" s="123"/>
      <c r="AL336" s="123"/>
      <c r="AM336" s="123"/>
      <c r="AR336" s="123"/>
      <c r="AS336" s="123"/>
      <c r="AU336" s="123"/>
      <c r="AV336" s="123"/>
    </row>
    <row r="337">
      <c r="A337" s="197"/>
      <c r="B337" s="197"/>
      <c r="AB337" s="123"/>
      <c r="AC337" s="123"/>
      <c r="AE337" s="123"/>
      <c r="AF337" s="123"/>
      <c r="AH337" s="123"/>
      <c r="AI337" s="123"/>
      <c r="AL337" s="123"/>
      <c r="AM337" s="123"/>
      <c r="AR337" s="123"/>
      <c r="AS337" s="123"/>
      <c r="AU337" s="123"/>
      <c r="AV337" s="123"/>
    </row>
    <row r="338">
      <c r="A338" s="197"/>
      <c r="B338" s="197"/>
      <c r="AB338" s="123"/>
      <c r="AC338" s="123"/>
      <c r="AE338" s="123"/>
      <c r="AF338" s="123"/>
      <c r="AH338" s="123"/>
      <c r="AI338" s="123"/>
      <c r="AL338" s="123"/>
      <c r="AM338" s="123"/>
      <c r="AR338" s="123"/>
      <c r="AS338" s="123"/>
      <c r="AU338" s="123"/>
      <c r="AV338" s="123"/>
    </row>
    <row r="339">
      <c r="A339" s="197"/>
      <c r="B339" s="197"/>
      <c r="AB339" s="123"/>
      <c r="AC339" s="123"/>
      <c r="AE339" s="123"/>
      <c r="AF339" s="123"/>
      <c r="AH339" s="123"/>
      <c r="AI339" s="123"/>
      <c r="AL339" s="123"/>
      <c r="AM339" s="123"/>
      <c r="AR339" s="123"/>
      <c r="AS339" s="123"/>
      <c r="AU339" s="123"/>
      <c r="AV339" s="123"/>
    </row>
    <row r="340">
      <c r="A340" s="197"/>
      <c r="B340" s="197"/>
      <c r="AB340" s="123"/>
      <c r="AC340" s="123"/>
      <c r="AE340" s="123"/>
      <c r="AF340" s="123"/>
      <c r="AH340" s="123"/>
      <c r="AI340" s="123"/>
      <c r="AL340" s="123"/>
      <c r="AM340" s="123"/>
      <c r="AR340" s="123"/>
      <c r="AS340" s="123"/>
      <c r="AU340" s="123"/>
      <c r="AV340" s="123"/>
    </row>
    <row r="341">
      <c r="A341" s="197"/>
      <c r="B341" s="197"/>
      <c r="AB341" s="123"/>
      <c r="AC341" s="123"/>
      <c r="AE341" s="123"/>
      <c r="AF341" s="123"/>
      <c r="AH341" s="123"/>
      <c r="AI341" s="123"/>
      <c r="AL341" s="123"/>
      <c r="AM341" s="123"/>
      <c r="AR341" s="123"/>
      <c r="AS341" s="123"/>
      <c r="AU341" s="123"/>
      <c r="AV341" s="123"/>
    </row>
    <row r="342">
      <c r="A342" s="197"/>
      <c r="B342" s="197"/>
      <c r="AB342" s="123"/>
      <c r="AC342" s="123"/>
      <c r="AE342" s="123"/>
      <c r="AF342" s="123"/>
      <c r="AH342" s="123"/>
      <c r="AI342" s="123"/>
      <c r="AL342" s="123"/>
      <c r="AM342" s="123"/>
      <c r="AR342" s="123"/>
      <c r="AS342" s="123"/>
      <c r="AU342" s="123"/>
      <c r="AV342" s="123"/>
    </row>
    <row r="343">
      <c r="A343" s="197"/>
      <c r="B343" s="197"/>
      <c r="AB343" s="123"/>
      <c r="AC343" s="123"/>
      <c r="AE343" s="123"/>
      <c r="AF343" s="123"/>
      <c r="AH343" s="123"/>
      <c r="AI343" s="123"/>
      <c r="AL343" s="123"/>
      <c r="AM343" s="123"/>
      <c r="AR343" s="123"/>
      <c r="AS343" s="123"/>
      <c r="AU343" s="123"/>
      <c r="AV343" s="123"/>
    </row>
    <row r="344">
      <c r="A344" s="197"/>
      <c r="B344" s="197"/>
      <c r="AB344" s="123"/>
      <c r="AC344" s="123"/>
      <c r="AE344" s="123"/>
      <c r="AF344" s="123"/>
      <c r="AH344" s="123"/>
      <c r="AI344" s="123"/>
      <c r="AL344" s="123"/>
      <c r="AM344" s="123"/>
      <c r="AR344" s="123"/>
      <c r="AS344" s="123"/>
      <c r="AU344" s="123"/>
      <c r="AV344" s="123"/>
    </row>
    <row r="345">
      <c r="A345" s="197"/>
      <c r="B345" s="197"/>
      <c r="AB345" s="123"/>
      <c r="AC345" s="123"/>
      <c r="AE345" s="123"/>
      <c r="AF345" s="123"/>
      <c r="AH345" s="123"/>
      <c r="AI345" s="123"/>
      <c r="AL345" s="123"/>
      <c r="AM345" s="123"/>
      <c r="AR345" s="123"/>
      <c r="AS345" s="123"/>
      <c r="AU345" s="123"/>
      <c r="AV345" s="123"/>
    </row>
    <row r="346">
      <c r="A346" s="197"/>
      <c r="B346" s="197"/>
      <c r="AB346" s="123"/>
      <c r="AC346" s="123"/>
      <c r="AE346" s="123"/>
      <c r="AF346" s="123"/>
      <c r="AH346" s="123"/>
      <c r="AI346" s="123"/>
      <c r="AL346" s="123"/>
      <c r="AM346" s="123"/>
      <c r="AR346" s="123"/>
      <c r="AS346" s="123"/>
      <c r="AU346" s="123"/>
      <c r="AV346" s="123"/>
    </row>
    <row r="347">
      <c r="A347" s="197"/>
      <c r="B347" s="197"/>
      <c r="AB347" s="123"/>
      <c r="AC347" s="123"/>
      <c r="AE347" s="123"/>
      <c r="AF347" s="123"/>
      <c r="AH347" s="123"/>
      <c r="AI347" s="123"/>
      <c r="AL347" s="123"/>
      <c r="AM347" s="123"/>
      <c r="AR347" s="123"/>
      <c r="AS347" s="123"/>
      <c r="AU347" s="123"/>
      <c r="AV347" s="123"/>
    </row>
    <row r="348">
      <c r="A348" s="197"/>
      <c r="B348" s="197"/>
      <c r="AB348" s="123"/>
      <c r="AC348" s="123"/>
      <c r="AE348" s="123"/>
      <c r="AF348" s="123"/>
      <c r="AH348" s="123"/>
      <c r="AI348" s="123"/>
      <c r="AL348" s="123"/>
      <c r="AM348" s="123"/>
      <c r="AR348" s="123"/>
      <c r="AS348" s="123"/>
      <c r="AU348" s="123"/>
      <c r="AV348" s="123"/>
    </row>
    <row r="349">
      <c r="A349" s="197"/>
      <c r="B349" s="197"/>
      <c r="AB349" s="123"/>
      <c r="AC349" s="123"/>
      <c r="AE349" s="123"/>
      <c r="AF349" s="123"/>
      <c r="AH349" s="123"/>
      <c r="AI349" s="123"/>
      <c r="AL349" s="123"/>
      <c r="AM349" s="123"/>
      <c r="AR349" s="123"/>
      <c r="AS349" s="123"/>
      <c r="AU349" s="123"/>
      <c r="AV349" s="123"/>
    </row>
    <row r="350">
      <c r="A350" s="197"/>
      <c r="B350" s="197"/>
      <c r="AB350" s="123"/>
      <c r="AC350" s="123"/>
      <c r="AE350" s="123"/>
      <c r="AF350" s="123"/>
      <c r="AH350" s="123"/>
      <c r="AI350" s="123"/>
      <c r="AL350" s="123"/>
      <c r="AM350" s="123"/>
      <c r="AR350" s="123"/>
      <c r="AS350" s="123"/>
      <c r="AU350" s="123"/>
      <c r="AV350" s="123"/>
    </row>
    <row r="351">
      <c r="A351" s="197"/>
      <c r="B351" s="197"/>
      <c r="AB351" s="123"/>
      <c r="AC351" s="123"/>
      <c r="AE351" s="123"/>
      <c r="AF351" s="123"/>
      <c r="AH351" s="123"/>
      <c r="AI351" s="123"/>
      <c r="AL351" s="123"/>
      <c r="AM351" s="123"/>
      <c r="AR351" s="123"/>
      <c r="AS351" s="123"/>
      <c r="AU351" s="123"/>
      <c r="AV351" s="123"/>
    </row>
    <row r="352">
      <c r="A352" s="197"/>
      <c r="B352" s="197"/>
      <c r="AB352" s="123"/>
      <c r="AC352" s="123"/>
      <c r="AE352" s="123"/>
      <c r="AF352" s="123"/>
      <c r="AH352" s="123"/>
      <c r="AI352" s="123"/>
      <c r="AL352" s="123"/>
      <c r="AM352" s="123"/>
      <c r="AR352" s="123"/>
      <c r="AS352" s="123"/>
      <c r="AU352" s="123"/>
      <c r="AV352" s="123"/>
    </row>
    <row r="353">
      <c r="A353" s="197"/>
      <c r="B353" s="197"/>
      <c r="AB353" s="123"/>
      <c r="AC353" s="123"/>
      <c r="AE353" s="123"/>
      <c r="AF353" s="123"/>
      <c r="AH353" s="123"/>
      <c r="AI353" s="123"/>
      <c r="AL353" s="123"/>
      <c r="AM353" s="123"/>
      <c r="AR353" s="123"/>
      <c r="AS353" s="123"/>
      <c r="AU353" s="123"/>
      <c r="AV353" s="123"/>
    </row>
    <row r="354">
      <c r="A354" s="197"/>
      <c r="B354" s="197"/>
      <c r="AB354" s="123"/>
      <c r="AC354" s="123"/>
      <c r="AE354" s="123"/>
      <c r="AF354" s="123"/>
      <c r="AH354" s="123"/>
      <c r="AI354" s="123"/>
      <c r="AL354" s="123"/>
      <c r="AM354" s="123"/>
      <c r="AR354" s="123"/>
      <c r="AS354" s="123"/>
      <c r="AU354" s="123"/>
      <c r="AV354" s="123"/>
    </row>
    <row r="355">
      <c r="A355" s="197"/>
      <c r="B355" s="197"/>
      <c r="AB355" s="123"/>
      <c r="AC355" s="123"/>
      <c r="AE355" s="123"/>
      <c r="AF355" s="123"/>
      <c r="AH355" s="123"/>
      <c r="AI355" s="123"/>
      <c r="AL355" s="123"/>
      <c r="AM355" s="123"/>
      <c r="AR355" s="123"/>
      <c r="AS355" s="123"/>
      <c r="AU355" s="123"/>
      <c r="AV355" s="123"/>
    </row>
    <row r="356">
      <c r="A356" s="197"/>
      <c r="B356" s="197"/>
      <c r="AB356" s="123"/>
      <c r="AC356" s="123"/>
      <c r="AE356" s="123"/>
      <c r="AF356" s="123"/>
      <c r="AH356" s="123"/>
      <c r="AI356" s="123"/>
      <c r="AL356" s="123"/>
      <c r="AM356" s="123"/>
      <c r="AR356" s="123"/>
      <c r="AS356" s="123"/>
      <c r="AU356" s="123"/>
      <c r="AV356" s="123"/>
    </row>
    <row r="357">
      <c r="A357" s="197"/>
      <c r="B357" s="197"/>
      <c r="AB357" s="123"/>
      <c r="AC357" s="123"/>
      <c r="AE357" s="123"/>
      <c r="AF357" s="123"/>
      <c r="AH357" s="123"/>
      <c r="AI357" s="123"/>
      <c r="AL357" s="123"/>
      <c r="AM357" s="123"/>
      <c r="AR357" s="123"/>
      <c r="AS357" s="123"/>
      <c r="AU357" s="123"/>
      <c r="AV357" s="123"/>
    </row>
    <row r="358">
      <c r="A358" s="197"/>
      <c r="B358" s="197"/>
      <c r="AB358" s="123"/>
      <c r="AC358" s="123"/>
      <c r="AE358" s="123"/>
      <c r="AF358" s="123"/>
      <c r="AH358" s="123"/>
      <c r="AI358" s="123"/>
      <c r="AL358" s="123"/>
      <c r="AM358" s="123"/>
      <c r="AR358" s="123"/>
      <c r="AS358" s="123"/>
      <c r="AU358" s="123"/>
      <c r="AV358" s="123"/>
    </row>
    <row r="359">
      <c r="A359" s="197"/>
      <c r="B359" s="197"/>
      <c r="AB359" s="123"/>
      <c r="AC359" s="123"/>
      <c r="AE359" s="123"/>
      <c r="AF359" s="123"/>
      <c r="AH359" s="123"/>
      <c r="AI359" s="123"/>
      <c r="AL359" s="123"/>
      <c r="AM359" s="123"/>
      <c r="AR359" s="123"/>
      <c r="AS359" s="123"/>
      <c r="AU359" s="123"/>
      <c r="AV359" s="123"/>
    </row>
    <row r="360">
      <c r="A360" s="197"/>
      <c r="B360" s="197"/>
      <c r="AB360" s="123"/>
      <c r="AC360" s="123"/>
      <c r="AE360" s="123"/>
      <c r="AF360" s="123"/>
      <c r="AH360" s="123"/>
      <c r="AI360" s="123"/>
      <c r="AL360" s="123"/>
      <c r="AM360" s="123"/>
      <c r="AR360" s="123"/>
      <c r="AS360" s="123"/>
      <c r="AU360" s="123"/>
      <c r="AV360" s="123"/>
    </row>
    <row r="361">
      <c r="A361" s="197"/>
      <c r="B361" s="197"/>
      <c r="AB361" s="123"/>
      <c r="AC361" s="123"/>
      <c r="AE361" s="123"/>
      <c r="AF361" s="123"/>
      <c r="AH361" s="123"/>
      <c r="AI361" s="123"/>
      <c r="AL361" s="123"/>
      <c r="AM361" s="123"/>
      <c r="AR361" s="123"/>
      <c r="AS361" s="123"/>
      <c r="AU361" s="123"/>
      <c r="AV361" s="123"/>
    </row>
    <row r="362">
      <c r="A362" s="197"/>
      <c r="B362" s="197"/>
      <c r="AB362" s="123"/>
      <c r="AC362" s="123"/>
      <c r="AE362" s="123"/>
      <c r="AF362" s="123"/>
      <c r="AH362" s="123"/>
      <c r="AI362" s="123"/>
      <c r="AL362" s="123"/>
      <c r="AM362" s="123"/>
      <c r="AR362" s="123"/>
      <c r="AS362" s="123"/>
      <c r="AU362" s="123"/>
      <c r="AV362" s="123"/>
    </row>
    <row r="363">
      <c r="A363" s="197"/>
      <c r="B363" s="197"/>
      <c r="AB363" s="123"/>
      <c r="AC363" s="123"/>
      <c r="AE363" s="123"/>
      <c r="AF363" s="123"/>
      <c r="AH363" s="123"/>
      <c r="AI363" s="123"/>
      <c r="AL363" s="123"/>
      <c r="AM363" s="123"/>
      <c r="AR363" s="123"/>
      <c r="AS363" s="123"/>
      <c r="AU363" s="123"/>
      <c r="AV363" s="123"/>
    </row>
    <row r="364">
      <c r="A364" s="197"/>
      <c r="B364" s="197"/>
      <c r="AB364" s="123"/>
      <c r="AC364" s="123"/>
      <c r="AE364" s="123"/>
      <c r="AF364" s="123"/>
      <c r="AH364" s="123"/>
      <c r="AI364" s="123"/>
      <c r="AL364" s="123"/>
      <c r="AM364" s="123"/>
      <c r="AR364" s="123"/>
      <c r="AS364" s="123"/>
      <c r="AU364" s="123"/>
      <c r="AV364" s="123"/>
    </row>
    <row r="365">
      <c r="A365" s="197"/>
      <c r="B365" s="197"/>
      <c r="AB365" s="123"/>
      <c r="AC365" s="123"/>
      <c r="AE365" s="123"/>
      <c r="AF365" s="123"/>
      <c r="AH365" s="123"/>
      <c r="AI365" s="123"/>
      <c r="AL365" s="123"/>
      <c r="AM365" s="123"/>
      <c r="AR365" s="123"/>
      <c r="AS365" s="123"/>
      <c r="AU365" s="123"/>
      <c r="AV365" s="123"/>
    </row>
    <row r="366">
      <c r="A366" s="197"/>
      <c r="B366" s="197"/>
      <c r="AB366" s="123"/>
      <c r="AC366" s="123"/>
      <c r="AE366" s="123"/>
      <c r="AF366" s="123"/>
      <c r="AH366" s="123"/>
      <c r="AI366" s="123"/>
      <c r="AL366" s="123"/>
      <c r="AM366" s="123"/>
      <c r="AR366" s="123"/>
      <c r="AS366" s="123"/>
      <c r="AU366" s="123"/>
      <c r="AV366" s="123"/>
    </row>
    <row r="367">
      <c r="A367" s="197"/>
      <c r="B367" s="197"/>
      <c r="AB367" s="123"/>
      <c r="AC367" s="123"/>
      <c r="AE367" s="123"/>
      <c r="AF367" s="123"/>
      <c r="AH367" s="123"/>
      <c r="AI367" s="123"/>
      <c r="AL367" s="123"/>
      <c r="AM367" s="123"/>
      <c r="AR367" s="123"/>
      <c r="AS367" s="123"/>
      <c r="AU367" s="123"/>
      <c r="AV367" s="123"/>
    </row>
    <row r="368">
      <c r="A368" s="197"/>
      <c r="B368" s="197"/>
      <c r="AB368" s="123"/>
      <c r="AC368" s="123"/>
      <c r="AE368" s="123"/>
      <c r="AF368" s="123"/>
      <c r="AH368" s="123"/>
      <c r="AI368" s="123"/>
      <c r="AL368" s="123"/>
      <c r="AM368" s="123"/>
      <c r="AR368" s="123"/>
      <c r="AS368" s="123"/>
      <c r="AU368" s="123"/>
      <c r="AV368" s="123"/>
    </row>
    <row r="369">
      <c r="A369" s="197"/>
      <c r="B369" s="197"/>
      <c r="AB369" s="123"/>
      <c r="AC369" s="123"/>
      <c r="AE369" s="123"/>
      <c r="AF369" s="123"/>
      <c r="AH369" s="123"/>
      <c r="AI369" s="123"/>
      <c r="AL369" s="123"/>
      <c r="AM369" s="123"/>
      <c r="AR369" s="123"/>
      <c r="AS369" s="123"/>
      <c r="AU369" s="123"/>
      <c r="AV369" s="123"/>
    </row>
    <row r="370">
      <c r="A370" s="197"/>
      <c r="B370" s="197"/>
      <c r="AB370" s="123"/>
      <c r="AC370" s="123"/>
      <c r="AE370" s="123"/>
      <c r="AF370" s="123"/>
      <c r="AH370" s="123"/>
      <c r="AI370" s="123"/>
      <c r="AL370" s="123"/>
      <c r="AM370" s="123"/>
      <c r="AR370" s="123"/>
      <c r="AS370" s="123"/>
      <c r="AU370" s="123"/>
      <c r="AV370" s="123"/>
    </row>
    <row r="371">
      <c r="A371" s="197"/>
      <c r="B371" s="197"/>
      <c r="AB371" s="123"/>
      <c r="AC371" s="123"/>
      <c r="AE371" s="123"/>
      <c r="AF371" s="123"/>
      <c r="AH371" s="123"/>
      <c r="AI371" s="123"/>
      <c r="AL371" s="123"/>
      <c r="AM371" s="123"/>
      <c r="AR371" s="123"/>
      <c r="AS371" s="123"/>
      <c r="AU371" s="123"/>
      <c r="AV371" s="123"/>
    </row>
    <row r="372">
      <c r="A372" s="197"/>
      <c r="B372" s="197"/>
      <c r="AB372" s="123"/>
      <c r="AC372" s="123"/>
      <c r="AE372" s="123"/>
      <c r="AF372" s="123"/>
      <c r="AH372" s="123"/>
      <c r="AI372" s="123"/>
      <c r="AL372" s="123"/>
      <c r="AM372" s="123"/>
      <c r="AR372" s="123"/>
      <c r="AS372" s="123"/>
      <c r="AU372" s="123"/>
      <c r="AV372" s="123"/>
    </row>
    <row r="373">
      <c r="A373" s="197"/>
      <c r="B373" s="197"/>
      <c r="AB373" s="123"/>
      <c r="AC373" s="123"/>
      <c r="AE373" s="123"/>
      <c r="AF373" s="123"/>
      <c r="AH373" s="123"/>
      <c r="AI373" s="123"/>
      <c r="AL373" s="123"/>
      <c r="AM373" s="123"/>
      <c r="AR373" s="123"/>
      <c r="AS373" s="123"/>
      <c r="AU373" s="123"/>
      <c r="AV373" s="123"/>
    </row>
    <row r="374">
      <c r="A374" s="197"/>
      <c r="B374" s="197"/>
      <c r="AB374" s="123"/>
      <c r="AC374" s="123"/>
      <c r="AE374" s="123"/>
      <c r="AF374" s="123"/>
      <c r="AH374" s="123"/>
      <c r="AI374" s="123"/>
      <c r="AL374" s="123"/>
      <c r="AM374" s="123"/>
      <c r="AR374" s="123"/>
      <c r="AS374" s="123"/>
      <c r="AU374" s="123"/>
      <c r="AV374" s="123"/>
    </row>
    <row r="375">
      <c r="A375" s="197"/>
      <c r="B375" s="197"/>
      <c r="AB375" s="123"/>
      <c r="AC375" s="123"/>
      <c r="AE375" s="123"/>
      <c r="AF375" s="123"/>
      <c r="AH375" s="123"/>
      <c r="AI375" s="123"/>
      <c r="AL375" s="123"/>
      <c r="AM375" s="123"/>
      <c r="AR375" s="123"/>
      <c r="AS375" s="123"/>
      <c r="AU375" s="123"/>
      <c r="AV375" s="123"/>
    </row>
    <row r="376">
      <c r="A376" s="197"/>
      <c r="B376" s="197"/>
      <c r="AB376" s="123"/>
      <c r="AC376" s="123"/>
      <c r="AE376" s="123"/>
      <c r="AF376" s="123"/>
      <c r="AH376" s="123"/>
      <c r="AI376" s="123"/>
      <c r="AL376" s="123"/>
      <c r="AM376" s="123"/>
      <c r="AR376" s="123"/>
      <c r="AS376" s="123"/>
      <c r="AU376" s="123"/>
      <c r="AV376" s="123"/>
    </row>
    <row r="377">
      <c r="A377" s="197"/>
      <c r="B377" s="197"/>
      <c r="AB377" s="123"/>
      <c r="AC377" s="123"/>
      <c r="AE377" s="123"/>
      <c r="AF377" s="123"/>
      <c r="AH377" s="123"/>
      <c r="AI377" s="123"/>
      <c r="AL377" s="123"/>
      <c r="AM377" s="123"/>
      <c r="AR377" s="123"/>
      <c r="AS377" s="123"/>
      <c r="AU377" s="123"/>
      <c r="AV377" s="123"/>
    </row>
    <row r="378">
      <c r="A378" s="197"/>
      <c r="B378" s="197"/>
      <c r="AB378" s="123"/>
      <c r="AC378" s="123"/>
      <c r="AE378" s="123"/>
      <c r="AF378" s="123"/>
      <c r="AH378" s="123"/>
      <c r="AI378" s="123"/>
      <c r="AL378" s="123"/>
      <c r="AM378" s="123"/>
      <c r="AR378" s="123"/>
      <c r="AS378" s="123"/>
      <c r="AU378" s="123"/>
      <c r="AV378" s="123"/>
    </row>
    <row r="379">
      <c r="A379" s="197"/>
      <c r="B379" s="197"/>
      <c r="AB379" s="123"/>
      <c r="AC379" s="123"/>
      <c r="AE379" s="123"/>
      <c r="AF379" s="123"/>
      <c r="AH379" s="123"/>
      <c r="AI379" s="123"/>
      <c r="AL379" s="123"/>
      <c r="AM379" s="123"/>
      <c r="AR379" s="123"/>
      <c r="AS379" s="123"/>
      <c r="AU379" s="123"/>
      <c r="AV379" s="123"/>
    </row>
    <row r="380">
      <c r="A380" s="197"/>
      <c r="B380" s="197"/>
      <c r="AB380" s="123"/>
      <c r="AC380" s="123"/>
      <c r="AE380" s="123"/>
      <c r="AF380" s="123"/>
      <c r="AH380" s="123"/>
      <c r="AI380" s="123"/>
      <c r="AL380" s="123"/>
      <c r="AM380" s="123"/>
      <c r="AR380" s="123"/>
      <c r="AS380" s="123"/>
      <c r="AU380" s="123"/>
      <c r="AV380" s="123"/>
    </row>
    <row r="381">
      <c r="A381" s="197"/>
      <c r="B381" s="197"/>
      <c r="AB381" s="123"/>
      <c r="AC381" s="123"/>
      <c r="AE381" s="123"/>
      <c r="AF381" s="123"/>
      <c r="AH381" s="123"/>
      <c r="AI381" s="123"/>
      <c r="AL381" s="123"/>
      <c r="AM381" s="123"/>
      <c r="AR381" s="123"/>
      <c r="AS381" s="123"/>
      <c r="AU381" s="123"/>
      <c r="AV381" s="123"/>
    </row>
    <row r="382">
      <c r="A382" s="197"/>
      <c r="B382" s="197"/>
      <c r="AB382" s="123"/>
      <c r="AC382" s="123"/>
      <c r="AE382" s="123"/>
      <c r="AF382" s="123"/>
      <c r="AH382" s="123"/>
      <c r="AI382" s="123"/>
      <c r="AL382" s="123"/>
      <c r="AM382" s="123"/>
      <c r="AR382" s="123"/>
      <c r="AS382" s="123"/>
      <c r="AU382" s="123"/>
      <c r="AV382" s="123"/>
    </row>
    <row r="383">
      <c r="A383" s="197"/>
      <c r="B383" s="197"/>
      <c r="AB383" s="123"/>
      <c r="AC383" s="123"/>
      <c r="AE383" s="123"/>
      <c r="AF383" s="123"/>
      <c r="AH383" s="123"/>
      <c r="AI383" s="123"/>
      <c r="AL383" s="123"/>
      <c r="AM383" s="123"/>
      <c r="AR383" s="123"/>
      <c r="AS383" s="123"/>
      <c r="AU383" s="123"/>
      <c r="AV383" s="123"/>
    </row>
    <row r="384">
      <c r="A384" s="197"/>
      <c r="B384" s="197"/>
      <c r="AB384" s="123"/>
      <c r="AC384" s="123"/>
      <c r="AE384" s="123"/>
      <c r="AF384" s="123"/>
      <c r="AH384" s="123"/>
      <c r="AI384" s="123"/>
      <c r="AL384" s="123"/>
      <c r="AM384" s="123"/>
      <c r="AR384" s="123"/>
      <c r="AS384" s="123"/>
      <c r="AU384" s="123"/>
      <c r="AV384" s="123"/>
    </row>
    <row r="385">
      <c r="A385" s="197"/>
      <c r="B385" s="197"/>
      <c r="AB385" s="123"/>
      <c r="AC385" s="123"/>
      <c r="AE385" s="123"/>
      <c r="AF385" s="123"/>
      <c r="AH385" s="123"/>
      <c r="AI385" s="123"/>
      <c r="AL385" s="123"/>
      <c r="AM385" s="123"/>
      <c r="AR385" s="123"/>
      <c r="AS385" s="123"/>
      <c r="AU385" s="123"/>
      <c r="AV385" s="123"/>
    </row>
    <row r="386">
      <c r="A386" s="197"/>
      <c r="B386" s="197"/>
      <c r="AB386" s="123"/>
      <c r="AC386" s="123"/>
      <c r="AE386" s="123"/>
      <c r="AF386" s="123"/>
      <c r="AH386" s="123"/>
      <c r="AI386" s="123"/>
      <c r="AL386" s="123"/>
      <c r="AM386" s="123"/>
      <c r="AR386" s="123"/>
      <c r="AS386" s="123"/>
      <c r="AU386" s="123"/>
      <c r="AV386" s="123"/>
    </row>
    <row r="387">
      <c r="A387" s="197"/>
      <c r="B387" s="197"/>
      <c r="AB387" s="123"/>
      <c r="AC387" s="123"/>
      <c r="AE387" s="123"/>
      <c r="AF387" s="123"/>
      <c r="AH387" s="123"/>
      <c r="AI387" s="123"/>
      <c r="AL387" s="123"/>
      <c r="AM387" s="123"/>
      <c r="AR387" s="123"/>
      <c r="AS387" s="123"/>
      <c r="AU387" s="123"/>
      <c r="AV387" s="123"/>
    </row>
    <row r="388">
      <c r="A388" s="197"/>
      <c r="B388" s="197"/>
      <c r="AB388" s="123"/>
      <c r="AC388" s="123"/>
      <c r="AE388" s="123"/>
      <c r="AF388" s="123"/>
      <c r="AH388" s="123"/>
      <c r="AI388" s="123"/>
      <c r="AL388" s="123"/>
      <c r="AM388" s="123"/>
      <c r="AR388" s="123"/>
      <c r="AS388" s="123"/>
      <c r="AU388" s="123"/>
      <c r="AV388" s="123"/>
    </row>
    <row r="389">
      <c r="A389" s="197"/>
      <c r="B389" s="197"/>
      <c r="AB389" s="123"/>
      <c r="AC389" s="123"/>
      <c r="AE389" s="123"/>
      <c r="AF389" s="123"/>
      <c r="AH389" s="123"/>
      <c r="AI389" s="123"/>
      <c r="AL389" s="123"/>
      <c r="AM389" s="123"/>
      <c r="AR389" s="123"/>
      <c r="AS389" s="123"/>
      <c r="AU389" s="123"/>
      <c r="AV389" s="123"/>
    </row>
    <row r="390">
      <c r="A390" s="197"/>
      <c r="B390" s="197"/>
      <c r="AB390" s="123"/>
      <c r="AC390" s="123"/>
      <c r="AE390" s="123"/>
      <c r="AF390" s="123"/>
      <c r="AH390" s="123"/>
      <c r="AI390" s="123"/>
      <c r="AL390" s="123"/>
      <c r="AM390" s="123"/>
      <c r="AR390" s="123"/>
      <c r="AS390" s="123"/>
      <c r="AU390" s="123"/>
      <c r="AV390" s="123"/>
    </row>
    <row r="391">
      <c r="A391" s="197"/>
      <c r="B391" s="197"/>
      <c r="AB391" s="123"/>
      <c r="AC391" s="123"/>
      <c r="AE391" s="123"/>
      <c r="AF391" s="123"/>
      <c r="AH391" s="123"/>
      <c r="AI391" s="123"/>
      <c r="AL391" s="123"/>
      <c r="AM391" s="123"/>
      <c r="AR391" s="123"/>
      <c r="AS391" s="123"/>
      <c r="AU391" s="123"/>
      <c r="AV391" s="123"/>
    </row>
    <row r="392">
      <c r="A392" s="197"/>
      <c r="B392" s="197"/>
      <c r="AB392" s="123"/>
      <c r="AC392" s="123"/>
      <c r="AE392" s="123"/>
      <c r="AF392" s="123"/>
      <c r="AH392" s="123"/>
      <c r="AI392" s="123"/>
      <c r="AL392" s="123"/>
      <c r="AM392" s="123"/>
      <c r="AR392" s="123"/>
      <c r="AS392" s="123"/>
      <c r="AU392" s="123"/>
      <c r="AV392" s="123"/>
    </row>
    <row r="393">
      <c r="A393" s="197"/>
      <c r="B393" s="197"/>
      <c r="AB393" s="123"/>
      <c r="AC393" s="123"/>
      <c r="AE393" s="123"/>
      <c r="AF393" s="123"/>
      <c r="AH393" s="123"/>
      <c r="AI393" s="123"/>
      <c r="AL393" s="123"/>
      <c r="AM393" s="123"/>
      <c r="AR393" s="123"/>
      <c r="AS393" s="123"/>
      <c r="AU393" s="123"/>
      <c r="AV393" s="123"/>
    </row>
    <row r="394">
      <c r="A394" s="197"/>
      <c r="B394" s="197"/>
      <c r="AB394" s="123"/>
      <c r="AC394" s="123"/>
      <c r="AE394" s="123"/>
      <c r="AF394" s="123"/>
      <c r="AH394" s="123"/>
      <c r="AI394" s="123"/>
      <c r="AL394" s="123"/>
      <c r="AM394" s="123"/>
      <c r="AR394" s="123"/>
      <c r="AS394" s="123"/>
      <c r="AU394" s="123"/>
      <c r="AV394" s="123"/>
    </row>
    <row r="395">
      <c r="A395" s="197"/>
      <c r="B395" s="197"/>
      <c r="AB395" s="123"/>
      <c r="AC395" s="123"/>
      <c r="AE395" s="123"/>
      <c r="AF395" s="123"/>
      <c r="AH395" s="123"/>
      <c r="AI395" s="123"/>
      <c r="AL395" s="123"/>
      <c r="AM395" s="123"/>
      <c r="AR395" s="123"/>
      <c r="AS395" s="123"/>
      <c r="AU395" s="123"/>
      <c r="AV395" s="123"/>
    </row>
    <row r="396">
      <c r="A396" s="197"/>
      <c r="B396" s="197"/>
      <c r="AB396" s="123"/>
      <c r="AC396" s="123"/>
      <c r="AE396" s="123"/>
      <c r="AF396" s="123"/>
      <c r="AH396" s="123"/>
      <c r="AI396" s="123"/>
      <c r="AL396" s="123"/>
      <c r="AM396" s="123"/>
      <c r="AR396" s="123"/>
      <c r="AS396" s="123"/>
      <c r="AU396" s="123"/>
      <c r="AV396" s="123"/>
    </row>
    <row r="397">
      <c r="A397" s="197"/>
      <c r="B397" s="197"/>
      <c r="AB397" s="123"/>
      <c r="AC397" s="123"/>
      <c r="AE397" s="123"/>
      <c r="AF397" s="123"/>
      <c r="AH397" s="123"/>
      <c r="AI397" s="123"/>
      <c r="AL397" s="123"/>
      <c r="AM397" s="123"/>
      <c r="AR397" s="123"/>
      <c r="AS397" s="123"/>
      <c r="AU397" s="123"/>
      <c r="AV397" s="123"/>
    </row>
    <row r="398">
      <c r="A398" s="197"/>
      <c r="B398" s="197"/>
      <c r="AB398" s="123"/>
      <c r="AC398" s="123"/>
      <c r="AE398" s="123"/>
      <c r="AF398" s="123"/>
      <c r="AH398" s="123"/>
      <c r="AI398" s="123"/>
      <c r="AL398" s="123"/>
      <c r="AM398" s="123"/>
      <c r="AR398" s="123"/>
      <c r="AS398" s="123"/>
      <c r="AU398" s="123"/>
      <c r="AV398" s="123"/>
    </row>
    <row r="399">
      <c r="A399" s="197"/>
      <c r="B399" s="197"/>
      <c r="AB399" s="123"/>
      <c r="AC399" s="123"/>
      <c r="AE399" s="123"/>
      <c r="AF399" s="123"/>
      <c r="AH399" s="123"/>
      <c r="AI399" s="123"/>
      <c r="AL399" s="123"/>
      <c r="AM399" s="123"/>
      <c r="AR399" s="123"/>
      <c r="AS399" s="123"/>
      <c r="AU399" s="123"/>
      <c r="AV399" s="123"/>
    </row>
    <row r="400">
      <c r="A400" s="197"/>
      <c r="B400" s="197"/>
      <c r="AB400" s="123"/>
      <c r="AC400" s="123"/>
      <c r="AE400" s="123"/>
      <c r="AF400" s="123"/>
      <c r="AH400" s="123"/>
      <c r="AI400" s="123"/>
      <c r="AL400" s="123"/>
      <c r="AM400" s="123"/>
      <c r="AR400" s="123"/>
      <c r="AS400" s="123"/>
      <c r="AU400" s="123"/>
      <c r="AV400" s="123"/>
    </row>
    <row r="401">
      <c r="A401" s="197"/>
      <c r="B401" s="197"/>
      <c r="AB401" s="123"/>
      <c r="AC401" s="123"/>
      <c r="AE401" s="123"/>
      <c r="AF401" s="123"/>
      <c r="AH401" s="123"/>
      <c r="AI401" s="123"/>
      <c r="AL401" s="123"/>
      <c r="AM401" s="123"/>
      <c r="AR401" s="123"/>
      <c r="AS401" s="123"/>
      <c r="AU401" s="123"/>
      <c r="AV401" s="123"/>
    </row>
    <row r="402">
      <c r="A402" s="197"/>
      <c r="B402" s="197"/>
      <c r="AB402" s="123"/>
      <c r="AC402" s="123"/>
      <c r="AE402" s="123"/>
      <c r="AF402" s="123"/>
      <c r="AH402" s="123"/>
      <c r="AI402" s="123"/>
      <c r="AL402" s="123"/>
      <c r="AM402" s="123"/>
      <c r="AR402" s="123"/>
      <c r="AS402" s="123"/>
      <c r="AU402" s="123"/>
      <c r="AV402" s="123"/>
    </row>
    <row r="403">
      <c r="A403" s="197"/>
      <c r="B403" s="197"/>
      <c r="AB403" s="123"/>
      <c r="AC403" s="123"/>
      <c r="AE403" s="123"/>
      <c r="AF403" s="123"/>
      <c r="AH403" s="123"/>
      <c r="AI403" s="123"/>
      <c r="AL403" s="123"/>
      <c r="AM403" s="123"/>
      <c r="AR403" s="123"/>
      <c r="AS403" s="123"/>
      <c r="AU403" s="123"/>
      <c r="AV403" s="123"/>
    </row>
    <row r="404">
      <c r="A404" s="197"/>
      <c r="B404" s="197"/>
      <c r="AB404" s="123"/>
      <c r="AC404" s="123"/>
      <c r="AE404" s="123"/>
      <c r="AF404" s="123"/>
      <c r="AH404" s="123"/>
      <c r="AI404" s="123"/>
      <c r="AL404" s="123"/>
      <c r="AM404" s="123"/>
      <c r="AR404" s="123"/>
      <c r="AS404" s="123"/>
      <c r="AU404" s="123"/>
      <c r="AV404" s="123"/>
    </row>
    <row r="405">
      <c r="A405" s="197"/>
      <c r="B405" s="197"/>
      <c r="AB405" s="123"/>
      <c r="AC405" s="123"/>
      <c r="AE405" s="123"/>
      <c r="AF405" s="123"/>
      <c r="AH405" s="123"/>
      <c r="AI405" s="123"/>
      <c r="AL405" s="123"/>
      <c r="AM405" s="123"/>
      <c r="AR405" s="123"/>
      <c r="AS405" s="123"/>
      <c r="AU405" s="123"/>
      <c r="AV405" s="123"/>
    </row>
    <row r="406">
      <c r="A406" s="197"/>
      <c r="B406" s="197"/>
      <c r="AB406" s="123"/>
      <c r="AC406" s="123"/>
      <c r="AE406" s="123"/>
      <c r="AF406" s="123"/>
      <c r="AH406" s="123"/>
      <c r="AI406" s="123"/>
      <c r="AL406" s="123"/>
      <c r="AM406" s="123"/>
      <c r="AR406" s="123"/>
      <c r="AS406" s="123"/>
      <c r="AU406" s="123"/>
      <c r="AV406" s="123"/>
    </row>
    <row r="407">
      <c r="A407" s="197"/>
      <c r="B407" s="197"/>
      <c r="AB407" s="123"/>
      <c r="AC407" s="123"/>
      <c r="AE407" s="123"/>
      <c r="AF407" s="123"/>
      <c r="AH407" s="123"/>
      <c r="AI407" s="123"/>
      <c r="AL407" s="123"/>
      <c r="AM407" s="123"/>
      <c r="AR407" s="123"/>
      <c r="AS407" s="123"/>
      <c r="AU407" s="123"/>
      <c r="AV407" s="123"/>
    </row>
    <row r="408">
      <c r="A408" s="197"/>
      <c r="B408" s="197"/>
      <c r="AB408" s="123"/>
      <c r="AC408" s="123"/>
      <c r="AE408" s="123"/>
      <c r="AF408" s="123"/>
      <c r="AH408" s="123"/>
      <c r="AI408" s="123"/>
      <c r="AL408" s="123"/>
      <c r="AM408" s="123"/>
      <c r="AR408" s="123"/>
      <c r="AS408" s="123"/>
      <c r="AU408" s="123"/>
      <c r="AV408" s="123"/>
    </row>
    <row r="409">
      <c r="A409" s="197"/>
      <c r="B409" s="197"/>
      <c r="AB409" s="123"/>
      <c r="AC409" s="123"/>
      <c r="AE409" s="123"/>
      <c r="AF409" s="123"/>
      <c r="AH409" s="123"/>
      <c r="AI409" s="123"/>
      <c r="AL409" s="123"/>
      <c r="AM409" s="123"/>
      <c r="AR409" s="123"/>
      <c r="AS409" s="123"/>
      <c r="AU409" s="123"/>
      <c r="AV409" s="123"/>
    </row>
    <row r="410">
      <c r="A410" s="197"/>
      <c r="B410" s="197"/>
      <c r="AB410" s="123"/>
      <c r="AC410" s="123"/>
      <c r="AE410" s="123"/>
      <c r="AF410" s="123"/>
      <c r="AH410" s="123"/>
      <c r="AI410" s="123"/>
      <c r="AL410" s="123"/>
      <c r="AM410" s="123"/>
      <c r="AR410" s="123"/>
      <c r="AS410" s="123"/>
      <c r="AU410" s="123"/>
      <c r="AV410" s="123"/>
    </row>
    <row r="411">
      <c r="A411" s="197"/>
      <c r="B411" s="197"/>
      <c r="AB411" s="123"/>
      <c r="AC411" s="123"/>
      <c r="AE411" s="123"/>
      <c r="AF411" s="123"/>
      <c r="AH411" s="123"/>
      <c r="AI411" s="123"/>
      <c r="AL411" s="123"/>
      <c r="AM411" s="123"/>
      <c r="AR411" s="123"/>
      <c r="AS411" s="123"/>
      <c r="AU411" s="123"/>
      <c r="AV411" s="123"/>
    </row>
    <row r="412">
      <c r="A412" s="197"/>
      <c r="B412" s="197"/>
      <c r="AB412" s="123"/>
      <c r="AC412" s="123"/>
      <c r="AE412" s="123"/>
      <c r="AF412" s="123"/>
      <c r="AH412" s="123"/>
      <c r="AI412" s="123"/>
      <c r="AL412" s="123"/>
      <c r="AM412" s="123"/>
      <c r="AR412" s="123"/>
      <c r="AS412" s="123"/>
      <c r="AU412" s="123"/>
      <c r="AV412" s="123"/>
    </row>
    <row r="413">
      <c r="A413" s="197"/>
      <c r="B413" s="197"/>
      <c r="AB413" s="123"/>
      <c r="AC413" s="123"/>
      <c r="AE413" s="123"/>
      <c r="AF413" s="123"/>
      <c r="AH413" s="123"/>
      <c r="AI413" s="123"/>
      <c r="AL413" s="123"/>
      <c r="AM413" s="123"/>
      <c r="AR413" s="123"/>
      <c r="AS413" s="123"/>
      <c r="AU413" s="123"/>
      <c r="AV413" s="123"/>
    </row>
    <row r="414">
      <c r="A414" s="197"/>
      <c r="B414" s="197"/>
      <c r="AB414" s="123"/>
      <c r="AC414" s="123"/>
      <c r="AE414" s="123"/>
      <c r="AF414" s="123"/>
      <c r="AH414" s="123"/>
      <c r="AI414" s="123"/>
      <c r="AL414" s="123"/>
      <c r="AM414" s="123"/>
      <c r="AR414" s="123"/>
      <c r="AS414" s="123"/>
      <c r="AU414" s="123"/>
      <c r="AV414" s="123"/>
    </row>
    <row r="415">
      <c r="A415" s="197"/>
      <c r="B415" s="197"/>
      <c r="AB415" s="123"/>
      <c r="AC415" s="123"/>
      <c r="AE415" s="123"/>
      <c r="AF415" s="123"/>
      <c r="AH415" s="123"/>
      <c r="AI415" s="123"/>
      <c r="AL415" s="123"/>
      <c r="AM415" s="123"/>
      <c r="AR415" s="123"/>
      <c r="AS415" s="123"/>
      <c r="AU415" s="123"/>
      <c r="AV415" s="123"/>
    </row>
    <row r="416">
      <c r="A416" s="197"/>
      <c r="B416" s="197"/>
      <c r="AB416" s="123"/>
      <c r="AC416" s="123"/>
      <c r="AE416" s="123"/>
      <c r="AF416" s="123"/>
      <c r="AH416" s="123"/>
      <c r="AI416" s="123"/>
      <c r="AL416" s="123"/>
      <c r="AM416" s="123"/>
      <c r="AR416" s="123"/>
      <c r="AS416" s="123"/>
      <c r="AU416" s="123"/>
      <c r="AV416" s="123"/>
    </row>
    <row r="417">
      <c r="A417" s="197"/>
      <c r="B417" s="197"/>
      <c r="AB417" s="123"/>
      <c r="AC417" s="123"/>
      <c r="AE417" s="123"/>
      <c r="AF417" s="123"/>
      <c r="AH417" s="123"/>
      <c r="AI417" s="123"/>
      <c r="AL417" s="123"/>
      <c r="AM417" s="123"/>
      <c r="AR417" s="123"/>
      <c r="AS417" s="123"/>
      <c r="AU417" s="123"/>
      <c r="AV417" s="123"/>
    </row>
    <row r="418">
      <c r="A418" s="197"/>
      <c r="B418" s="197"/>
      <c r="AB418" s="123"/>
      <c r="AC418" s="123"/>
      <c r="AE418" s="123"/>
      <c r="AF418" s="123"/>
      <c r="AH418" s="123"/>
      <c r="AI418" s="123"/>
      <c r="AL418" s="123"/>
      <c r="AM418" s="123"/>
      <c r="AR418" s="123"/>
      <c r="AS418" s="123"/>
      <c r="AU418" s="123"/>
      <c r="AV418" s="123"/>
    </row>
    <row r="419">
      <c r="A419" s="197"/>
      <c r="B419" s="197"/>
      <c r="AB419" s="123"/>
      <c r="AC419" s="123"/>
      <c r="AE419" s="123"/>
      <c r="AF419" s="123"/>
      <c r="AH419" s="123"/>
      <c r="AI419" s="123"/>
      <c r="AL419" s="123"/>
      <c r="AM419" s="123"/>
      <c r="AR419" s="123"/>
      <c r="AS419" s="123"/>
      <c r="AU419" s="123"/>
      <c r="AV419" s="123"/>
    </row>
    <row r="420">
      <c r="A420" s="197"/>
      <c r="B420" s="197"/>
      <c r="AB420" s="123"/>
      <c r="AC420" s="123"/>
      <c r="AE420" s="123"/>
      <c r="AF420" s="123"/>
      <c r="AH420" s="123"/>
      <c r="AI420" s="123"/>
      <c r="AL420" s="123"/>
      <c r="AM420" s="123"/>
      <c r="AR420" s="123"/>
      <c r="AS420" s="123"/>
      <c r="AU420" s="123"/>
      <c r="AV420" s="123"/>
    </row>
    <row r="421">
      <c r="A421" s="197"/>
      <c r="B421" s="197"/>
      <c r="AB421" s="123"/>
      <c r="AC421" s="123"/>
      <c r="AE421" s="123"/>
      <c r="AF421" s="123"/>
      <c r="AH421" s="123"/>
      <c r="AI421" s="123"/>
      <c r="AL421" s="123"/>
      <c r="AM421" s="123"/>
      <c r="AR421" s="123"/>
      <c r="AS421" s="123"/>
      <c r="AU421" s="123"/>
      <c r="AV421" s="123"/>
    </row>
    <row r="422">
      <c r="A422" s="197"/>
      <c r="B422" s="197"/>
      <c r="AB422" s="123"/>
      <c r="AC422" s="123"/>
      <c r="AE422" s="123"/>
      <c r="AF422" s="123"/>
      <c r="AH422" s="123"/>
      <c r="AI422" s="123"/>
      <c r="AL422" s="123"/>
      <c r="AM422" s="123"/>
      <c r="AR422" s="123"/>
      <c r="AS422" s="123"/>
      <c r="AU422" s="123"/>
      <c r="AV422" s="123"/>
    </row>
    <row r="423">
      <c r="A423" s="197"/>
      <c r="B423" s="197"/>
      <c r="AB423" s="123"/>
      <c r="AC423" s="123"/>
      <c r="AE423" s="123"/>
      <c r="AF423" s="123"/>
      <c r="AH423" s="123"/>
      <c r="AI423" s="123"/>
      <c r="AL423" s="123"/>
      <c r="AM423" s="123"/>
      <c r="AR423" s="123"/>
      <c r="AS423" s="123"/>
      <c r="AU423" s="123"/>
      <c r="AV423" s="123"/>
    </row>
    <row r="424">
      <c r="A424" s="197"/>
      <c r="B424" s="197"/>
      <c r="AB424" s="123"/>
      <c r="AC424" s="123"/>
      <c r="AE424" s="123"/>
      <c r="AF424" s="123"/>
      <c r="AH424" s="123"/>
      <c r="AI424" s="123"/>
      <c r="AL424" s="123"/>
      <c r="AM424" s="123"/>
      <c r="AR424" s="123"/>
      <c r="AS424" s="123"/>
      <c r="AU424" s="123"/>
      <c r="AV424" s="123"/>
    </row>
    <row r="425">
      <c r="A425" s="197"/>
      <c r="B425" s="197"/>
      <c r="AB425" s="123"/>
      <c r="AC425" s="123"/>
      <c r="AE425" s="123"/>
      <c r="AF425" s="123"/>
      <c r="AH425" s="123"/>
      <c r="AI425" s="123"/>
      <c r="AL425" s="123"/>
      <c r="AM425" s="123"/>
      <c r="AR425" s="123"/>
      <c r="AS425" s="123"/>
      <c r="AU425" s="123"/>
      <c r="AV425" s="123"/>
    </row>
    <row r="426">
      <c r="A426" s="197"/>
      <c r="B426" s="197"/>
      <c r="AB426" s="123"/>
      <c r="AC426" s="123"/>
      <c r="AE426" s="123"/>
      <c r="AF426" s="123"/>
      <c r="AH426" s="123"/>
      <c r="AI426" s="123"/>
      <c r="AL426" s="123"/>
      <c r="AM426" s="123"/>
      <c r="AR426" s="123"/>
      <c r="AS426" s="123"/>
      <c r="AU426" s="123"/>
      <c r="AV426" s="123"/>
    </row>
    <row r="427">
      <c r="A427" s="197"/>
      <c r="B427" s="197"/>
      <c r="AB427" s="123"/>
      <c r="AC427" s="123"/>
      <c r="AE427" s="123"/>
      <c r="AF427" s="123"/>
      <c r="AH427" s="123"/>
      <c r="AI427" s="123"/>
      <c r="AL427" s="123"/>
      <c r="AM427" s="123"/>
      <c r="AR427" s="123"/>
      <c r="AS427" s="123"/>
      <c r="AU427" s="123"/>
      <c r="AV427" s="123"/>
    </row>
    <row r="428">
      <c r="A428" s="197"/>
      <c r="B428" s="197"/>
      <c r="AB428" s="123"/>
      <c r="AC428" s="123"/>
      <c r="AE428" s="123"/>
      <c r="AF428" s="123"/>
      <c r="AH428" s="123"/>
      <c r="AI428" s="123"/>
      <c r="AL428" s="123"/>
      <c r="AM428" s="123"/>
      <c r="AR428" s="123"/>
      <c r="AS428" s="123"/>
      <c r="AU428" s="123"/>
      <c r="AV428" s="123"/>
    </row>
    <row r="429">
      <c r="A429" s="197"/>
      <c r="B429" s="197"/>
      <c r="AB429" s="123"/>
      <c r="AC429" s="123"/>
      <c r="AE429" s="123"/>
      <c r="AF429" s="123"/>
      <c r="AH429" s="123"/>
      <c r="AI429" s="123"/>
      <c r="AL429" s="123"/>
      <c r="AM429" s="123"/>
      <c r="AR429" s="123"/>
      <c r="AS429" s="123"/>
      <c r="AU429" s="123"/>
      <c r="AV429" s="123"/>
    </row>
    <row r="430">
      <c r="A430" s="197"/>
      <c r="B430" s="197"/>
      <c r="AB430" s="123"/>
      <c r="AC430" s="123"/>
      <c r="AE430" s="123"/>
      <c r="AF430" s="123"/>
      <c r="AH430" s="123"/>
      <c r="AI430" s="123"/>
      <c r="AL430" s="123"/>
      <c r="AM430" s="123"/>
      <c r="AR430" s="123"/>
      <c r="AS430" s="123"/>
      <c r="AU430" s="123"/>
      <c r="AV430" s="123"/>
    </row>
    <row r="431">
      <c r="A431" s="197"/>
      <c r="B431" s="197"/>
      <c r="AB431" s="123"/>
      <c r="AC431" s="123"/>
      <c r="AE431" s="123"/>
      <c r="AF431" s="123"/>
      <c r="AH431" s="123"/>
      <c r="AI431" s="123"/>
      <c r="AL431" s="123"/>
      <c r="AM431" s="123"/>
      <c r="AR431" s="123"/>
      <c r="AS431" s="123"/>
      <c r="AU431" s="123"/>
      <c r="AV431" s="123"/>
    </row>
    <row r="432">
      <c r="A432" s="197"/>
      <c r="B432" s="197"/>
      <c r="AB432" s="123"/>
      <c r="AC432" s="123"/>
      <c r="AE432" s="123"/>
      <c r="AF432" s="123"/>
      <c r="AH432" s="123"/>
      <c r="AI432" s="123"/>
      <c r="AL432" s="123"/>
      <c r="AM432" s="123"/>
      <c r="AR432" s="123"/>
      <c r="AS432" s="123"/>
      <c r="AU432" s="123"/>
      <c r="AV432" s="123"/>
    </row>
    <row r="433">
      <c r="A433" s="197"/>
      <c r="B433" s="197"/>
      <c r="AB433" s="123"/>
      <c r="AC433" s="123"/>
      <c r="AE433" s="123"/>
      <c r="AF433" s="123"/>
      <c r="AH433" s="123"/>
      <c r="AI433" s="123"/>
      <c r="AL433" s="123"/>
      <c r="AM433" s="123"/>
      <c r="AR433" s="123"/>
      <c r="AS433" s="123"/>
      <c r="AU433" s="123"/>
      <c r="AV433" s="123"/>
    </row>
    <row r="434">
      <c r="A434" s="197"/>
      <c r="B434" s="197"/>
      <c r="AB434" s="123"/>
      <c r="AC434" s="123"/>
      <c r="AE434" s="123"/>
      <c r="AF434" s="123"/>
      <c r="AH434" s="123"/>
      <c r="AI434" s="123"/>
      <c r="AL434" s="123"/>
      <c r="AM434" s="123"/>
      <c r="AR434" s="123"/>
      <c r="AS434" s="123"/>
      <c r="AU434" s="123"/>
      <c r="AV434" s="123"/>
    </row>
    <row r="435">
      <c r="A435" s="197"/>
      <c r="B435" s="197"/>
      <c r="AB435" s="123"/>
      <c r="AC435" s="123"/>
      <c r="AE435" s="123"/>
      <c r="AF435" s="123"/>
      <c r="AH435" s="123"/>
      <c r="AI435" s="123"/>
      <c r="AL435" s="123"/>
      <c r="AM435" s="123"/>
      <c r="AR435" s="123"/>
      <c r="AS435" s="123"/>
      <c r="AU435" s="123"/>
      <c r="AV435" s="123"/>
    </row>
    <row r="436">
      <c r="A436" s="197"/>
      <c r="B436" s="197"/>
      <c r="AB436" s="123"/>
      <c r="AC436" s="123"/>
      <c r="AE436" s="123"/>
      <c r="AF436" s="123"/>
      <c r="AH436" s="123"/>
      <c r="AI436" s="123"/>
      <c r="AL436" s="123"/>
      <c r="AM436" s="123"/>
      <c r="AR436" s="123"/>
      <c r="AS436" s="123"/>
      <c r="AU436" s="123"/>
      <c r="AV436" s="123"/>
    </row>
    <row r="437">
      <c r="A437" s="197"/>
      <c r="B437" s="197"/>
      <c r="AB437" s="123"/>
      <c r="AC437" s="123"/>
      <c r="AE437" s="123"/>
      <c r="AF437" s="123"/>
      <c r="AH437" s="123"/>
      <c r="AI437" s="123"/>
      <c r="AL437" s="123"/>
      <c r="AM437" s="123"/>
      <c r="AR437" s="123"/>
      <c r="AS437" s="123"/>
      <c r="AU437" s="123"/>
      <c r="AV437" s="123"/>
    </row>
    <row r="438">
      <c r="A438" s="197"/>
      <c r="B438" s="197"/>
      <c r="AB438" s="123"/>
      <c r="AC438" s="123"/>
      <c r="AE438" s="123"/>
      <c r="AF438" s="123"/>
      <c r="AH438" s="123"/>
      <c r="AI438" s="123"/>
      <c r="AL438" s="123"/>
      <c r="AM438" s="123"/>
      <c r="AR438" s="123"/>
      <c r="AS438" s="123"/>
      <c r="AU438" s="123"/>
      <c r="AV438" s="123"/>
    </row>
    <row r="439">
      <c r="A439" s="197"/>
      <c r="B439" s="197"/>
      <c r="AB439" s="123"/>
      <c r="AC439" s="123"/>
      <c r="AE439" s="123"/>
      <c r="AF439" s="123"/>
      <c r="AH439" s="123"/>
      <c r="AI439" s="123"/>
      <c r="AL439" s="123"/>
      <c r="AM439" s="123"/>
      <c r="AR439" s="123"/>
      <c r="AS439" s="123"/>
      <c r="AU439" s="123"/>
      <c r="AV439" s="123"/>
    </row>
    <row r="440">
      <c r="A440" s="197"/>
      <c r="B440" s="197"/>
      <c r="AB440" s="123"/>
      <c r="AC440" s="123"/>
      <c r="AE440" s="123"/>
      <c r="AF440" s="123"/>
      <c r="AH440" s="123"/>
      <c r="AI440" s="123"/>
      <c r="AL440" s="123"/>
      <c r="AM440" s="123"/>
      <c r="AR440" s="123"/>
      <c r="AS440" s="123"/>
      <c r="AU440" s="123"/>
      <c r="AV440" s="123"/>
    </row>
    <row r="441">
      <c r="A441" s="197"/>
      <c r="B441" s="197"/>
      <c r="AB441" s="123"/>
      <c r="AC441" s="123"/>
      <c r="AE441" s="123"/>
      <c r="AF441" s="123"/>
      <c r="AH441" s="123"/>
      <c r="AI441" s="123"/>
      <c r="AL441" s="123"/>
      <c r="AM441" s="123"/>
      <c r="AR441" s="123"/>
      <c r="AS441" s="123"/>
      <c r="AU441" s="123"/>
      <c r="AV441" s="123"/>
    </row>
    <row r="442">
      <c r="A442" s="197"/>
      <c r="B442" s="197"/>
      <c r="AB442" s="123"/>
      <c r="AC442" s="123"/>
      <c r="AE442" s="123"/>
      <c r="AF442" s="123"/>
      <c r="AH442" s="123"/>
      <c r="AI442" s="123"/>
      <c r="AL442" s="123"/>
      <c r="AM442" s="123"/>
      <c r="AR442" s="123"/>
      <c r="AS442" s="123"/>
      <c r="AU442" s="123"/>
      <c r="AV442" s="123"/>
    </row>
    <row r="443">
      <c r="A443" s="197"/>
      <c r="B443" s="197"/>
      <c r="AB443" s="123"/>
      <c r="AC443" s="123"/>
      <c r="AE443" s="123"/>
      <c r="AF443" s="123"/>
      <c r="AH443" s="123"/>
      <c r="AI443" s="123"/>
      <c r="AL443" s="123"/>
      <c r="AM443" s="123"/>
      <c r="AR443" s="123"/>
      <c r="AS443" s="123"/>
      <c r="AU443" s="123"/>
      <c r="AV443" s="123"/>
    </row>
    <row r="444">
      <c r="A444" s="197"/>
      <c r="B444" s="197"/>
      <c r="AB444" s="123"/>
      <c r="AC444" s="123"/>
      <c r="AE444" s="123"/>
      <c r="AF444" s="123"/>
      <c r="AH444" s="123"/>
      <c r="AI444" s="123"/>
      <c r="AL444" s="123"/>
      <c r="AM444" s="123"/>
      <c r="AR444" s="123"/>
      <c r="AS444" s="123"/>
      <c r="AU444" s="123"/>
      <c r="AV444" s="123"/>
    </row>
    <row r="445">
      <c r="A445" s="197"/>
      <c r="B445" s="197"/>
      <c r="AB445" s="123"/>
      <c r="AC445" s="123"/>
      <c r="AE445" s="123"/>
      <c r="AF445" s="123"/>
      <c r="AH445" s="123"/>
      <c r="AI445" s="123"/>
      <c r="AL445" s="123"/>
      <c r="AM445" s="123"/>
      <c r="AR445" s="123"/>
      <c r="AS445" s="123"/>
      <c r="AU445" s="123"/>
      <c r="AV445" s="123"/>
    </row>
    <row r="446">
      <c r="A446" s="197"/>
      <c r="B446" s="197"/>
      <c r="AB446" s="123"/>
      <c r="AC446" s="123"/>
      <c r="AE446" s="123"/>
      <c r="AF446" s="123"/>
      <c r="AH446" s="123"/>
      <c r="AI446" s="123"/>
      <c r="AL446" s="123"/>
      <c r="AM446" s="123"/>
      <c r="AR446" s="123"/>
      <c r="AS446" s="123"/>
      <c r="AU446" s="123"/>
      <c r="AV446" s="123"/>
    </row>
    <row r="447">
      <c r="A447" s="197"/>
      <c r="B447" s="197"/>
      <c r="AB447" s="123"/>
      <c r="AC447" s="123"/>
      <c r="AE447" s="123"/>
      <c r="AF447" s="123"/>
      <c r="AH447" s="123"/>
      <c r="AI447" s="123"/>
      <c r="AL447" s="123"/>
      <c r="AM447" s="123"/>
      <c r="AR447" s="123"/>
      <c r="AS447" s="123"/>
      <c r="AU447" s="123"/>
      <c r="AV447" s="123"/>
    </row>
    <row r="448">
      <c r="A448" s="197"/>
      <c r="B448" s="197"/>
      <c r="AB448" s="123"/>
      <c r="AC448" s="123"/>
      <c r="AE448" s="123"/>
      <c r="AF448" s="123"/>
      <c r="AH448" s="123"/>
      <c r="AI448" s="123"/>
      <c r="AL448" s="123"/>
      <c r="AM448" s="123"/>
      <c r="AR448" s="123"/>
      <c r="AS448" s="123"/>
      <c r="AU448" s="123"/>
      <c r="AV448" s="123"/>
    </row>
    <row r="449">
      <c r="A449" s="197"/>
      <c r="B449" s="197"/>
      <c r="AB449" s="123"/>
      <c r="AC449" s="123"/>
      <c r="AE449" s="123"/>
      <c r="AF449" s="123"/>
      <c r="AH449" s="123"/>
      <c r="AI449" s="123"/>
      <c r="AL449" s="123"/>
      <c r="AM449" s="123"/>
      <c r="AR449" s="123"/>
      <c r="AS449" s="123"/>
      <c r="AU449" s="123"/>
      <c r="AV449" s="123"/>
    </row>
    <row r="450">
      <c r="A450" s="197"/>
      <c r="B450" s="197"/>
      <c r="AB450" s="123"/>
      <c r="AC450" s="123"/>
      <c r="AE450" s="123"/>
      <c r="AF450" s="123"/>
      <c r="AH450" s="123"/>
      <c r="AI450" s="123"/>
      <c r="AL450" s="123"/>
      <c r="AM450" s="123"/>
      <c r="AR450" s="123"/>
      <c r="AS450" s="123"/>
      <c r="AU450" s="123"/>
      <c r="AV450" s="123"/>
    </row>
    <row r="451">
      <c r="A451" s="197"/>
      <c r="B451" s="197"/>
      <c r="AB451" s="123"/>
      <c r="AC451" s="123"/>
      <c r="AE451" s="123"/>
      <c r="AF451" s="123"/>
      <c r="AH451" s="123"/>
      <c r="AI451" s="123"/>
      <c r="AL451" s="123"/>
      <c r="AM451" s="123"/>
      <c r="AR451" s="123"/>
      <c r="AS451" s="123"/>
      <c r="AU451" s="123"/>
      <c r="AV451" s="123"/>
    </row>
    <row r="452">
      <c r="A452" s="197"/>
      <c r="B452" s="197"/>
      <c r="AB452" s="123"/>
      <c r="AC452" s="123"/>
      <c r="AE452" s="123"/>
      <c r="AF452" s="123"/>
      <c r="AH452" s="123"/>
      <c r="AI452" s="123"/>
      <c r="AL452" s="123"/>
      <c r="AM452" s="123"/>
      <c r="AR452" s="123"/>
      <c r="AS452" s="123"/>
      <c r="AU452" s="123"/>
      <c r="AV452" s="123"/>
    </row>
    <row r="453">
      <c r="A453" s="197"/>
      <c r="B453" s="197"/>
      <c r="AB453" s="123"/>
      <c r="AC453" s="123"/>
      <c r="AE453" s="123"/>
      <c r="AF453" s="123"/>
      <c r="AH453" s="123"/>
      <c r="AI453" s="123"/>
      <c r="AL453" s="123"/>
      <c r="AM453" s="123"/>
      <c r="AR453" s="123"/>
      <c r="AS453" s="123"/>
      <c r="AU453" s="123"/>
      <c r="AV453" s="123"/>
    </row>
    <row r="454">
      <c r="A454" s="197"/>
      <c r="B454" s="197"/>
      <c r="AB454" s="123"/>
      <c r="AC454" s="123"/>
      <c r="AE454" s="123"/>
      <c r="AF454" s="123"/>
      <c r="AH454" s="123"/>
      <c r="AI454" s="123"/>
      <c r="AL454" s="123"/>
      <c r="AM454" s="123"/>
      <c r="AR454" s="123"/>
      <c r="AS454" s="123"/>
      <c r="AU454" s="123"/>
      <c r="AV454" s="123"/>
    </row>
    <row r="455">
      <c r="A455" s="197"/>
      <c r="B455" s="197"/>
      <c r="AB455" s="123"/>
      <c r="AC455" s="123"/>
      <c r="AE455" s="123"/>
      <c r="AF455" s="123"/>
      <c r="AH455" s="123"/>
      <c r="AI455" s="123"/>
      <c r="AL455" s="123"/>
      <c r="AM455" s="123"/>
      <c r="AR455" s="123"/>
      <c r="AS455" s="123"/>
      <c r="AU455" s="123"/>
      <c r="AV455" s="123"/>
    </row>
    <row r="456">
      <c r="A456" s="197"/>
      <c r="B456" s="197"/>
      <c r="AB456" s="123"/>
      <c r="AC456" s="123"/>
      <c r="AE456" s="123"/>
      <c r="AF456" s="123"/>
      <c r="AH456" s="123"/>
      <c r="AI456" s="123"/>
      <c r="AL456" s="123"/>
      <c r="AM456" s="123"/>
      <c r="AR456" s="123"/>
      <c r="AS456" s="123"/>
      <c r="AU456" s="123"/>
      <c r="AV456" s="123"/>
    </row>
    <row r="457">
      <c r="A457" s="197"/>
      <c r="B457" s="197"/>
      <c r="AB457" s="123"/>
      <c r="AC457" s="123"/>
      <c r="AE457" s="123"/>
      <c r="AF457" s="123"/>
      <c r="AH457" s="123"/>
      <c r="AI457" s="123"/>
      <c r="AL457" s="123"/>
      <c r="AM457" s="123"/>
      <c r="AR457" s="123"/>
      <c r="AS457" s="123"/>
      <c r="AU457" s="123"/>
      <c r="AV457" s="123"/>
    </row>
    <row r="458">
      <c r="A458" s="197"/>
      <c r="B458" s="197"/>
      <c r="AB458" s="123"/>
      <c r="AC458" s="123"/>
      <c r="AE458" s="123"/>
      <c r="AF458" s="123"/>
      <c r="AH458" s="123"/>
      <c r="AI458" s="123"/>
      <c r="AL458" s="123"/>
      <c r="AM458" s="123"/>
      <c r="AR458" s="123"/>
      <c r="AS458" s="123"/>
      <c r="AU458" s="123"/>
      <c r="AV458" s="123"/>
    </row>
    <row r="459">
      <c r="A459" s="197"/>
      <c r="B459" s="197"/>
      <c r="AB459" s="123"/>
      <c r="AC459" s="123"/>
      <c r="AE459" s="123"/>
      <c r="AF459" s="123"/>
      <c r="AH459" s="123"/>
      <c r="AI459" s="123"/>
      <c r="AL459" s="123"/>
      <c r="AM459" s="123"/>
      <c r="AR459" s="123"/>
      <c r="AS459" s="123"/>
      <c r="AU459" s="123"/>
      <c r="AV459" s="123"/>
    </row>
    <row r="460">
      <c r="A460" s="197"/>
      <c r="B460" s="197"/>
      <c r="AB460" s="123"/>
      <c r="AC460" s="123"/>
      <c r="AE460" s="123"/>
      <c r="AF460" s="123"/>
      <c r="AH460" s="123"/>
      <c r="AI460" s="123"/>
      <c r="AL460" s="123"/>
      <c r="AM460" s="123"/>
      <c r="AR460" s="123"/>
      <c r="AS460" s="123"/>
      <c r="AU460" s="123"/>
      <c r="AV460" s="123"/>
    </row>
    <row r="461">
      <c r="A461" s="197"/>
      <c r="B461" s="197"/>
      <c r="AB461" s="123"/>
      <c r="AC461" s="123"/>
      <c r="AE461" s="123"/>
      <c r="AF461" s="123"/>
      <c r="AH461" s="123"/>
      <c r="AI461" s="123"/>
      <c r="AL461" s="123"/>
      <c r="AM461" s="123"/>
      <c r="AR461" s="123"/>
      <c r="AS461" s="123"/>
      <c r="AU461" s="123"/>
      <c r="AV461" s="123"/>
    </row>
    <row r="462">
      <c r="A462" s="197"/>
      <c r="B462" s="197"/>
      <c r="AB462" s="123"/>
      <c r="AC462" s="123"/>
      <c r="AE462" s="123"/>
      <c r="AF462" s="123"/>
      <c r="AH462" s="123"/>
      <c r="AI462" s="123"/>
      <c r="AL462" s="123"/>
      <c r="AM462" s="123"/>
      <c r="AR462" s="123"/>
      <c r="AS462" s="123"/>
      <c r="AU462" s="123"/>
      <c r="AV462" s="123"/>
    </row>
    <row r="463">
      <c r="A463" s="197"/>
      <c r="B463" s="197"/>
      <c r="AB463" s="123"/>
      <c r="AC463" s="123"/>
      <c r="AE463" s="123"/>
      <c r="AF463" s="123"/>
      <c r="AH463" s="123"/>
      <c r="AI463" s="123"/>
      <c r="AL463" s="123"/>
      <c r="AM463" s="123"/>
      <c r="AR463" s="123"/>
      <c r="AS463" s="123"/>
      <c r="AU463" s="123"/>
      <c r="AV463" s="123"/>
    </row>
    <row r="464">
      <c r="A464" s="197"/>
      <c r="B464" s="197"/>
      <c r="AB464" s="123"/>
      <c r="AC464" s="123"/>
      <c r="AE464" s="123"/>
      <c r="AF464" s="123"/>
      <c r="AH464" s="123"/>
      <c r="AI464" s="123"/>
      <c r="AL464" s="123"/>
      <c r="AM464" s="123"/>
      <c r="AR464" s="123"/>
      <c r="AS464" s="123"/>
      <c r="AU464" s="123"/>
      <c r="AV464" s="123"/>
    </row>
    <row r="465">
      <c r="A465" s="197"/>
      <c r="B465" s="197"/>
      <c r="AB465" s="123"/>
      <c r="AC465" s="123"/>
      <c r="AE465" s="123"/>
      <c r="AF465" s="123"/>
      <c r="AH465" s="123"/>
      <c r="AI465" s="123"/>
      <c r="AL465" s="123"/>
      <c r="AM465" s="123"/>
      <c r="AR465" s="123"/>
      <c r="AS465" s="123"/>
      <c r="AU465" s="123"/>
      <c r="AV465" s="123"/>
    </row>
    <row r="466">
      <c r="A466" s="197"/>
      <c r="B466" s="197"/>
      <c r="AB466" s="123"/>
      <c r="AC466" s="123"/>
      <c r="AE466" s="123"/>
      <c r="AF466" s="123"/>
      <c r="AH466" s="123"/>
      <c r="AI466" s="123"/>
      <c r="AL466" s="123"/>
      <c r="AM466" s="123"/>
      <c r="AR466" s="123"/>
      <c r="AS466" s="123"/>
      <c r="AU466" s="123"/>
      <c r="AV466" s="123"/>
    </row>
    <row r="467">
      <c r="A467" s="197"/>
      <c r="B467" s="197"/>
      <c r="AB467" s="123"/>
      <c r="AC467" s="123"/>
      <c r="AE467" s="123"/>
      <c r="AF467" s="123"/>
      <c r="AH467" s="123"/>
      <c r="AI467" s="123"/>
      <c r="AL467" s="123"/>
      <c r="AM467" s="123"/>
      <c r="AR467" s="123"/>
      <c r="AS467" s="123"/>
      <c r="AU467" s="123"/>
      <c r="AV467" s="123"/>
    </row>
    <row r="468">
      <c r="A468" s="197"/>
      <c r="B468" s="197"/>
      <c r="AB468" s="123"/>
      <c r="AC468" s="123"/>
      <c r="AE468" s="123"/>
      <c r="AF468" s="123"/>
      <c r="AH468" s="123"/>
      <c r="AI468" s="123"/>
      <c r="AL468" s="123"/>
      <c r="AM468" s="123"/>
      <c r="AR468" s="123"/>
      <c r="AS468" s="123"/>
      <c r="AU468" s="123"/>
      <c r="AV468" s="123"/>
    </row>
    <row r="469">
      <c r="A469" s="197"/>
      <c r="B469" s="197"/>
      <c r="AB469" s="123"/>
      <c r="AC469" s="123"/>
      <c r="AE469" s="123"/>
      <c r="AF469" s="123"/>
      <c r="AH469" s="123"/>
      <c r="AI469" s="123"/>
      <c r="AL469" s="123"/>
      <c r="AM469" s="123"/>
      <c r="AR469" s="123"/>
      <c r="AS469" s="123"/>
      <c r="AU469" s="123"/>
      <c r="AV469" s="123"/>
    </row>
    <row r="470">
      <c r="A470" s="197"/>
      <c r="B470" s="197"/>
      <c r="AB470" s="123"/>
      <c r="AC470" s="123"/>
      <c r="AE470" s="123"/>
      <c r="AF470" s="123"/>
      <c r="AH470" s="123"/>
      <c r="AI470" s="123"/>
      <c r="AL470" s="123"/>
      <c r="AM470" s="123"/>
      <c r="AR470" s="123"/>
      <c r="AS470" s="123"/>
      <c r="AU470" s="123"/>
      <c r="AV470" s="123"/>
    </row>
    <row r="471">
      <c r="A471" s="197"/>
      <c r="B471" s="197"/>
      <c r="AB471" s="123"/>
      <c r="AC471" s="123"/>
      <c r="AE471" s="123"/>
      <c r="AF471" s="123"/>
      <c r="AH471" s="123"/>
      <c r="AI471" s="123"/>
      <c r="AL471" s="123"/>
      <c r="AM471" s="123"/>
      <c r="AR471" s="123"/>
      <c r="AS471" s="123"/>
      <c r="AU471" s="123"/>
      <c r="AV471" s="123"/>
    </row>
    <row r="472">
      <c r="A472" s="197"/>
      <c r="B472" s="197"/>
      <c r="AB472" s="123"/>
      <c r="AC472" s="123"/>
      <c r="AE472" s="123"/>
      <c r="AF472" s="123"/>
      <c r="AH472" s="123"/>
      <c r="AI472" s="123"/>
      <c r="AL472" s="123"/>
      <c r="AM472" s="123"/>
      <c r="AR472" s="123"/>
      <c r="AS472" s="123"/>
      <c r="AU472" s="123"/>
      <c r="AV472" s="123"/>
    </row>
    <row r="473">
      <c r="A473" s="197"/>
      <c r="B473" s="197"/>
      <c r="AB473" s="123"/>
      <c r="AC473" s="123"/>
      <c r="AE473" s="123"/>
      <c r="AF473" s="123"/>
      <c r="AH473" s="123"/>
      <c r="AI473" s="123"/>
      <c r="AL473" s="123"/>
      <c r="AM473" s="123"/>
      <c r="AR473" s="123"/>
      <c r="AS473" s="123"/>
      <c r="AU473" s="123"/>
      <c r="AV473" s="123"/>
    </row>
    <row r="474">
      <c r="A474" s="197"/>
      <c r="B474" s="197"/>
      <c r="AB474" s="123"/>
      <c r="AC474" s="123"/>
      <c r="AE474" s="123"/>
      <c r="AF474" s="123"/>
      <c r="AH474" s="123"/>
      <c r="AI474" s="123"/>
      <c r="AL474" s="123"/>
      <c r="AM474" s="123"/>
      <c r="AR474" s="123"/>
      <c r="AS474" s="123"/>
      <c r="AU474" s="123"/>
      <c r="AV474" s="123"/>
    </row>
    <row r="475">
      <c r="A475" s="197"/>
      <c r="B475" s="197"/>
      <c r="AB475" s="123"/>
      <c r="AC475" s="123"/>
      <c r="AE475" s="123"/>
      <c r="AF475" s="123"/>
      <c r="AH475" s="123"/>
      <c r="AI475" s="123"/>
      <c r="AL475" s="123"/>
      <c r="AM475" s="123"/>
      <c r="AR475" s="123"/>
      <c r="AS475" s="123"/>
      <c r="AU475" s="123"/>
      <c r="AV475" s="123"/>
    </row>
    <row r="476">
      <c r="A476" s="197"/>
      <c r="B476" s="197"/>
      <c r="AB476" s="123"/>
      <c r="AC476" s="123"/>
      <c r="AE476" s="123"/>
      <c r="AF476" s="123"/>
      <c r="AH476" s="123"/>
      <c r="AI476" s="123"/>
      <c r="AL476" s="123"/>
      <c r="AM476" s="123"/>
      <c r="AR476" s="123"/>
      <c r="AS476" s="123"/>
      <c r="AU476" s="123"/>
      <c r="AV476" s="123"/>
    </row>
    <row r="477">
      <c r="A477" s="197"/>
      <c r="B477" s="197"/>
      <c r="AB477" s="123"/>
      <c r="AC477" s="123"/>
      <c r="AE477" s="123"/>
      <c r="AF477" s="123"/>
      <c r="AH477" s="123"/>
      <c r="AI477" s="123"/>
      <c r="AL477" s="123"/>
      <c r="AM477" s="123"/>
      <c r="AR477" s="123"/>
      <c r="AS477" s="123"/>
      <c r="AU477" s="123"/>
      <c r="AV477" s="123"/>
    </row>
    <row r="478">
      <c r="A478" s="197"/>
      <c r="B478" s="197"/>
      <c r="AB478" s="123"/>
      <c r="AC478" s="123"/>
      <c r="AE478" s="123"/>
      <c r="AF478" s="123"/>
      <c r="AH478" s="123"/>
      <c r="AI478" s="123"/>
      <c r="AL478" s="123"/>
      <c r="AM478" s="123"/>
      <c r="AR478" s="123"/>
      <c r="AS478" s="123"/>
      <c r="AU478" s="123"/>
      <c r="AV478" s="123"/>
    </row>
    <row r="479">
      <c r="A479" s="197"/>
      <c r="B479" s="197"/>
      <c r="AB479" s="123"/>
      <c r="AC479" s="123"/>
      <c r="AE479" s="123"/>
      <c r="AF479" s="123"/>
      <c r="AH479" s="123"/>
      <c r="AI479" s="123"/>
      <c r="AL479" s="123"/>
      <c r="AM479" s="123"/>
      <c r="AR479" s="123"/>
      <c r="AS479" s="123"/>
      <c r="AU479" s="123"/>
      <c r="AV479" s="123"/>
    </row>
    <row r="480">
      <c r="A480" s="197"/>
      <c r="B480" s="197"/>
      <c r="AB480" s="123"/>
      <c r="AC480" s="123"/>
      <c r="AE480" s="123"/>
      <c r="AF480" s="123"/>
      <c r="AH480" s="123"/>
      <c r="AI480" s="123"/>
      <c r="AL480" s="123"/>
      <c r="AM480" s="123"/>
      <c r="AR480" s="123"/>
      <c r="AS480" s="123"/>
      <c r="AU480" s="123"/>
      <c r="AV480" s="123"/>
    </row>
    <row r="481">
      <c r="A481" s="197"/>
      <c r="B481" s="197"/>
      <c r="AB481" s="123"/>
      <c r="AC481" s="123"/>
      <c r="AE481" s="123"/>
      <c r="AF481" s="123"/>
      <c r="AH481" s="123"/>
      <c r="AI481" s="123"/>
      <c r="AL481" s="123"/>
      <c r="AM481" s="123"/>
      <c r="AR481" s="123"/>
      <c r="AS481" s="123"/>
      <c r="AU481" s="123"/>
      <c r="AV481" s="123"/>
    </row>
    <row r="482">
      <c r="A482" s="197"/>
      <c r="B482" s="197"/>
      <c r="AB482" s="123"/>
      <c r="AC482" s="123"/>
      <c r="AE482" s="123"/>
      <c r="AF482" s="123"/>
      <c r="AH482" s="123"/>
      <c r="AI482" s="123"/>
      <c r="AL482" s="123"/>
      <c r="AM482" s="123"/>
      <c r="AR482" s="123"/>
      <c r="AS482" s="123"/>
      <c r="AU482" s="123"/>
      <c r="AV482" s="123"/>
    </row>
    <row r="483">
      <c r="A483" s="197"/>
      <c r="B483" s="197"/>
      <c r="AB483" s="123"/>
      <c r="AC483" s="123"/>
      <c r="AE483" s="123"/>
      <c r="AF483" s="123"/>
      <c r="AH483" s="123"/>
      <c r="AI483" s="123"/>
      <c r="AL483" s="123"/>
      <c r="AM483" s="123"/>
      <c r="AR483" s="123"/>
      <c r="AS483" s="123"/>
      <c r="AU483" s="123"/>
      <c r="AV483" s="123"/>
    </row>
    <row r="484">
      <c r="A484" s="197"/>
      <c r="B484" s="197"/>
      <c r="AB484" s="123"/>
      <c r="AC484" s="123"/>
      <c r="AE484" s="123"/>
      <c r="AF484" s="123"/>
      <c r="AH484" s="123"/>
      <c r="AI484" s="123"/>
      <c r="AL484" s="123"/>
      <c r="AM484" s="123"/>
      <c r="AR484" s="123"/>
      <c r="AS484" s="123"/>
      <c r="AU484" s="123"/>
      <c r="AV484" s="123"/>
    </row>
    <row r="485">
      <c r="A485" s="197"/>
      <c r="B485" s="197"/>
      <c r="AB485" s="123"/>
      <c r="AC485" s="123"/>
      <c r="AE485" s="123"/>
      <c r="AF485" s="123"/>
      <c r="AH485" s="123"/>
      <c r="AI485" s="123"/>
      <c r="AL485" s="123"/>
      <c r="AM485" s="123"/>
      <c r="AR485" s="123"/>
      <c r="AS485" s="123"/>
      <c r="AU485" s="123"/>
      <c r="AV485" s="123"/>
    </row>
    <row r="486">
      <c r="A486" s="197"/>
      <c r="B486" s="197"/>
      <c r="AB486" s="123"/>
      <c r="AC486" s="123"/>
      <c r="AE486" s="123"/>
      <c r="AF486" s="123"/>
      <c r="AH486" s="123"/>
      <c r="AI486" s="123"/>
      <c r="AL486" s="123"/>
      <c r="AM486" s="123"/>
      <c r="AR486" s="123"/>
      <c r="AS486" s="123"/>
      <c r="AU486" s="123"/>
      <c r="AV486" s="123"/>
    </row>
    <row r="487">
      <c r="A487" s="197"/>
      <c r="B487" s="197"/>
      <c r="AB487" s="123"/>
      <c r="AC487" s="123"/>
      <c r="AE487" s="123"/>
      <c r="AF487" s="123"/>
      <c r="AH487" s="123"/>
      <c r="AI487" s="123"/>
      <c r="AL487" s="123"/>
      <c r="AM487" s="123"/>
      <c r="AR487" s="123"/>
      <c r="AS487" s="123"/>
      <c r="AU487" s="123"/>
      <c r="AV487" s="123"/>
    </row>
    <row r="488">
      <c r="A488" s="197"/>
      <c r="B488" s="197"/>
      <c r="AB488" s="123"/>
      <c r="AC488" s="123"/>
      <c r="AE488" s="123"/>
      <c r="AF488" s="123"/>
      <c r="AH488" s="123"/>
      <c r="AI488" s="123"/>
      <c r="AL488" s="123"/>
      <c r="AM488" s="123"/>
      <c r="AR488" s="123"/>
      <c r="AS488" s="123"/>
      <c r="AU488" s="123"/>
      <c r="AV488" s="123"/>
    </row>
    <row r="489">
      <c r="A489" s="197"/>
      <c r="B489" s="197"/>
      <c r="AB489" s="123"/>
      <c r="AC489" s="123"/>
      <c r="AE489" s="123"/>
      <c r="AF489" s="123"/>
      <c r="AH489" s="123"/>
      <c r="AI489" s="123"/>
      <c r="AL489" s="123"/>
      <c r="AM489" s="123"/>
      <c r="AR489" s="123"/>
      <c r="AS489" s="123"/>
      <c r="AU489" s="123"/>
      <c r="AV489" s="123"/>
    </row>
    <row r="490">
      <c r="A490" s="197"/>
      <c r="B490" s="197"/>
      <c r="AB490" s="123"/>
      <c r="AC490" s="123"/>
      <c r="AE490" s="123"/>
      <c r="AF490" s="123"/>
      <c r="AH490" s="123"/>
      <c r="AI490" s="123"/>
      <c r="AL490" s="123"/>
      <c r="AM490" s="123"/>
      <c r="AR490" s="123"/>
      <c r="AS490" s="123"/>
      <c r="AU490" s="123"/>
      <c r="AV490" s="123"/>
    </row>
    <row r="491">
      <c r="A491" s="197"/>
      <c r="B491" s="197"/>
      <c r="AB491" s="123"/>
      <c r="AC491" s="123"/>
      <c r="AE491" s="123"/>
      <c r="AF491" s="123"/>
      <c r="AH491" s="123"/>
      <c r="AI491" s="123"/>
      <c r="AL491" s="123"/>
      <c r="AM491" s="123"/>
      <c r="AR491" s="123"/>
      <c r="AS491" s="123"/>
      <c r="AU491" s="123"/>
      <c r="AV491" s="123"/>
    </row>
    <row r="492">
      <c r="A492" s="197"/>
      <c r="B492" s="197"/>
      <c r="AB492" s="123"/>
      <c r="AC492" s="123"/>
      <c r="AE492" s="123"/>
      <c r="AF492" s="123"/>
      <c r="AH492" s="123"/>
      <c r="AI492" s="123"/>
      <c r="AL492" s="123"/>
      <c r="AM492" s="123"/>
      <c r="AR492" s="123"/>
      <c r="AS492" s="123"/>
      <c r="AU492" s="123"/>
      <c r="AV492" s="123"/>
    </row>
    <row r="493">
      <c r="A493" s="197"/>
      <c r="B493" s="197"/>
      <c r="AB493" s="123"/>
      <c r="AC493" s="123"/>
      <c r="AE493" s="123"/>
      <c r="AF493" s="123"/>
      <c r="AH493" s="123"/>
      <c r="AI493" s="123"/>
      <c r="AL493" s="123"/>
      <c r="AM493" s="123"/>
      <c r="AR493" s="123"/>
      <c r="AS493" s="123"/>
      <c r="AU493" s="123"/>
      <c r="AV493" s="123"/>
    </row>
    <row r="494">
      <c r="A494" s="197"/>
      <c r="B494" s="197"/>
      <c r="AB494" s="123"/>
      <c r="AC494" s="123"/>
      <c r="AE494" s="123"/>
      <c r="AF494" s="123"/>
      <c r="AH494" s="123"/>
      <c r="AI494" s="123"/>
      <c r="AL494" s="123"/>
      <c r="AM494" s="123"/>
      <c r="AR494" s="123"/>
      <c r="AS494" s="123"/>
      <c r="AU494" s="123"/>
      <c r="AV494" s="123"/>
    </row>
    <row r="495">
      <c r="A495" s="197"/>
      <c r="B495" s="197"/>
      <c r="AB495" s="123"/>
      <c r="AC495" s="123"/>
      <c r="AE495" s="123"/>
      <c r="AF495" s="123"/>
      <c r="AH495" s="123"/>
      <c r="AI495" s="123"/>
      <c r="AL495" s="123"/>
      <c r="AM495" s="123"/>
      <c r="AR495" s="123"/>
      <c r="AS495" s="123"/>
      <c r="AU495" s="123"/>
      <c r="AV495" s="123"/>
    </row>
    <row r="496">
      <c r="A496" s="197"/>
      <c r="B496" s="197"/>
      <c r="AB496" s="123"/>
      <c r="AC496" s="123"/>
      <c r="AE496" s="123"/>
      <c r="AF496" s="123"/>
      <c r="AH496" s="123"/>
      <c r="AI496" s="123"/>
      <c r="AL496" s="123"/>
      <c r="AM496" s="123"/>
      <c r="AR496" s="123"/>
      <c r="AS496" s="123"/>
      <c r="AU496" s="123"/>
      <c r="AV496" s="123"/>
    </row>
    <row r="497">
      <c r="A497" s="197"/>
      <c r="B497" s="197"/>
      <c r="AB497" s="123"/>
      <c r="AC497" s="123"/>
      <c r="AE497" s="123"/>
      <c r="AF497" s="123"/>
      <c r="AH497" s="123"/>
      <c r="AI497" s="123"/>
      <c r="AL497" s="123"/>
      <c r="AM497" s="123"/>
      <c r="AR497" s="123"/>
      <c r="AS497" s="123"/>
      <c r="AU497" s="123"/>
      <c r="AV497" s="123"/>
    </row>
    <row r="498">
      <c r="A498" s="197"/>
      <c r="B498" s="197"/>
      <c r="AB498" s="123"/>
      <c r="AC498" s="123"/>
      <c r="AE498" s="123"/>
      <c r="AF498" s="123"/>
      <c r="AH498" s="123"/>
      <c r="AI498" s="123"/>
      <c r="AL498" s="123"/>
      <c r="AM498" s="123"/>
      <c r="AR498" s="123"/>
      <c r="AS498" s="123"/>
      <c r="AU498" s="123"/>
      <c r="AV498" s="123"/>
    </row>
    <row r="499">
      <c r="A499" s="197"/>
      <c r="B499" s="197"/>
      <c r="AB499" s="123"/>
      <c r="AC499" s="123"/>
      <c r="AE499" s="123"/>
      <c r="AF499" s="123"/>
      <c r="AH499" s="123"/>
      <c r="AI499" s="123"/>
      <c r="AL499" s="123"/>
      <c r="AM499" s="123"/>
      <c r="AR499" s="123"/>
      <c r="AS499" s="123"/>
      <c r="AU499" s="123"/>
      <c r="AV499" s="123"/>
    </row>
    <row r="500">
      <c r="A500" s="197"/>
      <c r="B500" s="197"/>
      <c r="AB500" s="123"/>
      <c r="AC500" s="123"/>
      <c r="AE500" s="123"/>
      <c r="AF500" s="123"/>
      <c r="AH500" s="123"/>
      <c r="AI500" s="123"/>
      <c r="AL500" s="123"/>
      <c r="AM500" s="123"/>
      <c r="AR500" s="123"/>
      <c r="AS500" s="123"/>
      <c r="AU500" s="123"/>
      <c r="AV500" s="123"/>
    </row>
    <row r="501">
      <c r="A501" s="197"/>
      <c r="B501" s="197"/>
      <c r="AB501" s="123"/>
      <c r="AC501" s="123"/>
      <c r="AE501" s="123"/>
      <c r="AF501" s="123"/>
      <c r="AH501" s="123"/>
      <c r="AI501" s="123"/>
      <c r="AL501" s="123"/>
      <c r="AM501" s="123"/>
      <c r="AR501" s="123"/>
      <c r="AS501" s="123"/>
      <c r="AU501" s="123"/>
      <c r="AV501" s="123"/>
    </row>
    <row r="502">
      <c r="A502" s="197"/>
      <c r="B502" s="197"/>
      <c r="AB502" s="123"/>
      <c r="AC502" s="123"/>
      <c r="AE502" s="123"/>
      <c r="AF502" s="123"/>
      <c r="AH502" s="123"/>
      <c r="AI502" s="123"/>
      <c r="AL502" s="123"/>
      <c r="AM502" s="123"/>
      <c r="AR502" s="123"/>
      <c r="AS502" s="123"/>
      <c r="AU502" s="123"/>
      <c r="AV502" s="123"/>
    </row>
    <row r="503">
      <c r="A503" s="197"/>
      <c r="B503" s="197"/>
      <c r="AB503" s="123"/>
      <c r="AC503" s="123"/>
      <c r="AE503" s="123"/>
      <c r="AF503" s="123"/>
      <c r="AH503" s="123"/>
      <c r="AI503" s="123"/>
      <c r="AL503" s="123"/>
      <c r="AM503" s="123"/>
      <c r="AR503" s="123"/>
      <c r="AS503" s="123"/>
      <c r="AU503" s="123"/>
      <c r="AV503" s="123"/>
    </row>
    <row r="504">
      <c r="A504" s="197"/>
      <c r="B504" s="197"/>
      <c r="AB504" s="123"/>
      <c r="AC504" s="123"/>
      <c r="AE504" s="123"/>
      <c r="AF504" s="123"/>
      <c r="AH504" s="123"/>
      <c r="AI504" s="123"/>
      <c r="AL504" s="123"/>
      <c r="AM504" s="123"/>
      <c r="AR504" s="123"/>
      <c r="AS504" s="123"/>
      <c r="AU504" s="123"/>
      <c r="AV504" s="123"/>
    </row>
    <row r="505">
      <c r="A505" s="197"/>
      <c r="B505" s="197"/>
      <c r="AB505" s="123"/>
      <c r="AC505" s="123"/>
      <c r="AE505" s="123"/>
      <c r="AF505" s="123"/>
      <c r="AH505" s="123"/>
      <c r="AI505" s="123"/>
      <c r="AL505" s="123"/>
      <c r="AM505" s="123"/>
      <c r="AR505" s="123"/>
      <c r="AS505" s="123"/>
      <c r="AU505" s="123"/>
      <c r="AV505" s="123"/>
    </row>
    <row r="506">
      <c r="A506" s="197"/>
      <c r="B506" s="197"/>
      <c r="AB506" s="123"/>
      <c r="AC506" s="123"/>
      <c r="AE506" s="123"/>
      <c r="AF506" s="123"/>
      <c r="AH506" s="123"/>
      <c r="AI506" s="123"/>
      <c r="AL506" s="123"/>
      <c r="AM506" s="123"/>
      <c r="AR506" s="123"/>
      <c r="AS506" s="123"/>
      <c r="AU506" s="123"/>
      <c r="AV506" s="123"/>
    </row>
    <row r="507">
      <c r="A507" s="197"/>
      <c r="B507" s="197"/>
      <c r="AB507" s="123"/>
      <c r="AC507" s="123"/>
      <c r="AE507" s="123"/>
      <c r="AF507" s="123"/>
      <c r="AH507" s="123"/>
      <c r="AI507" s="123"/>
      <c r="AL507" s="123"/>
      <c r="AM507" s="123"/>
      <c r="AR507" s="123"/>
      <c r="AS507" s="123"/>
      <c r="AU507" s="123"/>
      <c r="AV507" s="123"/>
    </row>
    <row r="508">
      <c r="A508" s="197"/>
      <c r="B508" s="197"/>
      <c r="AB508" s="123"/>
      <c r="AC508" s="123"/>
      <c r="AE508" s="123"/>
      <c r="AF508" s="123"/>
      <c r="AH508" s="123"/>
      <c r="AI508" s="123"/>
      <c r="AL508" s="123"/>
      <c r="AM508" s="123"/>
      <c r="AR508" s="123"/>
      <c r="AS508" s="123"/>
      <c r="AU508" s="123"/>
      <c r="AV508" s="123"/>
    </row>
    <row r="509">
      <c r="A509" s="197"/>
      <c r="B509" s="197"/>
      <c r="AB509" s="123"/>
      <c r="AC509" s="123"/>
      <c r="AE509" s="123"/>
      <c r="AF509" s="123"/>
      <c r="AH509" s="123"/>
      <c r="AI509" s="123"/>
      <c r="AL509" s="123"/>
      <c r="AM509" s="123"/>
      <c r="AR509" s="123"/>
      <c r="AS509" s="123"/>
      <c r="AU509" s="123"/>
      <c r="AV509" s="123"/>
    </row>
    <row r="510">
      <c r="A510" s="197"/>
      <c r="B510" s="197"/>
      <c r="AB510" s="123"/>
      <c r="AC510" s="123"/>
      <c r="AE510" s="123"/>
      <c r="AF510" s="123"/>
      <c r="AH510" s="123"/>
      <c r="AI510" s="123"/>
      <c r="AL510" s="123"/>
      <c r="AM510" s="123"/>
      <c r="AR510" s="123"/>
      <c r="AS510" s="123"/>
      <c r="AU510" s="123"/>
      <c r="AV510" s="123"/>
    </row>
    <row r="511">
      <c r="A511" s="197"/>
      <c r="B511" s="197"/>
      <c r="AB511" s="123"/>
      <c r="AC511" s="123"/>
      <c r="AE511" s="123"/>
      <c r="AF511" s="123"/>
      <c r="AH511" s="123"/>
      <c r="AI511" s="123"/>
      <c r="AL511" s="123"/>
      <c r="AM511" s="123"/>
      <c r="AR511" s="123"/>
      <c r="AS511" s="123"/>
      <c r="AU511" s="123"/>
      <c r="AV511" s="123"/>
    </row>
    <row r="512">
      <c r="A512" s="197"/>
      <c r="B512" s="197"/>
      <c r="AB512" s="123"/>
      <c r="AC512" s="123"/>
      <c r="AE512" s="123"/>
      <c r="AF512" s="123"/>
      <c r="AH512" s="123"/>
      <c r="AI512" s="123"/>
      <c r="AL512" s="123"/>
      <c r="AM512" s="123"/>
      <c r="AR512" s="123"/>
      <c r="AS512" s="123"/>
      <c r="AU512" s="123"/>
      <c r="AV512" s="123"/>
    </row>
    <row r="513">
      <c r="A513" s="197"/>
      <c r="B513" s="197"/>
      <c r="AB513" s="123"/>
      <c r="AC513" s="123"/>
      <c r="AE513" s="123"/>
      <c r="AF513" s="123"/>
      <c r="AH513" s="123"/>
      <c r="AI513" s="123"/>
      <c r="AL513" s="123"/>
      <c r="AM513" s="123"/>
      <c r="AR513" s="123"/>
      <c r="AS513" s="123"/>
      <c r="AU513" s="123"/>
      <c r="AV513" s="123"/>
    </row>
    <row r="514">
      <c r="A514" s="197"/>
      <c r="B514" s="197"/>
      <c r="AB514" s="123"/>
      <c r="AC514" s="123"/>
      <c r="AE514" s="123"/>
      <c r="AF514" s="123"/>
      <c r="AH514" s="123"/>
      <c r="AI514" s="123"/>
      <c r="AL514" s="123"/>
      <c r="AM514" s="123"/>
      <c r="AR514" s="123"/>
      <c r="AS514" s="123"/>
      <c r="AU514" s="123"/>
      <c r="AV514" s="123"/>
    </row>
    <row r="515">
      <c r="A515" s="197"/>
      <c r="B515" s="197"/>
      <c r="AB515" s="123"/>
      <c r="AC515" s="123"/>
      <c r="AE515" s="123"/>
      <c r="AF515" s="123"/>
      <c r="AH515" s="123"/>
      <c r="AI515" s="123"/>
      <c r="AL515" s="123"/>
      <c r="AM515" s="123"/>
      <c r="AR515" s="123"/>
      <c r="AS515" s="123"/>
      <c r="AU515" s="123"/>
      <c r="AV515" s="123"/>
    </row>
    <row r="516">
      <c r="A516" s="197"/>
      <c r="B516" s="197"/>
      <c r="AB516" s="123"/>
      <c r="AC516" s="123"/>
      <c r="AE516" s="123"/>
      <c r="AF516" s="123"/>
      <c r="AH516" s="123"/>
      <c r="AI516" s="123"/>
      <c r="AL516" s="123"/>
      <c r="AM516" s="123"/>
      <c r="AR516" s="123"/>
      <c r="AS516" s="123"/>
      <c r="AU516" s="123"/>
      <c r="AV516" s="123"/>
    </row>
    <row r="517">
      <c r="A517" s="197"/>
      <c r="B517" s="197"/>
      <c r="AB517" s="123"/>
      <c r="AC517" s="123"/>
      <c r="AE517" s="123"/>
      <c r="AF517" s="123"/>
      <c r="AH517" s="123"/>
      <c r="AI517" s="123"/>
      <c r="AL517" s="123"/>
      <c r="AM517" s="123"/>
      <c r="AR517" s="123"/>
      <c r="AS517" s="123"/>
      <c r="AU517" s="123"/>
      <c r="AV517" s="123"/>
    </row>
    <row r="518">
      <c r="A518" s="197"/>
      <c r="B518" s="197"/>
      <c r="AB518" s="123"/>
      <c r="AC518" s="123"/>
      <c r="AE518" s="123"/>
      <c r="AF518" s="123"/>
      <c r="AH518" s="123"/>
      <c r="AI518" s="123"/>
      <c r="AL518" s="123"/>
      <c r="AM518" s="123"/>
      <c r="AR518" s="123"/>
      <c r="AS518" s="123"/>
      <c r="AU518" s="123"/>
      <c r="AV518" s="123"/>
    </row>
    <row r="519">
      <c r="A519" s="197"/>
      <c r="B519" s="197"/>
      <c r="AB519" s="123"/>
      <c r="AC519" s="123"/>
      <c r="AE519" s="123"/>
      <c r="AF519" s="123"/>
      <c r="AH519" s="123"/>
      <c r="AI519" s="123"/>
      <c r="AL519" s="123"/>
      <c r="AM519" s="123"/>
      <c r="AR519" s="123"/>
      <c r="AS519" s="123"/>
      <c r="AU519" s="123"/>
      <c r="AV519" s="123"/>
    </row>
    <row r="520">
      <c r="A520" s="197"/>
      <c r="B520" s="197"/>
      <c r="AB520" s="123"/>
      <c r="AC520" s="123"/>
      <c r="AE520" s="123"/>
      <c r="AF520" s="123"/>
      <c r="AH520" s="123"/>
      <c r="AI520" s="123"/>
      <c r="AL520" s="123"/>
      <c r="AM520" s="123"/>
      <c r="AR520" s="123"/>
      <c r="AS520" s="123"/>
      <c r="AU520" s="123"/>
      <c r="AV520" s="123"/>
    </row>
    <row r="521">
      <c r="A521" s="197"/>
      <c r="B521" s="197"/>
      <c r="AB521" s="123"/>
      <c r="AC521" s="123"/>
      <c r="AE521" s="123"/>
      <c r="AF521" s="123"/>
      <c r="AH521" s="123"/>
      <c r="AI521" s="123"/>
      <c r="AL521" s="123"/>
      <c r="AM521" s="123"/>
      <c r="AR521" s="123"/>
      <c r="AS521" s="123"/>
      <c r="AU521" s="123"/>
      <c r="AV521" s="123"/>
    </row>
    <row r="522">
      <c r="A522" s="197"/>
      <c r="B522" s="197"/>
      <c r="AB522" s="123"/>
      <c r="AC522" s="123"/>
      <c r="AE522" s="123"/>
      <c r="AF522" s="123"/>
      <c r="AH522" s="123"/>
      <c r="AI522" s="123"/>
      <c r="AL522" s="123"/>
      <c r="AM522" s="123"/>
      <c r="AR522" s="123"/>
      <c r="AS522" s="123"/>
      <c r="AU522" s="123"/>
      <c r="AV522" s="123"/>
    </row>
    <row r="523">
      <c r="A523" s="197"/>
      <c r="B523" s="197"/>
      <c r="AB523" s="123"/>
      <c r="AC523" s="123"/>
      <c r="AE523" s="123"/>
      <c r="AF523" s="123"/>
      <c r="AH523" s="123"/>
      <c r="AI523" s="123"/>
      <c r="AL523" s="123"/>
      <c r="AM523" s="123"/>
      <c r="AR523" s="123"/>
      <c r="AS523" s="123"/>
      <c r="AU523" s="123"/>
      <c r="AV523" s="123"/>
    </row>
    <row r="524">
      <c r="A524" s="197"/>
      <c r="B524" s="197"/>
      <c r="AB524" s="123"/>
      <c r="AC524" s="123"/>
      <c r="AE524" s="123"/>
      <c r="AF524" s="123"/>
      <c r="AH524" s="123"/>
      <c r="AI524" s="123"/>
      <c r="AL524" s="123"/>
      <c r="AM524" s="123"/>
      <c r="AR524" s="123"/>
      <c r="AS524" s="123"/>
      <c r="AU524" s="123"/>
      <c r="AV524" s="123"/>
    </row>
    <row r="525">
      <c r="A525" s="197"/>
      <c r="B525" s="197"/>
      <c r="AB525" s="123"/>
      <c r="AC525" s="123"/>
      <c r="AE525" s="123"/>
      <c r="AF525" s="123"/>
      <c r="AH525" s="123"/>
      <c r="AI525" s="123"/>
      <c r="AL525" s="123"/>
      <c r="AM525" s="123"/>
      <c r="AR525" s="123"/>
      <c r="AS525" s="123"/>
      <c r="AU525" s="123"/>
      <c r="AV525" s="123"/>
    </row>
    <row r="526">
      <c r="A526" s="197"/>
      <c r="B526" s="197"/>
      <c r="AB526" s="123"/>
      <c r="AC526" s="123"/>
      <c r="AE526" s="123"/>
      <c r="AF526" s="123"/>
      <c r="AH526" s="123"/>
      <c r="AI526" s="123"/>
      <c r="AL526" s="123"/>
      <c r="AM526" s="123"/>
      <c r="AR526" s="123"/>
      <c r="AS526" s="123"/>
      <c r="AU526" s="123"/>
      <c r="AV526" s="123"/>
    </row>
    <row r="527">
      <c r="A527" s="197"/>
      <c r="B527" s="197"/>
      <c r="AB527" s="123"/>
      <c r="AC527" s="123"/>
      <c r="AE527" s="123"/>
      <c r="AF527" s="123"/>
      <c r="AH527" s="123"/>
      <c r="AI527" s="123"/>
      <c r="AL527" s="123"/>
      <c r="AM527" s="123"/>
      <c r="AR527" s="123"/>
      <c r="AS527" s="123"/>
      <c r="AU527" s="123"/>
      <c r="AV527" s="123"/>
    </row>
    <row r="528">
      <c r="A528" s="197"/>
      <c r="B528" s="197"/>
      <c r="AB528" s="123"/>
      <c r="AC528" s="123"/>
      <c r="AE528" s="123"/>
      <c r="AF528" s="123"/>
      <c r="AH528" s="123"/>
      <c r="AI528" s="123"/>
      <c r="AL528" s="123"/>
      <c r="AM528" s="123"/>
      <c r="AR528" s="123"/>
      <c r="AS528" s="123"/>
      <c r="AU528" s="123"/>
      <c r="AV528" s="123"/>
    </row>
    <row r="529">
      <c r="A529" s="197"/>
      <c r="B529" s="197"/>
      <c r="AB529" s="123"/>
      <c r="AC529" s="123"/>
      <c r="AE529" s="123"/>
      <c r="AF529" s="123"/>
      <c r="AH529" s="123"/>
      <c r="AI529" s="123"/>
      <c r="AL529" s="123"/>
      <c r="AM529" s="123"/>
      <c r="AR529" s="123"/>
      <c r="AS529" s="123"/>
      <c r="AU529" s="123"/>
      <c r="AV529" s="123"/>
    </row>
    <row r="530">
      <c r="A530" s="197"/>
      <c r="B530" s="197"/>
      <c r="AB530" s="123"/>
      <c r="AC530" s="123"/>
      <c r="AE530" s="123"/>
      <c r="AF530" s="123"/>
      <c r="AH530" s="123"/>
      <c r="AI530" s="123"/>
      <c r="AL530" s="123"/>
      <c r="AM530" s="123"/>
      <c r="AR530" s="123"/>
      <c r="AS530" s="123"/>
      <c r="AU530" s="123"/>
      <c r="AV530" s="123"/>
    </row>
    <row r="531">
      <c r="A531" s="197"/>
      <c r="B531" s="197"/>
      <c r="AB531" s="123"/>
      <c r="AC531" s="123"/>
      <c r="AE531" s="123"/>
      <c r="AF531" s="123"/>
      <c r="AH531" s="123"/>
      <c r="AI531" s="123"/>
      <c r="AL531" s="123"/>
      <c r="AM531" s="123"/>
      <c r="AR531" s="123"/>
      <c r="AS531" s="123"/>
      <c r="AU531" s="123"/>
      <c r="AV531" s="123"/>
    </row>
    <row r="532">
      <c r="A532" s="197"/>
      <c r="B532" s="197"/>
      <c r="AB532" s="123"/>
      <c r="AC532" s="123"/>
      <c r="AE532" s="123"/>
      <c r="AF532" s="123"/>
      <c r="AH532" s="123"/>
      <c r="AI532" s="123"/>
      <c r="AL532" s="123"/>
      <c r="AM532" s="123"/>
      <c r="AR532" s="123"/>
      <c r="AS532" s="123"/>
      <c r="AU532" s="123"/>
      <c r="AV532" s="123"/>
    </row>
    <row r="533">
      <c r="A533" s="197"/>
      <c r="B533" s="197"/>
      <c r="AB533" s="123"/>
      <c r="AC533" s="123"/>
      <c r="AE533" s="123"/>
      <c r="AF533" s="123"/>
      <c r="AH533" s="123"/>
      <c r="AI533" s="123"/>
      <c r="AL533" s="123"/>
      <c r="AM533" s="123"/>
      <c r="AR533" s="123"/>
      <c r="AS533" s="123"/>
      <c r="AU533" s="123"/>
      <c r="AV533" s="123"/>
    </row>
    <row r="534">
      <c r="A534" s="197"/>
      <c r="B534" s="197"/>
      <c r="AB534" s="123"/>
      <c r="AC534" s="123"/>
      <c r="AE534" s="123"/>
      <c r="AF534" s="123"/>
      <c r="AH534" s="123"/>
      <c r="AI534" s="123"/>
      <c r="AL534" s="123"/>
      <c r="AM534" s="123"/>
      <c r="AR534" s="123"/>
      <c r="AS534" s="123"/>
      <c r="AU534" s="123"/>
      <c r="AV534" s="123"/>
    </row>
    <row r="535">
      <c r="A535" s="197"/>
      <c r="B535" s="197"/>
      <c r="AB535" s="123"/>
      <c r="AC535" s="123"/>
      <c r="AE535" s="123"/>
      <c r="AF535" s="123"/>
      <c r="AH535" s="123"/>
      <c r="AI535" s="123"/>
      <c r="AL535" s="123"/>
      <c r="AM535" s="123"/>
      <c r="AR535" s="123"/>
      <c r="AS535" s="123"/>
      <c r="AU535" s="123"/>
      <c r="AV535" s="123"/>
    </row>
    <row r="536">
      <c r="A536" s="197"/>
      <c r="B536" s="197"/>
      <c r="AB536" s="123"/>
      <c r="AC536" s="123"/>
      <c r="AE536" s="123"/>
      <c r="AF536" s="123"/>
      <c r="AH536" s="123"/>
      <c r="AI536" s="123"/>
      <c r="AL536" s="123"/>
      <c r="AM536" s="123"/>
      <c r="AR536" s="123"/>
      <c r="AS536" s="123"/>
      <c r="AU536" s="123"/>
      <c r="AV536" s="123"/>
    </row>
    <row r="537">
      <c r="A537" s="197"/>
      <c r="B537" s="197"/>
      <c r="AB537" s="123"/>
      <c r="AC537" s="123"/>
      <c r="AE537" s="123"/>
      <c r="AF537" s="123"/>
      <c r="AH537" s="123"/>
      <c r="AI537" s="123"/>
      <c r="AL537" s="123"/>
      <c r="AM537" s="123"/>
      <c r="AR537" s="123"/>
      <c r="AS537" s="123"/>
      <c r="AU537" s="123"/>
      <c r="AV537" s="123"/>
    </row>
    <row r="538">
      <c r="A538" s="197"/>
      <c r="B538" s="197"/>
      <c r="AB538" s="123"/>
      <c r="AC538" s="123"/>
      <c r="AE538" s="123"/>
      <c r="AF538" s="123"/>
      <c r="AH538" s="123"/>
      <c r="AI538" s="123"/>
      <c r="AL538" s="123"/>
      <c r="AM538" s="123"/>
      <c r="AR538" s="123"/>
      <c r="AS538" s="123"/>
      <c r="AU538" s="123"/>
      <c r="AV538" s="123"/>
    </row>
    <row r="539">
      <c r="A539" s="197"/>
      <c r="B539" s="197"/>
      <c r="AB539" s="123"/>
      <c r="AC539" s="123"/>
      <c r="AE539" s="123"/>
      <c r="AF539" s="123"/>
      <c r="AH539" s="123"/>
      <c r="AI539" s="123"/>
      <c r="AL539" s="123"/>
      <c r="AM539" s="123"/>
      <c r="AR539" s="123"/>
      <c r="AS539" s="123"/>
      <c r="AU539" s="123"/>
      <c r="AV539" s="123"/>
    </row>
    <row r="540">
      <c r="A540" s="197"/>
      <c r="B540" s="197"/>
      <c r="AB540" s="123"/>
      <c r="AC540" s="123"/>
      <c r="AE540" s="123"/>
      <c r="AF540" s="123"/>
      <c r="AH540" s="123"/>
      <c r="AI540" s="123"/>
      <c r="AL540" s="123"/>
      <c r="AM540" s="123"/>
      <c r="AR540" s="123"/>
      <c r="AS540" s="123"/>
      <c r="AU540" s="123"/>
      <c r="AV540" s="123"/>
    </row>
    <row r="541">
      <c r="A541" s="197"/>
      <c r="B541" s="197"/>
      <c r="AB541" s="123"/>
      <c r="AC541" s="123"/>
      <c r="AE541" s="123"/>
      <c r="AF541" s="123"/>
      <c r="AH541" s="123"/>
      <c r="AI541" s="123"/>
      <c r="AL541" s="123"/>
      <c r="AM541" s="123"/>
      <c r="AR541" s="123"/>
      <c r="AS541" s="123"/>
      <c r="AU541" s="123"/>
      <c r="AV541" s="123"/>
    </row>
    <row r="542">
      <c r="A542" s="197"/>
      <c r="B542" s="197"/>
      <c r="AB542" s="123"/>
      <c r="AC542" s="123"/>
      <c r="AE542" s="123"/>
      <c r="AF542" s="123"/>
      <c r="AH542" s="123"/>
      <c r="AI542" s="123"/>
      <c r="AL542" s="123"/>
      <c r="AM542" s="123"/>
      <c r="AR542" s="123"/>
      <c r="AS542" s="123"/>
      <c r="AU542" s="123"/>
      <c r="AV542" s="123"/>
    </row>
    <row r="543">
      <c r="A543" s="197"/>
      <c r="B543" s="197"/>
      <c r="AB543" s="123"/>
      <c r="AC543" s="123"/>
      <c r="AE543" s="123"/>
      <c r="AF543" s="123"/>
      <c r="AH543" s="123"/>
      <c r="AI543" s="123"/>
      <c r="AL543" s="123"/>
      <c r="AM543" s="123"/>
      <c r="AR543" s="123"/>
      <c r="AS543" s="123"/>
      <c r="AU543" s="123"/>
      <c r="AV543" s="123"/>
    </row>
    <row r="544">
      <c r="A544" s="197"/>
      <c r="B544" s="197"/>
      <c r="AB544" s="123"/>
      <c r="AC544" s="123"/>
      <c r="AE544" s="123"/>
      <c r="AF544" s="123"/>
      <c r="AH544" s="123"/>
      <c r="AI544" s="123"/>
      <c r="AL544" s="123"/>
      <c r="AM544" s="123"/>
      <c r="AR544" s="123"/>
      <c r="AS544" s="123"/>
      <c r="AU544" s="123"/>
      <c r="AV544" s="123"/>
    </row>
    <row r="545">
      <c r="A545" s="197"/>
      <c r="B545" s="197"/>
      <c r="AB545" s="123"/>
      <c r="AC545" s="123"/>
      <c r="AE545" s="123"/>
      <c r="AF545" s="123"/>
      <c r="AH545" s="123"/>
      <c r="AI545" s="123"/>
      <c r="AL545" s="123"/>
      <c r="AM545" s="123"/>
      <c r="AR545" s="123"/>
      <c r="AS545" s="123"/>
      <c r="AU545" s="123"/>
      <c r="AV545" s="123"/>
    </row>
    <row r="546">
      <c r="A546" s="197"/>
      <c r="B546" s="197"/>
      <c r="AB546" s="123"/>
      <c r="AC546" s="123"/>
      <c r="AE546" s="123"/>
      <c r="AF546" s="123"/>
      <c r="AH546" s="123"/>
      <c r="AI546" s="123"/>
      <c r="AL546" s="123"/>
      <c r="AM546" s="123"/>
      <c r="AR546" s="123"/>
      <c r="AS546" s="123"/>
      <c r="AU546" s="123"/>
      <c r="AV546" s="123"/>
    </row>
    <row r="547">
      <c r="A547" s="197"/>
      <c r="B547" s="197"/>
      <c r="AB547" s="123"/>
      <c r="AC547" s="123"/>
      <c r="AE547" s="123"/>
      <c r="AF547" s="123"/>
      <c r="AH547" s="123"/>
      <c r="AI547" s="123"/>
      <c r="AL547" s="123"/>
      <c r="AM547" s="123"/>
      <c r="AR547" s="123"/>
      <c r="AS547" s="123"/>
      <c r="AU547" s="123"/>
      <c r="AV547" s="123"/>
    </row>
    <row r="548">
      <c r="A548" s="197"/>
      <c r="B548" s="197"/>
      <c r="AB548" s="123"/>
      <c r="AC548" s="123"/>
      <c r="AE548" s="123"/>
      <c r="AF548" s="123"/>
      <c r="AH548" s="123"/>
      <c r="AI548" s="123"/>
      <c r="AL548" s="123"/>
      <c r="AM548" s="123"/>
      <c r="AR548" s="123"/>
      <c r="AS548" s="123"/>
      <c r="AU548" s="123"/>
      <c r="AV548" s="123"/>
    </row>
    <row r="549">
      <c r="A549" s="197"/>
      <c r="B549" s="197"/>
      <c r="AB549" s="123"/>
      <c r="AC549" s="123"/>
      <c r="AE549" s="123"/>
      <c r="AF549" s="123"/>
      <c r="AH549" s="123"/>
      <c r="AI549" s="123"/>
      <c r="AL549" s="123"/>
      <c r="AM549" s="123"/>
      <c r="AR549" s="123"/>
      <c r="AS549" s="123"/>
      <c r="AU549" s="123"/>
      <c r="AV549" s="123"/>
    </row>
    <row r="550">
      <c r="A550" s="197"/>
      <c r="B550" s="197"/>
      <c r="AB550" s="123"/>
      <c r="AC550" s="123"/>
      <c r="AE550" s="123"/>
      <c r="AF550" s="123"/>
      <c r="AH550" s="123"/>
      <c r="AI550" s="123"/>
      <c r="AL550" s="123"/>
      <c r="AM550" s="123"/>
      <c r="AR550" s="123"/>
      <c r="AS550" s="123"/>
      <c r="AU550" s="123"/>
      <c r="AV550" s="123"/>
    </row>
    <row r="551">
      <c r="A551" s="197"/>
      <c r="B551" s="197"/>
      <c r="AB551" s="123"/>
      <c r="AC551" s="123"/>
      <c r="AE551" s="123"/>
      <c r="AF551" s="123"/>
      <c r="AH551" s="123"/>
      <c r="AI551" s="123"/>
      <c r="AL551" s="123"/>
      <c r="AM551" s="123"/>
      <c r="AR551" s="123"/>
      <c r="AS551" s="123"/>
      <c r="AU551" s="123"/>
      <c r="AV551" s="123"/>
    </row>
    <row r="552">
      <c r="A552" s="197"/>
      <c r="B552" s="197"/>
      <c r="AB552" s="123"/>
      <c r="AC552" s="123"/>
      <c r="AE552" s="123"/>
      <c r="AF552" s="123"/>
      <c r="AH552" s="123"/>
      <c r="AI552" s="123"/>
      <c r="AL552" s="123"/>
      <c r="AM552" s="123"/>
      <c r="AR552" s="123"/>
      <c r="AS552" s="123"/>
      <c r="AU552" s="123"/>
      <c r="AV552" s="123"/>
    </row>
    <row r="553">
      <c r="A553" s="197"/>
      <c r="B553" s="197"/>
      <c r="AB553" s="123"/>
      <c r="AC553" s="123"/>
      <c r="AE553" s="123"/>
      <c r="AF553" s="123"/>
      <c r="AH553" s="123"/>
      <c r="AI553" s="123"/>
      <c r="AL553" s="123"/>
      <c r="AM553" s="123"/>
      <c r="AR553" s="123"/>
      <c r="AS553" s="123"/>
      <c r="AU553" s="123"/>
      <c r="AV553" s="123"/>
    </row>
    <row r="554">
      <c r="A554" s="197"/>
      <c r="B554" s="197"/>
      <c r="AB554" s="123"/>
      <c r="AC554" s="123"/>
      <c r="AE554" s="123"/>
      <c r="AF554" s="123"/>
      <c r="AH554" s="123"/>
      <c r="AI554" s="123"/>
      <c r="AL554" s="123"/>
      <c r="AM554" s="123"/>
      <c r="AR554" s="123"/>
      <c r="AS554" s="123"/>
      <c r="AU554" s="123"/>
      <c r="AV554" s="123"/>
    </row>
    <row r="555">
      <c r="A555" s="197"/>
      <c r="B555" s="197"/>
      <c r="AB555" s="123"/>
      <c r="AC555" s="123"/>
      <c r="AE555" s="123"/>
      <c r="AF555" s="123"/>
      <c r="AH555" s="123"/>
      <c r="AI555" s="123"/>
      <c r="AL555" s="123"/>
      <c r="AM555" s="123"/>
      <c r="AR555" s="123"/>
      <c r="AS555" s="123"/>
      <c r="AU555" s="123"/>
      <c r="AV555" s="123"/>
    </row>
    <row r="556">
      <c r="A556" s="197"/>
      <c r="B556" s="197"/>
      <c r="AB556" s="123"/>
      <c r="AC556" s="123"/>
      <c r="AE556" s="123"/>
      <c r="AF556" s="123"/>
      <c r="AH556" s="123"/>
      <c r="AI556" s="123"/>
      <c r="AL556" s="123"/>
      <c r="AM556" s="123"/>
      <c r="AR556" s="123"/>
      <c r="AS556" s="123"/>
      <c r="AU556" s="123"/>
      <c r="AV556" s="123"/>
    </row>
    <row r="557">
      <c r="A557" s="197"/>
      <c r="B557" s="197"/>
      <c r="AB557" s="123"/>
      <c r="AC557" s="123"/>
      <c r="AE557" s="123"/>
      <c r="AF557" s="123"/>
      <c r="AH557" s="123"/>
      <c r="AI557" s="123"/>
      <c r="AL557" s="123"/>
      <c r="AM557" s="123"/>
      <c r="AR557" s="123"/>
      <c r="AS557" s="123"/>
      <c r="AU557" s="123"/>
      <c r="AV557" s="123"/>
    </row>
    <row r="558">
      <c r="A558" s="197"/>
      <c r="B558" s="197"/>
      <c r="AB558" s="123"/>
      <c r="AC558" s="123"/>
      <c r="AE558" s="123"/>
      <c r="AF558" s="123"/>
      <c r="AH558" s="123"/>
      <c r="AI558" s="123"/>
      <c r="AL558" s="123"/>
      <c r="AM558" s="123"/>
      <c r="AR558" s="123"/>
      <c r="AS558" s="123"/>
      <c r="AU558" s="123"/>
      <c r="AV558" s="123"/>
    </row>
    <row r="559">
      <c r="A559" s="197"/>
      <c r="B559" s="197"/>
      <c r="AB559" s="123"/>
      <c r="AC559" s="123"/>
      <c r="AE559" s="123"/>
      <c r="AF559" s="123"/>
      <c r="AH559" s="123"/>
      <c r="AI559" s="123"/>
      <c r="AL559" s="123"/>
      <c r="AM559" s="123"/>
      <c r="AR559" s="123"/>
      <c r="AS559" s="123"/>
      <c r="AU559" s="123"/>
      <c r="AV559" s="123"/>
    </row>
    <row r="560">
      <c r="A560" s="197"/>
      <c r="B560" s="197"/>
      <c r="AB560" s="123"/>
      <c r="AC560" s="123"/>
      <c r="AE560" s="123"/>
      <c r="AF560" s="123"/>
      <c r="AH560" s="123"/>
      <c r="AI560" s="123"/>
      <c r="AL560" s="123"/>
      <c r="AM560" s="123"/>
      <c r="AR560" s="123"/>
      <c r="AS560" s="123"/>
      <c r="AU560" s="123"/>
      <c r="AV560" s="123"/>
    </row>
    <row r="561">
      <c r="A561" s="197"/>
      <c r="B561" s="197"/>
      <c r="AB561" s="123"/>
      <c r="AC561" s="123"/>
      <c r="AE561" s="123"/>
      <c r="AF561" s="123"/>
      <c r="AH561" s="123"/>
      <c r="AI561" s="123"/>
      <c r="AL561" s="123"/>
      <c r="AM561" s="123"/>
      <c r="AR561" s="123"/>
      <c r="AS561" s="123"/>
      <c r="AU561" s="123"/>
      <c r="AV561" s="123"/>
    </row>
    <row r="562">
      <c r="A562" s="197"/>
      <c r="B562" s="197"/>
      <c r="AB562" s="123"/>
      <c r="AC562" s="123"/>
      <c r="AE562" s="123"/>
      <c r="AF562" s="123"/>
      <c r="AH562" s="123"/>
      <c r="AI562" s="123"/>
      <c r="AL562" s="123"/>
      <c r="AM562" s="123"/>
      <c r="AR562" s="123"/>
      <c r="AS562" s="123"/>
      <c r="AU562" s="123"/>
      <c r="AV562" s="123"/>
    </row>
    <row r="563">
      <c r="A563" s="197"/>
      <c r="B563" s="197"/>
      <c r="AB563" s="123"/>
      <c r="AC563" s="123"/>
      <c r="AE563" s="123"/>
      <c r="AF563" s="123"/>
      <c r="AH563" s="123"/>
      <c r="AI563" s="123"/>
      <c r="AL563" s="123"/>
      <c r="AM563" s="123"/>
      <c r="AR563" s="123"/>
      <c r="AS563" s="123"/>
      <c r="AU563" s="123"/>
      <c r="AV563" s="123"/>
    </row>
    <row r="564">
      <c r="A564" s="197"/>
      <c r="B564" s="197"/>
      <c r="AB564" s="123"/>
      <c r="AC564" s="123"/>
      <c r="AE564" s="123"/>
      <c r="AF564" s="123"/>
      <c r="AH564" s="123"/>
      <c r="AI564" s="123"/>
      <c r="AL564" s="123"/>
      <c r="AM564" s="123"/>
      <c r="AR564" s="123"/>
      <c r="AS564" s="123"/>
      <c r="AU564" s="123"/>
      <c r="AV564" s="123"/>
    </row>
    <row r="565">
      <c r="A565" s="197"/>
      <c r="B565" s="197"/>
      <c r="AB565" s="123"/>
      <c r="AC565" s="123"/>
      <c r="AE565" s="123"/>
      <c r="AF565" s="123"/>
      <c r="AH565" s="123"/>
      <c r="AI565" s="123"/>
      <c r="AL565" s="123"/>
      <c r="AM565" s="123"/>
      <c r="AR565" s="123"/>
      <c r="AS565" s="123"/>
      <c r="AU565" s="123"/>
      <c r="AV565" s="123"/>
    </row>
    <row r="566">
      <c r="A566" s="197"/>
      <c r="B566" s="197"/>
      <c r="AB566" s="123"/>
      <c r="AC566" s="123"/>
      <c r="AE566" s="123"/>
      <c r="AF566" s="123"/>
      <c r="AH566" s="123"/>
      <c r="AI566" s="123"/>
      <c r="AL566" s="123"/>
      <c r="AM566" s="123"/>
      <c r="AR566" s="123"/>
      <c r="AS566" s="123"/>
      <c r="AU566" s="123"/>
      <c r="AV566" s="123"/>
    </row>
    <row r="567">
      <c r="A567" s="197"/>
      <c r="B567" s="197"/>
      <c r="AB567" s="123"/>
      <c r="AC567" s="123"/>
      <c r="AE567" s="123"/>
      <c r="AF567" s="123"/>
      <c r="AH567" s="123"/>
      <c r="AI567" s="123"/>
      <c r="AL567" s="123"/>
      <c r="AM567" s="123"/>
      <c r="AR567" s="123"/>
      <c r="AS567" s="123"/>
      <c r="AU567" s="123"/>
      <c r="AV567" s="123"/>
    </row>
    <row r="568">
      <c r="A568" s="197"/>
      <c r="B568" s="197"/>
      <c r="AB568" s="123"/>
      <c r="AC568" s="123"/>
      <c r="AE568" s="123"/>
      <c r="AF568" s="123"/>
      <c r="AH568" s="123"/>
      <c r="AI568" s="123"/>
      <c r="AL568" s="123"/>
      <c r="AM568" s="123"/>
      <c r="AR568" s="123"/>
      <c r="AS568" s="123"/>
      <c r="AU568" s="123"/>
      <c r="AV568" s="123"/>
    </row>
    <row r="569">
      <c r="A569" s="197"/>
      <c r="B569" s="197"/>
      <c r="AB569" s="123"/>
      <c r="AC569" s="123"/>
      <c r="AE569" s="123"/>
      <c r="AF569" s="123"/>
      <c r="AH569" s="123"/>
      <c r="AI569" s="123"/>
      <c r="AL569" s="123"/>
      <c r="AM569" s="123"/>
      <c r="AR569" s="123"/>
      <c r="AS569" s="123"/>
      <c r="AU569" s="123"/>
      <c r="AV569" s="123"/>
    </row>
    <row r="570">
      <c r="A570" s="197"/>
      <c r="B570" s="197"/>
      <c r="AB570" s="123"/>
      <c r="AC570" s="123"/>
      <c r="AE570" s="123"/>
      <c r="AF570" s="123"/>
      <c r="AH570" s="123"/>
      <c r="AI570" s="123"/>
      <c r="AL570" s="123"/>
      <c r="AM570" s="123"/>
      <c r="AR570" s="123"/>
      <c r="AS570" s="123"/>
      <c r="AU570" s="123"/>
      <c r="AV570" s="123"/>
    </row>
    <row r="571">
      <c r="A571" s="197"/>
      <c r="B571" s="197"/>
      <c r="AB571" s="123"/>
      <c r="AC571" s="123"/>
      <c r="AE571" s="123"/>
      <c r="AF571" s="123"/>
      <c r="AH571" s="123"/>
      <c r="AI571" s="123"/>
      <c r="AL571" s="123"/>
      <c r="AM571" s="123"/>
      <c r="AR571" s="123"/>
      <c r="AS571" s="123"/>
      <c r="AU571" s="123"/>
      <c r="AV571" s="123"/>
    </row>
    <row r="572">
      <c r="A572" s="197"/>
      <c r="B572" s="197"/>
      <c r="AB572" s="123"/>
      <c r="AC572" s="123"/>
      <c r="AE572" s="123"/>
      <c r="AF572" s="123"/>
      <c r="AH572" s="123"/>
      <c r="AI572" s="123"/>
      <c r="AL572" s="123"/>
      <c r="AM572" s="123"/>
      <c r="AR572" s="123"/>
      <c r="AS572" s="123"/>
      <c r="AU572" s="123"/>
      <c r="AV572" s="123"/>
    </row>
    <row r="573">
      <c r="A573" s="197"/>
      <c r="B573" s="197"/>
      <c r="AB573" s="123"/>
      <c r="AC573" s="123"/>
      <c r="AE573" s="123"/>
      <c r="AF573" s="123"/>
      <c r="AH573" s="123"/>
      <c r="AI573" s="123"/>
      <c r="AL573" s="123"/>
      <c r="AM573" s="123"/>
      <c r="AR573" s="123"/>
      <c r="AS573" s="123"/>
      <c r="AU573" s="123"/>
      <c r="AV573" s="123"/>
    </row>
    <row r="574">
      <c r="A574" s="197"/>
      <c r="B574" s="197"/>
      <c r="AB574" s="123"/>
      <c r="AC574" s="123"/>
      <c r="AE574" s="123"/>
      <c r="AF574" s="123"/>
      <c r="AH574" s="123"/>
      <c r="AI574" s="123"/>
      <c r="AL574" s="123"/>
      <c r="AM574" s="123"/>
      <c r="AR574" s="123"/>
      <c r="AS574" s="123"/>
      <c r="AU574" s="123"/>
      <c r="AV574" s="123"/>
    </row>
    <row r="575">
      <c r="A575" s="197"/>
      <c r="B575" s="197"/>
      <c r="AB575" s="123"/>
      <c r="AC575" s="123"/>
      <c r="AE575" s="123"/>
      <c r="AF575" s="123"/>
      <c r="AH575" s="123"/>
      <c r="AI575" s="123"/>
      <c r="AL575" s="123"/>
      <c r="AM575" s="123"/>
      <c r="AR575" s="123"/>
      <c r="AS575" s="123"/>
      <c r="AU575" s="123"/>
      <c r="AV575" s="123"/>
    </row>
    <row r="576">
      <c r="A576" s="197"/>
      <c r="B576" s="197"/>
      <c r="AB576" s="123"/>
      <c r="AC576" s="123"/>
      <c r="AE576" s="123"/>
      <c r="AF576" s="123"/>
      <c r="AH576" s="123"/>
      <c r="AI576" s="123"/>
      <c r="AL576" s="123"/>
      <c r="AM576" s="123"/>
      <c r="AR576" s="123"/>
      <c r="AS576" s="123"/>
      <c r="AU576" s="123"/>
      <c r="AV576" s="123"/>
    </row>
    <row r="577">
      <c r="A577" s="197"/>
      <c r="B577" s="197"/>
      <c r="AB577" s="123"/>
      <c r="AC577" s="123"/>
      <c r="AE577" s="123"/>
      <c r="AF577" s="123"/>
      <c r="AH577" s="123"/>
      <c r="AI577" s="123"/>
      <c r="AL577" s="123"/>
      <c r="AM577" s="123"/>
      <c r="AR577" s="123"/>
      <c r="AS577" s="123"/>
      <c r="AU577" s="123"/>
      <c r="AV577" s="123"/>
    </row>
    <row r="578">
      <c r="A578" s="197"/>
      <c r="B578" s="197"/>
      <c r="AB578" s="123"/>
      <c r="AC578" s="123"/>
      <c r="AE578" s="123"/>
      <c r="AF578" s="123"/>
      <c r="AH578" s="123"/>
      <c r="AI578" s="123"/>
      <c r="AL578" s="123"/>
      <c r="AM578" s="123"/>
      <c r="AR578" s="123"/>
      <c r="AS578" s="123"/>
      <c r="AU578" s="123"/>
      <c r="AV578" s="123"/>
    </row>
    <row r="579">
      <c r="A579" s="197"/>
      <c r="B579" s="197"/>
      <c r="AB579" s="123"/>
      <c r="AC579" s="123"/>
      <c r="AE579" s="123"/>
      <c r="AF579" s="123"/>
      <c r="AH579" s="123"/>
      <c r="AI579" s="123"/>
      <c r="AL579" s="123"/>
      <c r="AM579" s="123"/>
      <c r="AR579" s="123"/>
      <c r="AS579" s="123"/>
      <c r="AU579" s="123"/>
      <c r="AV579" s="123"/>
    </row>
    <row r="580">
      <c r="A580" s="197"/>
      <c r="B580" s="197"/>
      <c r="AB580" s="123"/>
      <c r="AC580" s="123"/>
      <c r="AE580" s="123"/>
      <c r="AF580" s="123"/>
      <c r="AH580" s="123"/>
      <c r="AI580" s="123"/>
      <c r="AL580" s="123"/>
      <c r="AM580" s="123"/>
      <c r="AR580" s="123"/>
      <c r="AS580" s="123"/>
      <c r="AU580" s="123"/>
      <c r="AV580" s="123"/>
    </row>
    <row r="581">
      <c r="A581" s="197"/>
      <c r="B581" s="197"/>
      <c r="AB581" s="123"/>
      <c r="AC581" s="123"/>
      <c r="AE581" s="123"/>
      <c r="AF581" s="123"/>
      <c r="AH581" s="123"/>
      <c r="AI581" s="123"/>
      <c r="AL581" s="123"/>
      <c r="AM581" s="123"/>
      <c r="AR581" s="123"/>
      <c r="AS581" s="123"/>
      <c r="AU581" s="123"/>
      <c r="AV581" s="123"/>
    </row>
    <row r="582">
      <c r="A582" s="197"/>
      <c r="B582" s="197"/>
      <c r="AB582" s="123"/>
      <c r="AC582" s="123"/>
      <c r="AE582" s="123"/>
      <c r="AF582" s="123"/>
      <c r="AH582" s="123"/>
      <c r="AI582" s="123"/>
      <c r="AL582" s="123"/>
      <c r="AM582" s="123"/>
      <c r="AR582" s="123"/>
      <c r="AS582" s="123"/>
      <c r="AU582" s="123"/>
      <c r="AV582" s="123"/>
    </row>
    <row r="583">
      <c r="A583" s="197"/>
      <c r="B583" s="197"/>
      <c r="AB583" s="123"/>
      <c r="AC583" s="123"/>
      <c r="AE583" s="123"/>
      <c r="AF583" s="123"/>
      <c r="AH583" s="123"/>
      <c r="AI583" s="123"/>
      <c r="AL583" s="123"/>
      <c r="AM583" s="123"/>
      <c r="AR583" s="123"/>
      <c r="AS583" s="123"/>
      <c r="AU583" s="123"/>
      <c r="AV583" s="123"/>
    </row>
    <row r="584">
      <c r="A584" s="197"/>
      <c r="B584" s="197"/>
      <c r="AB584" s="123"/>
      <c r="AC584" s="123"/>
      <c r="AE584" s="123"/>
      <c r="AF584" s="123"/>
      <c r="AH584" s="123"/>
      <c r="AI584" s="123"/>
      <c r="AL584" s="123"/>
      <c r="AM584" s="123"/>
      <c r="AR584" s="123"/>
      <c r="AS584" s="123"/>
      <c r="AU584" s="123"/>
      <c r="AV584" s="123"/>
    </row>
    <row r="585">
      <c r="A585" s="197"/>
      <c r="B585" s="197"/>
      <c r="AB585" s="123"/>
      <c r="AC585" s="123"/>
      <c r="AE585" s="123"/>
      <c r="AF585" s="123"/>
      <c r="AH585" s="123"/>
      <c r="AI585" s="123"/>
      <c r="AL585" s="123"/>
      <c r="AM585" s="123"/>
      <c r="AR585" s="123"/>
      <c r="AS585" s="123"/>
      <c r="AU585" s="123"/>
      <c r="AV585" s="123"/>
    </row>
    <row r="586">
      <c r="A586" s="197"/>
      <c r="B586" s="197"/>
      <c r="AB586" s="123"/>
      <c r="AC586" s="123"/>
      <c r="AE586" s="123"/>
      <c r="AF586" s="123"/>
      <c r="AH586" s="123"/>
      <c r="AI586" s="123"/>
      <c r="AL586" s="123"/>
      <c r="AM586" s="123"/>
      <c r="AR586" s="123"/>
      <c r="AS586" s="123"/>
      <c r="AU586" s="123"/>
      <c r="AV586" s="123"/>
    </row>
    <row r="587">
      <c r="A587" s="197"/>
      <c r="B587" s="197"/>
      <c r="AB587" s="123"/>
      <c r="AC587" s="123"/>
      <c r="AE587" s="123"/>
      <c r="AF587" s="123"/>
      <c r="AH587" s="123"/>
      <c r="AI587" s="123"/>
      <c r="AL587" s="123"/>
      <c r="AM587" s="123"/>
      <c r="AR587" s="123"/>
      <c r="AS587" s="123"/>
      <c r="AU587" s="123"/>
      <c r="AV587" s="123"/>
    </row>
    <row r="588">
      <c r="A588" s="197"/>
      <c r="B588" s="197"/>
      <c r="AB588" s="123"/>
      <c r="AC588" s="123"/>
      <c r="AE588" s="123"/>
      <c r="AF588" s="123"/>
      <c r="AH588" s="123"/>
      <c r="AI588" s="123"/>
      <c r="AL588" s="123"/>
      <c r="AM588" s="123"/>
      <c r="AR588" s="123"/>
      <c r="AS588" s="123"/>
      <c r="AU588" s="123"/>
      <c r="AV588" s="123"/>
    </row>
    <row r="589">
      <c r="A589" s="197"/>
      <c r="B589" s="197"/>
      <c r="AB589" s="123"/>
      <c r="AC589" s="123"/>
      <c r="AE589" s="123"/>
      <c r="AF589" s="123"/>
      <c r="AH589" s="123"/>
      <c r="AI589" s="123"/>
      <c r="AL589" s="123"/>
      <c r="AM589" s="123"/>
      <c r="AR589" s="123"/>
      <c r="AS589" s="123"/>
      <c r="AU589" s="123"/>
      <c r="AV589" s="123"/>
    </row>
    <row r="590">
      <c r="A590" s="197"/>
      <c r="B590" s="197"/>
      <c r="AB590" s="123"/>
      <c r="AC590" s="123"/>
      <c r="AE590" s="123"/>
      <c r="AF590" s="123"/>
      <c r="AH590" s="123"/>
      <c r="AI590" s="123"/>
      <c r="AL590" s="123"/>
      <c r="AM590" s="123"/>
      <c r="AR590" s="123"/>
      <c r="AS590" s="123"/>
      <c r="AU590" s="123"/>
      <c r="AV590" s="123"/>
    </row>
    <row r="591">
      <c r="A591" s="197"/>
      <c r="B591" s="197"/>
      <c r="AB591" s="123"/>
      <c r="AC591" s="123"/>
      <c r="AE591" s="123"/>
      <c r="AF591" s="123"/>
      <c r="AH591" s="123"/>
      <c r="AI591" s="123"/>
      <c r="AL591" s="123"/>
      <c r="AM591" s="123"/>
      <c r="AR591" s="123"/>
      <c r="AS591" s="123"/>
      <c r="AU591" s="123"/>
      <c r="AV591" s="123"/>
    </row>
    <row r="592">
      <c r="A592" s="197"/>
      <c r="B592" s="197"/>
      <c r="AB592" s="123"/>
      <c r="AC592" s="123"/>
      <c r="AE592" s="123"/>
      <c r="AF592" s="123"/>
      <c r="AH592" s="123"/>
      <c r="AI592" s="123"/>
      <c r="AL592" s="123"/>
      <c r="AM592" s="123"/>
      <c r="AR592" s="123"/>
      <c r="AS592" s="123"/>
      <c r="AU592" s="123"/>
      <c r="AV592" s="123"/>
    </row>
    <row r="593">
      <c r="A593" s="197"/>
      <c r="B593" s="197"/>
      <c r="AB593" s="123"/>
      <c r="AC593" s="123"/>
      <c r="AE593" s="123"/>
      <c r="AF593" s="123"/>
      <c r="AH593" s="123"/>
      <c r="AI593" s="123"/>
      <c r="AL593" s="123"/>
      <c r="AM593" s="123"/>
      <c r="AR593" s="123"/>
      <c r="AS593" s="123"/>
      <c r="AU593" s="123"/>
      <c r="AV593" s="123"/>
    </row>
    <row r="594">
      <c r="A594" s="197"/>
      <c r="B594" s="197"/>
      <c r="AB594" s="123"/>
      <c r="AC594" s="123"/>
      <c r="AE594" s="123"/>
      <c r="AF594" s="123"/>
      <c r="AH594" s="123"/>
      <c r="AI594" s="123"/>
      <c r="AL594" s="123"/>
      <c r="AM594" s="123"/>
      <c r="AR594" s="123"/>
      <c r="AS594" s="123"/>
      <c r="AU594" s="123"/>
      <c r="AV594" s="123"/>
    </row>
    <row r="595">
      <c r="A595" s="197"/>
      <c r="B595" s="197"/>
      <c r="AB595" s="123"/>
      <c r="AC595" s="123"/>
      <c r="AE595" s="123"/>
      <c r="AF595" s="123"/>
      <c r="AH595" s="123"/>
      <c r="AI595" s="123"/>
      <c r="AL595" s="123"/>
      <c r="AM595" s="123"/>
      <c r="AR595" s="123"/>
      <c r="AS595" s="123"/>
      <c r="AU595" s="123"/>
      <c r="AV595" s="123"/>
    </row>
    <row r="596">
      <c r="A596" s="197"/>
      <c r="B596" s="197"/>
      <c r="AB596" s="123"/>
      <c r="AC596" s="123"/>
      <c r="AE596" s="123"/>
      <c r="AF596" s="123"/>
      <c r="AH596" s="123"/>
      <c r="AI596" s="123"/>
      <c r="AL596" s="123"/>
      <c r="AM596" s="123"/>
      <c r="AR596" s="123"/>
      <c r="AS596" s="123"/>
      <c r="AU596" s="123"/>
      <c r="AV596" s="123"/>
    </row>
    <row r="597">
      <c r="A597" s="197"/>
      <c r="B597" s="197"/>
      <c r="AB597" s="123"/>
      <c r="AC597" s="123"/>
      <c r="AE597" s="123"/>
      <c r="AF597" s="123"/>
      <c r="AH597" s="123"/>
      <c r="AI597" s="123"/>
      <c r="AL597" s="123"/>
      <c r="AM597" s="123"/>
      <c r="AR597" s="123"/>
      <c r="AS597" s="123"/>
      <c r="AU597" s="123"/>
      <c r="AV597" s="123"/>
    </row>
    <row r="598">
      <c r="A598" s="197"/>
      <c r="B598" s="197"/>
      <c r="AB598" s="123"/>
      <c r="AC598" s="123"/>
      <c r="AE598" s="123"/>
      <c r="AF598" s="123"/>
      <c r="AH598" s="123"/>
      <c r="AI598" s="123"/>
      <c r="AL598" s="123"/>
      <c r="AM598" s="123"/>
      <c r="AR598" s="123"/>
      <c r="AS598" s="123"/>
      <c r="AU598" s="123"/>
      <c r="AV598" s="123"/>
    </row>
    <row r="599">
      <c r="A599" s="197"/>
      <c r="B599" s="197"/>
      <c r="AB599" s="123"/>
      <c r="AC599" s="123"/>
      <c r="AE599" s="123"/>
      <c r="AF599" s="123"/>
      <c r="AH599" s="123"/>
      <c r="AI599" s="123"/>
      <c r="AL599" s="123"/>
      <c r="AM599" s="123"/>
      <c r="AR599" s="123"/>
      <c r="AS599" s="123"/>
      <c r="AU599" s="123"/>
      <c r="AV599" s="123"/>
    </row>
    <row r="600">
      <c r="A600" s="197"/>
      <c r="B600" s="197"/>
      <c r="AB600" s="123"/>
      <c r="AC600" s="123"/>
      <c r="AE600" s="123"/>
      <c r="AF600" s="123"/>
      <c r="AH600" s="123"/>
      <c r="AI600" s="123"/>
      <c r="AL600" s="123"/>
      <c r="AM600" s="123"/>
      <c r="AR600" s="123"/>
      <c r="AS600" s="123"/>
      <c r="AU600" s="123"/>
      <c r="AV600" s="123"/>
    </row>
    <row r="601">
      <c r="A601" s="197"/>
      <c r="B601" s="197"/>
      <c r="AB601" s="123"/>
      <c r="AC601" s="123"/>
      <c r="AE601" s="123"/>
      <c r="AF601" s="123"/>
      <c r="AH601" s="123"/>
      <c r="AI601" s="123"/>
      <c r="AL601" s="123"/>
      <c r="AM601" s="123"/>
      <c r="AR601" s="123"/>
      <c r="AS601" s="123"/>
      <c r="AU601" s="123"/>
      <c r="AV601" s="123"/>
    </row>
    <row r="602">
      <c r="A602" s="197"/>
      <c r="B602" s="197"/>
      <c r="AB602" s="123"/>
      <c r="AC602" s="123"/>
      <c r="AE602" s="123"/>
      <c r="AF602" s="123"/>
      <c r="AH602" s="123"/>
      <c r="AI602" s="123"/>
      <c r="AL602" s="123"/>
      <c r="AM602" s="123"/>
      <c r="AR602" s="123"/>
      <c r="AS602" s="123"/>
      <c r="AU602" s="123"/>
      <c r="AV602" s="123"/>
    </row>
    <row r="603">
      <c r="A603" s="197"/>
      <c r="B603" s="197"/>
      <c r="AB603" s="123"/>
      <c r="AC603" s="123"/>
      <c r="AE603" s="123"/>
      <c r="AF603" s="123"/>
      <c r="AH603" s="123"/>
      <c r="AI603" s="123"/>
      <c r="AL603" s="123"/>
      <c r="AM603" s="123"/>
      <c r="AR603" s="123"/>
      <c r="AS603" s="123"/>
      <c r="AU603" s="123"/>
      <c r="AV603" s="123"/>
    </row>
    <row r="604">
      <c r="A604" s="197"/>
      <c r="B604" s="197"/>
      <c r="AB604" s="123"/>
      <c r="AC604" s="123"/>
      <c r="AE604" s="123"/>
      <c r="AF604" s="123"/>
      <c r="AH604" s="123"/>
      <c r="AI604" s="123"/>
      <c r="AL604" s="123"/>
      <c r="AM604" s="123"/>
      <c r="AR604" s="123"/>
      <c r="AS604" s="123"/>
      <c r="AU604" s="123"/>
      <c r="AV604" s="123"/>
    </row>
    <row r="605">
      <c r="A605" s="197"/>
      <c r="B605" s="197"/>
      <c r="AB605" s="123"/>
      <c r="AC605" s="123"/>
      <c r="AE605" s="123"/>
      <c r="AF605" s="123"/>
      <c r="AH605" s="123"/>
      <c r="AI605" s="123"/>
      <c r="AL605" s="123"/>
      <c r="AM605" s="123"/>
      <c r="AR605" s="123"/>
      <c r="AS605" s="123"/>
      <c r="AU605" s="123"/>
      <c r="AV605" s="123"/>
    </row>
    <row r="606">
      <c r="A606" s="197"/>
      <c r="B606" s="197"/>
      <c r="AB606" s="123"/>
      <c r="AC606" s="123"/>
      <c r="AE606" s="123"/>
      <c r="AF606" s="123"/>
      <c r="AH606" s="123"/>
      <c r="AI606" s="123"/>
      <c r="AL606" s="123"/>
      <c r="AM606" s="123"/>
      <c r="AR606" s="123"/>
      <c r="AS606" s="123"/>
      <c r="AU606" s="123"/>
      <c r="AV606" s="123"/>
    </row>
    <row r="607">
      <c r="A607" s="197"/>
      <c r="B607" s="197"/>
      <c r="AB607" s="123"/>
      <c r="AC607" s="123"/>
      <c r="AE607" s="123"/>
      <c r="AF607" s="123"/>
      <c r="AH607" s="123"/>
      <c r="AI607" s="123"/>
      <c r="AL607" s="123"/>
      <c r="AM607" s="123"/>
      <c r="AR607" s="123"/>
      <c r="AS607" s="123"/>
      <c r="AU607" s="123"/>
      <c r="AV607" s="123"/>
    </row>
    <row r="608">
      <c r="A608" s="197"/>
      <c r="B608" s="197"/>
      <c r="AB608" s="123"/>
      <c r="AC608" s="123"/>
      <c r="AE608" s="123"/>
      <c r="AF608" s="123"/>
      <c r="AH608" s="123"/>
      <c r="AI608" s="123"/>
      <c r="AL608" s="123"/>
      <c r="AM608" s="123"/>
      <c r="AR608" s="123"/>
      <c r="AS608" s="123"/>
      <c r="AU608" s="123"/>
      <c r="AV608" s="123"/>
    </row>
    <row r="609">
      <c r="A609" s="197"/>
      <c r="B609" s="197"/>
      <c r="AB609" s="123"/>
      <c r="AC609" s="123"/>
      <c r="AE609" s="123"/>
      <c r="AF609" s="123"/>
      <c r="AH609" s="123"/>
      <c r="AI609" s="123"/>
      <c r="AL609" s="123"/>
      <c r="AM609" s="123"/>
      <c r="AR609" s="123"/>
      <c r="AS609" s="123"/>
      <c r="AU609" s="123"/>
      <c r="AV609" s="123"/>
    </row>
    <row r="610">
      <c r="A610" s="197"/>
      <c r="B610" s="197"/>
      <c r="AB610" s="123"/>
      <c r="AC610" s="123"/>
      <c r="AE610" s="123"/>
      <c r="AF610" s="123"/>
      <c r="AH610" s="123"/>
      <c r="AI610" s="123"/>
      <c r="AL610" s="123"/>
      <c r="AM610" s="123"/>
      <c r="AR610" s="123"/>
      <c r="AS610" s="123"/>
      <c r="AU610" s="123"/>
      <c r="AV610" s="123"/>
    </row>
    <row r="611">
      <c r="A611" s="197"/>
      <c r="B611" s="197"/>
      <c r="AB611" s="123"/>
      <c r="AC611" s="123"/>
      <c r="AE611" s="123"/>
      <c r="AF611" s="123"/>
      <c r="AH611" s="123"/>
      <c r="AI611" s="123"/>
      <c r="AL611" s="123"/>
      <c r="AM611" s="123"/>
      <c r="AR611" s="123"/>
      <c r="AS611" s="123"/>
      <c r="AU611" s="123"/>
      <c r="AV611" s="123"/>
    </row>
    <row r="612">
      <c r="A612" s="197"/>
      <c r="B612" s="197"/>
      <c r="AB612" s="123"/>
      <c r="AC612" s="123"/>
      <c r="AE612" s="123"/>
      <c r="AF612" s="123"/>
      <c r="AH612" s="123"/>
      <c r="AI612" s="123"/>
      <c r="AL612" s="123"/>
      <c r="AM612" s="123"/>
      <c r="AR612" s="123"/>
      <c r="AS612" s="123"/>
      <c r="AU612" s="123"/>
      <c r="AV612" s="123"/>
    </row>
    <row r="613">
      <c r="A613" s="197"/>
      <c r="B613" s="197"/>
      <c r="AB613" s="123"/>
      <c r="AC613" s="123"/>
      <c r="AE613" s="123"/>
      <c r="AF613" s="123"/>
      <c r="AH613" s="123"/>
      <c r="AI613" s="123"/>
      <c r="AL613" s="123"/>
      <c r="AM613" s="123"/>
      <c r="AR613" s="123"/>
      <c r="AS613" s="123"/>
      <c r="AU613" s="123"/>
      <c r="AV613" s="123"/>
    </row>
    <row r="614">
      <c r="A614" s="197"/>
      <c r="B614" s="197"/>
      <c r="AB614" s="123"/>
      <c r="AC614" s="123"/>
      <c r="AE614" s="123"/>
      <c r="AF614" s="123"/>
      <c r="AH614" s="123"/>
      <c r="AI614" s="123"/>
      <c r="AL614" s="123"/>
      <c r="AM614" s="123"/>
      <c r="AR614" s="123"/>
      <c r="AS614" s="123"/>
      <c r="AU614" s="123"/>
      <c r="AV614" s="123"/>
    </row>
    <row r="615">
      <c r="A615" s="197"/>
      <c r="B615" s="197"/>
      <c r="AB615" s="123"/>
      <c r="AC615" s="123"/>
      <c r="AE615" s="123"/>
      <c r="AF615" s="123"/>
      <c r="AH615" s="123"/>
      <c r="AI615" s="123"/>
      <c r="AL615" s="123"/>
      <c r="AM615" s="123"/>
      <c r="AR615" s="123"/>
      <c r="AS615" s="123"/>
      <c r="AU615" s="123"/>
      <c r="AV615" s="123"/>
    </row>
    <row r="616">
      <c r="A616" s="197"/>
      <c r="B616" s="197"/>
      <c r="AB616" s="123"/>
      <c r="AC616" s="123"/>
      <c r="AE616" s="123"/>
      <c r="AF616" s="123"/>
      <c r="AH616" s="123"/>
      <c r="AI616" s="123"/>
      <c r="AL616" s="123"/>
      <c r="AM616" s="123"/>
      <c r="AR616" s="123"/>
      <c r="AS616" s="123"/>
      <c r="AU616" s="123"/>
      <c r="AV616" s="123"/>
    </row>
    <row r="617">
      <c r="A617" s="197"/>
      <c r="B617" s="197"/>
      <c r="AB617" s="123"/>
      <c r="AC617" s="123"/>
      <c r="AE617" s="123"/>
      <c r="AF617" s="123"/>
      <c r="AH617" s="123"/>
      <c r="AI617" s="123"/>
      <c r="AL617" s="123"/>
      <c r="AM617" s="123"/>
      <c r="AR617" s="123"/>
      <c r="AS617" s="123"/>
      <c r="AU617" s="123"/>
      <c r="AV617" s="123"/>
    </row>
    <row r="618">
      <c r="A618" s="197"/>
      <c r="B618" s="197"/>
      <c r="AB618" s="123"/>
      <c r="AC618" s="123"/>
      <c r="AE618" s="123"/>
      <c r="AF618" s="123"/>
      <c r="AH618" s="123"/>
      <c r="AI618" s="123"/>
      <c r="AL618" s="123"/>
      <c r="AM618" s="123"/>
      <c r="AR618" s="123"/>
      <c r="AS618" s="123"/>
      <c r="AU618" s="123"/>
      <c r="AV618" s="123"/>
    </row>
    <row r="619">
      <c r="A619" s="197"/>
      <c r="B619" s="197"/>
      <c r="AB619" s="123"/>
      <c r="AC619" s="123"/>
      <c r="AE619" s="123"/>
      <c r="AF619" s="123"/>
      <c r="AH619" s="123"/>
      <c r="AI619" s="123"/>
      <c r="AL619" s="123"/>
      <c r="AM619" s="123"/>
      <c r="AR619" s="123"/>
      <c r="AS619" s="123"/>
      <c r="AU619" s="123"/>
      <c r="AV619" s="123"/>
    </row>
    <row r="620">
      <c r="A620" s="197"/>
      <c r="B620" s="197"/>
      <c r="AB620" s="123"/>
      <c r="AC620" s="123"/>
      <c r="AE620" s="123"/>
      <c r="AF620" s="123"/>
      <c r="AH620" s="123"/>
      <c r="AI620" s="123"/>
      <c r="AL620" s="123"/>
      <c r="AM620" s="123"/>
      <c r="AR620" s="123"/>
      <c r="AS620" s="123"/>
      <c r="AU620" s="123"/>
      <c r="AV620" s="123"/>
    </row>
    <row r="621">
      <c r="A621" s="197"/>
      <c r="B621" s="197"/>
      <c r="AB621" s="123"/>
      <c r="AC621" s="123"/>
      <c r="AE621" s="123"/>
      <c r="AF621" s="123"/>
      <c r="AH621" s="123"/>
      <c r="AI621" s="123"/>
      <c r="AL621" s="123"/>
      <c r="AM621" s="123"/>
      <c r="AR621" s="123"/>
      <c r="AS621" s="123"/>
      <c r="AU621" s="123"/>
      <c r="AV621" s="123"/>
    </row>
    <row r="622">
      <c r="A622" s="197"/>
      <c r="B622" s="197"/>
      <c r="AB622" s="123"/>
      <c r="AC622" s="123"/>
      <c r="AE622" s="123"/>
      <c r="AF622" s="123"/>
      <c r="AH622" s="123"/>
      <c r="AI622" s="123"/>
      <c r="AL622" s="123"/>
      <c r="AM622" s="123"/>
      <c r="AR622" s="123"/>
      <c r="AS622" s="123"/>
      <c r="AU622" s="123"/>
      <c r="AV622" s="123"/>
    </row>
    <row r="623">
      <c r="A623" s="197"/>
      <c r="B623" s="197"/>
      <c r="AB623" s="123"/>
      <c r="AC623" s="123"/>
      <c r="AE623" s="123"/>
      <c r="AF623" s="123"/>
      <c r="AH623" s="123"/>
      <c r="AI623" s="123"/>
      <c r="AL623" s="123"/>
      <c r="AM623" s="123"/>
      <c r="AR623" s="123"/>
      <c r="AS623" s="123"/>
      <c r="AU623" s="123"/>
      <c r="AV623" s="123"/>
    </row>
    <row r="624">
      <c r="A624" s="197"/>
      <c r="B624" s="197"/>
      <c r="AB624" s="123"/>
      <c r="AC624" s="123"/>
      <c r="AE624" s="123"/>
      <c r="AF624" s="123"/>
      <c r="AH624" s="123"/>
      <c r="AI624" s="123"/>
      <c r="AL624" s="123"/>
      <c r="AM624" s="123"/>
      <c r="AR624" s="123"/>
      <c r="AS624" s="123"/>
      <c r="AU624" s="123"/>
      <c r="AV624" s="123"/>
    </row>
    <row r="625">
      <c r="A625" s="197"/>
      <c r="B625" s="197"/>
      <c r="AB625" s="123"/>
      <c r="AC625" s="123"/>
      <c r="AE625" s="123"/>
      <c r="AF625" s="123"/>
      <c r="AH625" s="123"/>
      <c r="AI625" s="123"/>
      <c r="AL625" s="123"/>
      <c r="AM625" s="123"/>
      <c r="AR625" s="123"/>
      <c r="AS625" s="123"/>
      <c r="AU625" s="123"/>
      <c r="AV625" s="123"/>
    </row>
    <row r="626">
      <c r="A626" s="197"/>
      <c r="B626" s="197"/>
      <c r="AB626" s="123"/>
      <c r="AC626" s="123"/>
      <c r="AE626" s="123"/>
      <c r="AF626" s="123"/>
      <c r="AH626" s="123"/>
      <c r="AI626" s="123"/>
      <c r="AL626" s="123"/>
      <c r="AM626" s="123"/>
      <c r="AR626" s="123"/>
      <c r="AS626" s="123"/>
      <c r="AU626" s="123"/>
      <c r="AV626" s="123"/>
    </row>
    <row r="627">
      <c r="A627" s="197"/>
      <c r="B627" s="197"/>
      <c r="AB627" s="123"/>
      <c r="AC627" s="123"/>
      <c r="AE627" s="123"/>
      <c r="AF627" s="123"/>
      <c r="AH627" s="123"/>
      <c r="AI627" s="123"/>
      <c r="AL627" s="123"/>
      <c r="AM627" s="123"/>
      <c r="AR627" s="123"/>
      <c r="AS627" s="123"/>
      <c r="AU627" s="123"/>
      <c r="AV627" s="123"/>
    </row>
    <row r="628">
      <c r="A628" s="197"/>
      <c r="B628" s="197"/>
      <c r="AB628" s="123"/>
      <c r="AC628" s="123"/>
      <c r="AE628" s="123"/>
      <c r="AF628" s="123"/>
      <c r="AH628" s="123"/>
      <c r="AI628" s="123"/>
      <c r="AL628" s="123"/>
      <c r="AM628" s="123"/>
      <c r="AR628" s="123"/>
      <c r="AS628" s="123"/>
      <c r="AU628" s="123"/>
      <c r="AV628" s="123"/>
    </row>
    <row r="629">
      <c r="A629" s="197"/>
      <c r="B629" s="197"/>
      <c r="AB629" s="123"/>
      <c r="AC629" s="123"/>
      <c r="AE629" s="123"/>
      <c r="AF629" s="123"/>
      <c r="AH629" s="123"/>
      <c r="AI629" s="123"/>
      <c r="AL629" s="123"/>
      <c r="AM629" s="123"/>
      <c r="AR629" s="123"/>
      <c r="AS629" s="123"/>
      <c r="AU629" s="123"/>
      <c r="AV629" s="123"/>
    </row>
    <row r="630">
      <c r="A630" s="197"/>
      <c r="B630" s="197"/>
      <c r="AB630" s="123"/>
      <c r="AC630" s="123"/>
      <c r="AE630" s="123"/>
      <c r="AF630" s="123"/>
      <c r="AH630" s="123"/>
      <c r="AI630" s="123"/>
      <c r="AL630" s="123"/>
      <c r="AM630" s="123"/>
      <c r="AR630" s="123"/>
      <c r="AS630" s="123"/>
      <c r="AU630" s="123"/>
      <c r="AV630" s="123"/>
    </row>
    <row r="631">
      <c r="A631" s="197"/>
      <c r="B631" s="197"/>
      <c r="AB631" s="123"/>
      <c r="AC631" s="123"/>
      <c r="AE631" s="123"/>
      <c r="AF631" s="123"/>
      <c r="AH631" s="123"/>
      <c r="AI631" s="123"/>
      <c r="AL631" s="123"/>
      <c r="AM631" s="123"/>
      <c r="AR631" s="123"/>
      <c r="AS631" s="123"/>
      <c r="AU631" s="123"/>
      <c r="AV631" s="123"/>
    </row>
    <row r="632">
      <c r="A632" s="197"/>
      <c r="B632" s="197"/>
      <c r="AB632" s="123"/>
      <c r="AC632" s="123"/>
      <c r="AE632" s="123"/>
      <c r="AF632" s="123"/>
      <c r="AH632" s="123"/>
      <c r="AI632" s="123"/>
      <c r="AL632" s="123"/>
      <c r="AM632" s="123"/>
      <c r="AR632" s="123"/>
      <c r="AS632" s="123"/>
      <c r="AU632" s="123"/>
      <c r="AV632" s="123"/>
    </row>
    <row r="633">
      <c r="A633" s="197"/>
      <c r="B633" s="197"/>
      <c r="AB633" s="123"/>
      <c r="AC633" s="123"/>
      <c r="AE633" s="123"/>
      <c r="AF633" s="123"/>
      <c r="AH633" s="123"/>
      <c r="AI633" s="123"/>
      <c r="AL633" s="123"/>
      <c r="AM633" s="123"/>
      <c r="AR633" s="123"/>
      <c r="AS633" s="123"/>
      <c r="AU633" s="123"/>
      <c r="AV633" s="123"/>
    </row>
    <row r="634">
      <c r="A634" s="197"/>
      <c r="B634" s="197"/>
      <c r="AB634" s="123"/>
      <c r="AC634" s="123"/>
      <c r="AE634" s="123"/>
      <c r="AF634" s="123"/>
      <c r="AH634" s="123"/>
      <c r="AI634" s="123"/>
      <c r="AL634" s="123"/>
      <c r="AM634" s="123"/>
      <c r="AR634" s="123"/>
      <c r="AS634" s="123"/>
      <c r="AU634" s="123"/>
      <c r="AV634" s="123"/>
    </row>
    <row r="635">
      <c r="A635" s="197"/>
      <c r="B635" s="197"/>
      <c r="AB635" s="123"/>
      <c r="AC635" s="123"/>
      <c r="AE635" s="123"/>
      <c r="AF635" s="123"/>
      <c r="AH635" s="123"/>
      <c r="AI635" s="123"/>
      <c r="AL635" s="123"/>
      <c r="AM635" s="123"/>
      <c r="AR635" s="123"/>
      <c r="AS635" s="123"/>
      <c r="AU635" s="123"/>
      <c r="AV635" s="123"/>
    </row>
    <row r="636">
      <c r="A636" s="197"/>
      <c r="B636" s="197"/>
      <c r="AB636" s="123"/>
      <c r="AC636" s="123"/>
      <c r="AE636" s="123"/>
      <c r="AF636" s="123"/>
      <c r="AH636" s="123"/>
      <c r="AI636" s="123"/>
      <c r="AL636" s="123"/>
      <c r="AM636" s="123"/>
      <c r="AR636" s="123"/>
      <c r="AS636" s="123"/>
      <c r="AU636" s="123"/>
      <c r="AV636" s="123"/>
    </row>
    <row r="637">
      <c r="A637" s="197"/>
      <c r="B637" s="197"/>
      <c r="AB637" s="123"/>
      <c r="AC637" s="123"/>
      <c r="AE637" s="123"/>
      <c r="AF637" s="123"/>
      <c r="AH637" s="123"/>
      <c r="AI637" s="123"/>
      <c r="AL637" s="123"/>
      <c r="AM637" s="123"/>
      <c r="AR637" s="123"/>
      <c r="AS637" s="123"/>
      <c r="AU637" s="123"/>
      <c r="AV637" s="123"/>
    </row>
    <row r="638">
      <c r="A638" s="197"/>
      <c r="B638" s="197"/>
      <c r="AB638" s="123"/>
      <c r="AC638" s="123"/>
      <c r="AE638" s="123"/>
      <c r="AF638" s="123"/>
      <c r="AH638" s="123"/>
      <c r="AI638" s="123"/>
      <c r="AL638" s="123"/>
      <c r="AM638" s="123"/>
      <c r="AR638" s="123"/>
      <c r="AS638" s="123"/>
      <c r="AU638" s="123"/>
      <c r="AV638" s="123"/>
    </row>
    <row r="639">
      <c r="A639" s="197"/>
      <c r="B639" s="197"/>
      <c r="AB639" s="123"/>
      <c r="AC639" s="123"/>
      <c r="AE639" s="123"/>
      <c r="AF639" s="123"/>
      <c r="AH639" s="123"/>
      <c r="AI639" s="123"/>
      <c r="AL639" s="123"/>
      <c r="AM639" s="123"/>
      <c r="AR639" s="123"/>
      <c r="AS639" s="123"/>
      <c r="AU639" s="123"/>
      <c r="AV639" s="123"/>
    </row>
    <row r="640">
      <c r="A640" s="197"/>
      <c r="B640" s="197"/>
      <c r="AB640" s="123"/>
      <c r="AC640" s="123"/>
      <c r="AE640" s="123"/>
      <c r="AF640" s="123"/>
      <c r="AH640" s="123"/>
      <c r="AI640" s="123"/>
      <c r="AL640" s="123"/>
      <c r="AM640" s="123"/>
      <c r="AR640" s="123"/>
      <c r="AS640" s="123"/>
      <c r="AU640" s="123"/>
      <c r="AV640" s="123"/>
    </row>
    <row r="641">
      <c r="A641" s="197"/>
      <c r="B641" s="197"/>
      <c r="AB641" s="123"/>
      <c r="AC641" s="123"/>
      <c r="AE641" s="123"/>
      <c r="AF641" s="123"/>
      <c r="AH641" s="123"/>
      <c r="AI641" s="123"/>
      <c r="AL641" s="123"/>
      <c r="AM641" s="123"/>
      <c r="AR641" s="123"/>
      <c r="AS641" s="123"/>
      <c r="AU641" s="123"/>
      <c r="AV641" s="123"/>
    </row>
    <row r="642">
      <c r="A642" s="197"/>
      <c r="B642" s="197"/>
      <c r="AB642" s="123"/>
      <c r="AC642" s="123"/>
      <c r="AE642" s="123"/>
      <c r="AF642" s="123"/>
      <c r="AH642" s="123"/>
      <c r="AI642" s="123"/>
      <c r="AL642" s="123"/>
      <c r="AM642" s="123"/>
      <c r="AR642" s="123"/>
      <c r="AS642" s="123"/>
      <c r="AU642" s="123"/>
      <c r="AV642" s="123"/>
    </row>
    <row r="643">
      <c r="A643" s="197"/>
      <c r="B643" s="197"/>
      <c r="AB643" s="123"/>
      <c r="AC643" s="123"/>
      <c r="AE643" s="123"/>
      <c r="AF643" s="123"/>
      <c r="AH643" s="123"/>
      <c r="AI643" s="123"/>
      <c r="AL643" s="123"/>
      <c r="AM643" s="123"/>
      <c r="AR643" s="123"/>
      <c r="AS643" s="123"/>
      <c r="AU643" s="123"/>
      <c r="AV643" s="123"/>
    </row>
    <row r="644">
      <c r="A644" s="197"/>
      <c r="B644" s="197"/>
      <c r="AB644" s="123"/>
      <c r="AC644" s="123"/>
      <c r="AE644" s="123"/>
      <c r="AF644" s="123"/>
      <c r="AH644" s="123"/>
      <c r="AI644" s="123"/>
      <c r="AL644" s="123"/>
      <c r="AM644" s="123"/>
      <c r="AR644" s="123"/>
      <c r="AS644" s="123"/>
      <c r="AU644" s="123"/>
      <c r="AV644" s="123"/>
    </row>
    <row r="645">
      <c r="A645" s="197"/>
      <c r="B645" s="197"/>
      <c r="AB645" s="123"/>
      <c r="AC645" s="123"/>
      <c r="AE645" s="123"/>
      <c r="AF645" s="123"/>
      <c r="AH645" s="123"/>
      <c r="AI645" s="123"/>
      <c r="AL645" s="123"/>
      <c r="AM645" s="123"/>
      <c r="AR645" s="123"/>
      <c r="AS645" s="123"/>
      <c r="AU645" s="123"/>
      <c r="AV645" s="123"/>
    </row>
    <row r="646">
      <c r="A646" s="197"/>
      <c r="B646" s="197"/>
      <c r="AB646" s="123"/>
      <c r="AC646" s="123"/>
      <c r="AE646" s="123"/>
      <c r="AF646" s="123"/>
      <c r="AH646" s="123"/>
      <c r="AI646" s="123"/>
      <c r="AL646" s="123"/>
      <c r="AM646" s="123"/>
      <c r="AR646" s="123"/>
      <c r="AS646" s="123"/>
      <c r="AU646" s="123"/>
      <c r="AV646" s="123"/>
    </row>
    <row r="647">
      <c r="A647" s="197"/>
      <c r="B647" s="197"/>
      <c r="AB647" s="123"/>
      <c r="AC647" s="123"/>
      <c r="AE647" s="123"/>
      <c r="AF647" s="123"/>
      <c r="AH647" s="123"/>
      <c r="AI647" s="123"/>
      <c r="AL647" s="123"/>
      <c r="AM647" s="123"/>
      <c r="AR647" s="123"/>
      <c r="AS647" s="123"/>
      <c r="AU647" s="123"/>
      <c r="AV647" s="123"/>
    </row>
    <row r="648">
      <c r="A648" s="197"/>
      <c r="B648" s="197"/>
      <c r="AB648" s="123"/>
      <c r="AC648" s="123"/>
      <c r="AE648" s="123"/>
      <c r="AF648" s="123"/>
      <c r="AH648" s="123"/>
      <c r="AI648" s="123"/>
      <c r="AL648" s="123"/>
      <c r="AM648" s="123"/>
      <c r="AR648" s="123"/>
      <c r="AS648" s="123"/>
      <c r="AU648" s="123"/>
      <c r="AV648" s="123"/>
    </row>
    <row r="649">
      <c r="A649" s="197"/>
      <c r="B649" s="197"/>
      <c r="AB649" s="123"/>
      <c r="AC649" s="123"/>
      <c r="AE649" s="123"/>
      <c r="AF649" s="123"/>
      <c r="AH649" s="123"/>
      <c r="AI649" s="123"/>
      <c r="AL649" s="123"/>
      <c r="AM649" s="123"/>
      <c r="AR649" s="123"/>
      <c r="AS649" s="123"/>
      <c r="AU649" s="123"/>
      <c r="AV649" s="123"/>
    </row>
    <row r="650">
      <c r="A650" s="197"/>
      <c r="B650" s="197"/>
      <c r="AB650" s="123"/>
      <c r="AC650" s="123"/>
      <c r="AE650" s="123"/>
      <c r="AF650" s="123"/>
      <c r="AH650" s="123"/>
      <c r="AI650" s="123"/>
      <c r="AL650" s="123"/>
      <c r="AM650" s="123"/>
      <c r="AR650" s="123"/>
      <c r="AS650" s="123"/>
      <c r="AU650" s="123"/>
      <c r="AV650" s="123"/>
    </row>
    <row r="651">
      <c r="A651" s="197"/>
      <c r="B651" s="197"/>
      <c r="AB651" s="123"/>
      <c r="AC651" s="123"/>
      <c r="AE651" s="123"/>
      <c r="AF651" s="123"/>
      <c r="AH651" s="123"/>
      <c r="AI651" s="123"/>
      <c r="AL651" s="123"/>
      <c r="AM651" s="123"/>
      <c r="AR651" s="123"/>
      <c r="AS651" s="123"/>
      <c r="AU651" s="123"/>
      <c r="AV651" s="123"/>
    </row>
    <row r="652">
      <c r="A652" s="197"/>
      <c r="B652" s="197"/>
      <c r="AB652" s="123"/>
      <c r="AC652" s="123"/>
      <c r="AE652" s="123"/>
      <c r="AF652" s="123"/>
      <c r="AH652" s="123"/>
      <c r="AI652" s="123"/>
      <c r="AL652" s="123"/>
      <c r="AM652" s="123"/>
      <c r="AR652" s="123"/>
      <c r="AS652" s="123"/>
      <c r="AU652" s="123"/>
      <c r="AV652" s="123"/>
    </row>
    <row r="653">
      <c r="A653" s="197"/>
      <c r="B653" s="197"/>
      <c r="AB653" s="123"/>
      <c r="AC653" s="123"/>
      <c r="AE653" s="123"/>
      <c r="AF653" s="123"/>
      <c r="AH653" s="123"/>
      <c r="AI653" s="123"/>
      <c r="AL653" s="123"/>
      <c r="AM653" s="123"/>
      <c r="AR653" s="123"/>
      <c r="AS653" s="123"/>
      <c r="AU653" s="123"/>
      <c r="AV653" s="123"/>
    </row>
    <row r="654">
      <c r="A654" s="197"/>
      <c r="B654" s="197"/>
      <c r="AB654" s="123"/>
      <c r="AC654" s="123"/>
      <c r="AE654" s="123"/>
      <c r="AF654" s="123"/>
      <c r="AH654" s="123"/>
      <c r="AI654" s="123"/>
      <c r="AL654" s="123"/>
      <c r="AM654" s="123"/>
      <c r="AR654" s="123"/>
      <c r="AS654" s="123"/>
      <c r="AU654" s="123"/>
      <c r="AV654" s="123"/>
    </row>
    <row r="655">
      <c r="A655" s="197"/>
      <c r="B655" s="197"/>
      <c r="AB655" s="123"/>
      <c r="AC655" s="123"/>
      <c r="AE655" s="123"/>
      <c r="AF655" s="123"/>
      <c r="AH655" s="123"/>
      <c r="AI655" s="123"/>
      <c r="AL655" s="123"/>
      <c r="AM655" s="123"/>
      <c r="AR655" s="123"/>
      <c r="AS655" s="123"/>
      <c r="AU655" s="123"/>
      <c r="AV655" s="123"/>
    </row>
    <row r="656">
      <c r="A656" s="197"/>
      <c r="B656" s="197"/>
      <c r="AB656" s="123"/>
      <c r="AC656" s="123"/>
      <c r="AE656" s="123"/>
      <c r="AF656" s="123"/>
      <c r="AH656" s="123"/>
      <c r="AI656" s="123"/>
      <c r="AL656" s="123"/>
      <c r="AM656" s="123"/>
      <c r="AR656" s="123"/>
      <c r="AS656" s="123"/>
      <c r="AU656" s="123"/>
      <c r="AV656" s="123"/>
    </row>
    <row r="657">
      <c r="A657" s="197"/>
      <c r="B657" s="197"/>
      <c r="AB657" s="123"/>
      <c r="AC657" s="123"/>
      <c r="AE657" s="123"/>
      <c r="AF657" s="123"/>
      <c r="AH657" s="123"/>
      <c r="AI657" s="123"/>
      <c r="AL657" s="123"/>
      <c r="AM657" s="123"/>
      <c r="AR657" s="123"/>
      <c r="AS657" s="123"/>
      <c r="AU657" s="123"/>
      <c r="AV657" s="123"/>
    </row>
    <row r="658">
      <c r="A658" s="197"/>
      <c r="B658" s="197"/>
      <c r="AB658" s="123"/>
      <c r="AC658" s="123"/>
      <c r="AE658" s="123"/>
      <c r="AF658" s="123"/>
      <c r="AH658" s="123"/>
      <c r="AI658" s="123"/>
      <c r="AL658" s="123"/>
      <c r="AM658" s="123"/>
      <c r="AR658" s="123"/>
      <c r="AS658" s="123"/>
      <c r="AU658" s="123"/>
      <c r="AV658" s="123"/>
    </row>
    <row r="659">
      <c r="A659" s="197"/>
      <c r="B659" s="197"/>
      <c r="AB659" s="123"/>
      <c r="AC659" s="123"/>
      <c r="AE659" s="123"/>
      <c r="AF659" s="123"/>
      <c r="AH659" s="123"/>
      <c r="AI659" s="123"/>
      <c r="AL659" s="123"/>
      <c r="AM659" s="123"/>
      <c r="AR659" s="123"/>
      <c r="AS659" s="123"/>
      <c r="AU659" s="123"/>
      <c r="AV659" s="123"/>
    </row>
    <row r="660">
      <c r="A660" s="197"/>
      <c r="B660" s="197"/>
      <c r="AB660" s="123"/>
      <c r="AC660" s="123"/>
      <c r="AE660" s="123"/>
      <c r="AF660" s="123"/>
      <c r="AH660" s="123"/>
      <c r="AI660" s="123"/>
      <c r="AL660" s="123"/>
      <c r="AM660" s="123"/>
      <c r="AR660" s="123"/>
      <c r="AS660" s="123"/>
      <c r="AU660" s="123"/>
      <c r="AV660" s="123"/>
    </row>
    <row r="661">
      <c r="A661" s="197"/>
      <c r="B661" s="197"/>
      <c r="AB661" s="123"/>
      <c r="AC661" s="123"/>
      <c r="AE661" s="123"/>
      <c r="AF661" s="123"/>
      <c r="AH661" s="123"/>
      <c r="AI661" s="123"/>
      <c r="AL661" s="123"/>
      <c r="AM661" s="123"/>
      <c r="AR661" s="123"/>
      <c r="AS661" s="123"/>
      <c r="AU661" s="123"/>
      <c r="AV661" s="123"/>
    </row>
    <row r="662">
      <c r="A662" s="197"/>
      <c r="B662" s="197"/>
      <c r="AB662" s="123"/>
      <c r="AC662" s="123"/>
      <c r="AE662" s="123"/>
      <c r="AF662" s="123"/>
      <c r="AH662" s="123"/>
      <c r="AI662" s="123"/>
      <c r="AL662" s="123"/>
      <c r="AM662" s="123"/>
      <c r="AR662" s="123"/>
      <c r="AS662" s="123"/>
      <c r="AU662" s="123"/>
      <c r="AV662" s="123"/>
    </row>
    <row r="663">
      <c r="A663" s="197"/>
      <c r="B663" s="197"/>
      <c r="AB663" s="123"/>
      <c r="AC663" s="123"/>
      <c r="AE663" s="123"/>
      <c r="AF663" s="123"/>
      <c r="AH663" s="123"/>
      <c r="AI663" s="123"/>
      <c r="AL663" s="123"/>
      <c r="AM663" s="123"/>
      <c r="AR663" s="123"/>
      <c r="AS663" s="123"/>
      <c r="AU663" s="123"/>
      <c r="AV663" s="123"/>
    </row>
    <row r="664">
      <c r="A664" s="197"/>
      <c r="B664" s="197"/>
      <c r="AB664" s="123"/>
      <c r="AC664" s="123"/>
      <c r="AE664" s="123"/>
      <c r="AF664" s="123"/>
      <c r="AH664" s="123"/>
      <c r="AI664" s="123"/>
      <c r="AL664" s="123"/>
      <c r="AM664" s="123"/>
      <c r="AR664" s="123"/>
      <c r="AS664" s="123"/>
      <c r="AU664" s="123"/>
      <c r="AV664" s="123"/>
    </row>
    <row r="665">
      <c r="A665" s="197"/>
      <c r="B665" s="197"/>
      <c r="AB665" s="123"/>
      <c r="AC665" s="123"/>
      <c r="AE665" s="123"/>
      <c r="AF665" s="123"/>
      <c r="AH665" s="123"/>
      <c r="AI665" s="123"/>
      <c r="AL665" s="123"/>
      <c r="AM665" s="123"/>
      <c r="AR665" s="123"/>
      <c r="AS665" s="123"/>
      <c r="AU665" s="123"/>
      <c r="AV665" s="123"/>
    </row>
    <row r="666">
      <c r="A666" s="197"/>
      <c r="B666" s="197"/>
      <c r="AB666" s="123"/>
      <c r="AC666" s="123"/>
      <c r="AE666" s="123"/>
      <c r="AF666" s="123"/>
      <c r="AH666" s="123"/>
      <c r="AI666" s="123"/>
      <c r="AL666" s="123"/>
      <c r="AM666" s="123"/>
      <c r="AR666" s="123"/>
      <c r="AS666" s="123"/>
      <c r="AU666" s="123"/>
      <c r="AV666" s="123"/>
    </row>
    <row r="667">
      <c r="A667" s="197"/>
      <c r="B667" s="197"/>
      <c r="AB667" s="123"/>
      <c r="AC667" s="123"/>
      <c r="AE667" s="123"/>
      <c r="AF667" s="123"/>
      <c r="AH667" s="123"/>
      <c r="AI667" s="123"/>
      <c r="AL667" s="123"/>
      <c r="AM667" s="123"/>
      <c r="AR667" s="123"/>
      <c r="AS667" s="123"/>
      <c r="AU667" s="123"/>
      <c r="AV667" s="123"/>
    </row>
    <row r="668">
      <c r="A668" s="197"/>
      <c r="B668" s="197"/>
      <c r="AB668" s="123"/>
      <c r="AC668" s="123"/>
      <c r="AE668" s="123"/>
      <c r="AF668" s="123"/>
      <c r="AH668" s="123"/>
      <c r="AI668" s="123"/>
      <c r="AL668" s="123"/>
      <c r="AM668" s="123"/>
      <c r="AR668" s="123"/>
      <c r="AS668" s="123"/>
      <c r="AU668" s="123"/>
      <c r="AV668" s="123"/>
    </row>
    <row r="669">
      <c r="A669" s="197"/>
      <c r="B669" s="197"/>
      <c r="AB669" s="123"/>
      <c r="AC669" s="123"/>
      <c r="AE669" s="123"/>
      <c r="AF669" s="123"/>
      <c r="AH669" s="123"/>
      <c r="AI669" s="123"/>
      <c r="AL669" s="123"/>
      <c r="AM669" s="123"/>
      <c r="AR669" s="123"/>
      <c r="AS669" s="123"/>
      <c r="AU669" s="123"/>
      <c r="AV669" s="123"/>
    </row>
    <row r="670">
      <c r="A670" s="197"/>
      <c r="B670" s="197"/>
      <c r="AB670" s="123"/>
      <c r="AC670" s="123"/>
      <c r="AE670" s="123"/>
      <c r="AF670" s="123"/>
      <c r="AH670" s="123"/>
      <c r="AI670" s="123"/>
      <c r="AL670" s="123"/>
      <c r="AM670" s="123"/>
      <c r="AR670" s="123"/>
      <c r="AS670" s="123"/>
      <c r="AU670" s="123"/>
      <c r="AV670" s="123"/>
    </row>
    <row r="671">
      <c r="A671" s="197"/>
      <c r="B671" s="197"/>
      <c r="AB671" s="123"/>
      <c r="AC671" s="123"/>
      <c r="AE671" s="123"/>
      <c r="AF671" s="123"/>
      <c r="AH671" s="123"/>
      <c r="AI671" s="123"/>
      <c r="AL671" s="123"/>
      <c r="AM671" s="123"/>
      <c r="AR671" s="123"/>
      <c r="AS671" s="123"/>
      <c r="AU671" s="123"/>
      <c r="AV671" s="123"/>
    </row>
    <row r="672">
      <c r="A672" s="197"/>
      <c r="B672" s="197"/>
      <c r="AB672" s="123"/>
      <c r="AC672" s="123"/>
      <c r="AE672" s="123"/>
      <c r="AF672" s="123"/>
      <c r="AH672" s="123"/>
      <c r="AI672" s="123"/>
      <c r="AL672" s="123"/>
      <c r="AM672" s="123"/>
      <c r="AR672" s="123"/>
      <c r="AS672" s="123"/>
      <c r="AU672" s="123"/>
      <c r="AV672" s="123"/>
    </row>
    <row r="673">
      <c r="A673" s="197"/>
      <c r="B673" s="197"/>
      <c r="AB673" s="123"/>
      <c r="AC673" s="123"/>
      <c r="AE673" s="123"/>
      <c r="AF673" s="123"/>
      <c r="AH673" s="123"/>
      <c r="AI673" s="123"/>
      <c r="AL673" s="123"/>
      <c r="AM673" s="123"/>
      <c r="AR673" s="123"/>
      <c r="AS673" s="123"/>
      <c r="AU673" s="123"/>
      <c r="AV673" s="123"/>
    </row>
    <row r="674">
      <c r="A674" s="197"/>
      <c r="B674" s="197"/>
      <c r="AB674" s="123"/>
      <c r="AC674" s="123"/>
      <c r="AE674" s="123"/>
      <c r="AF674" s="123"/>
      <c r="AH674" s="123"/>
      <c r="AI674" s="123"/>
      <c r="AL674" s="123"/>
      <c r="AM674" s="123"/>
      <c r="AR674" s="123"/>
      <c r="AS674" s="123"/>
      <c r="AU674" s="123"/>
      <c r="AV674" s="123"/>
    </row>
    <row r="675">
      <c r="A675" s="197"/>
      <c r="B675" s="197"/>
      <c r="AB675" s="123"/>
      <c r="AC675" s="123"/>
      <c r="AE675" s="123"/>
      <c r="AF675" s="123"/>
      <c r="AH675" s="123"/>
      <c r="AI675" s="123"/>
      <c r="AL675" s="123"/>
      <c r="AM675" s="123"/>
      <c r="AR675" s="123"/>
      <c r="AS675" s="123"/>
      <c r="AU675" s="123"/>
      <c r="AV675" s="123"/>
    </row>
    <row r="676">
      <c r="A676" s="197"/>
      <c r="B676" s="197"/>
      <c r="AB676" s="123"/>
      <c r="AC676" s="123"/>
      <c r="AE676" s="123"/>
      <c r="AF676" s="123"/>
      <c r="AH676" s="123"/>
      <c r="AI676" s="123"/>
      <c r="AL676" s="123"/>
      <c r="AM676" s="123"/>
      <c r="AR676" s="123"/>
      <c r="AS676" s="123"/>
      <c r="AU676" s="123"/>
      <c r="AV676" s="123"/>
    </row>
    <row r="677">
      <c r="A677" s="197"/>
      <c r="B677" s="197"/>
      <c r="AB677" s="123"/>
      <c r="AC677" s="123"/>
      <c r="AE677" s="123"/>
      <c r="AF677" s="123"/>
      <c r="AH677" s="123"/>
      <c r="AI677" s="123"/>
      <c r="AL677" s="123"/>
      <c r="AM677" s="123"/>
      <c r="AR677" s="123"/>
      <c r="AS677" s="123"/>
      <c r="AU677" s="123"/>
      <c r="AV677" s="123"/>
    </row>
    <row r="678">
      <c r="A678" s="197"/>
      <c r="B678" s="197"/>
      <c r="AB678" s="123"/>
      <c r="AC678" s="123"/>
      <c r="AE678" s="123"/>
      <c r="AF678" s="123"/>
      <c r="AH678" s="123"/>
      <c r="AI678" s="123"/>
      <c r="AL678" s="123"/>
      <c r="AM678" s="123"/>
      <c r="AR678" s="123"/>
      <c r="AS678" s="123"/>
      <c r="AU678" s="123"/>
      <c r="AV678" s="123"/>
    </row>
    <row r="679">
      <c r="A679" s="197"/>
      <c r="B679" s="197"/>
      <c r="AB679" s="123"/>
      <c r="AC679" s="123"/>
      <c r="AE679" s="123"/>
      <c r="AF679" s="123"/>
      <c r="AH679" s="123"/>
      <c r="AI679" s="123"/>
      <c r="AL679" s="123"/>
      <c r="AM679" s="123"/>
      <c r="AR679" s="123"/>
      <c r="AS679" s="123"/>
      <c r="AU679" s="123"/>
      <c r="AV679" s="123"/>
    </row>
    <row r="680">
      <c r="A680" s="197"/>
      <c r="B680" s="197"/>
      <c r="AB680" s="123"/>
      <c r="AC680" s="123"/>
      <c r="AE680" s="123"/>
      <c r="AF680" s="123"/>
      <c r="AH680" s="123"/>
      <c r="AI680" s="123"/>
      <c r="AL680" s="123"/>
      <c r="AM680" s="123"/>
      <c r="AR680" s="123"/>
      <c r="AS680" s="123"/>
      <c r="AU680" s="123"/>
      <c r="AV680" s="123"/>
    </row>
    <row r="681">
      <c r="A681" s="197"/>
      <c r="B681" s="197"/>
      <c r="AB681" s="123"/>
      <c r="AC681" s="123"/>
      <c r="AE681" s="123"/>
      <c r="AF681" s="123"/>
      <c r="AH681" s="123"/>
      <c r="AI681" s="123"/>
      <c r="AL681" s="123"/>
      <c r="AM681" s="123"/>
      <c r="AR681" s="123"/>
      <c r="AS681" s="123"/>
      <c r="AU681" s="123"/>
      <c r="AV681" s="123"/>
    </row>
    <row r="682">
      <c r="A682" s="197"/>
      <c r="B682" s="197"/>
      <c r="AB682" s="123"/>
      <c r="AC682" s="123"/>
      <c r="AE682" s="123"/>
      <c r="AF682" s="123"/>
      <c r="AH682" s="123"/>
      <c r="AI682" s="123"/>
      <c r="AL682" s="123"/>
      <c r="AM682" s="123"/>
      <c r="AR682" s="123"/>
      <c r="AS682" s="123"/>
      <c r="AU682" s="123"/>
      <c r="AV682" s="123"/>
    </row>
    <row r="683">
      <c r="A683" s="197"/>
      <c r="B683" s="197"/>
      <c r="AB683" s="123"/>
      <c r="AC683" s="123"/>
      <c r="AE683" s="123"/>
      <c r="AF683" s="123"/>
      <c r="AH683" s="123"/>
      <c r="AI683" s="123"/>
      <c r="AL683" s="123"/>
      <c r="AM683" s="123"/>
      <c r="AR683" s="123"/>
      <c r="AS683" s="123"/>
      <c r="AU683" s="123"/>
      <c r="AV683" s="123"/>
    </row>
    <row r="684">
      <c r="A684" s="197"/>
      <c r="B684" s="197"/>
      <c r="AB684" s="123"/>
      <c r="AC684" s="123"/>
      <c r="AE684" s="123"/>
      <c r="AF684" s="123"/>
      <c r="AH684" s="123"/>
      <c r="AI684" s="123"/>
      <c r="AL684" s="123"/>
      <c r="AM684" s="123"/>
      <c r="AR684" s="123"/>
      <c r="AS684" s="123"/>
      <c r="AU684" s="123"/>
      <c r="AV684" s="123"/>
    </row>
    <row r="685">
      <c r="A685" s="197"/>
      <c r="B685" s="197"/>
      <c r="AB685" s="123"/>
      <c r="AC685" s="123"/>
      <c r="AE685" s="123"/>
      <c r="AF685" s="123"/>
      <c r="AH685" s="123"/>
      <c r="AI685" s="123"/>
      <c r="AL685" s="123"/>
      <c r="AM685" s="123"/>
      <c r="AR685" s="123"/>
      <c r="AS685" s="123"/>
      <c r="AU685" s="123"/>
      <c r="AV685" s="123"/>
    </row>
    <row r="686">
      <c r="A686" s="197"/>
      <c r="B686" s="197"/>
      <c r="AB686" s="123"/>
      <c r="AC686" s="123"/>
      <c r="AE686" s="123"/>
      <c r="AF686" s="123"/>
      <c r="AH686" s="123"/>
      <c r="AI686" s="123"/>
      <c r="AL686" s="123"/>
      <c r="AM686" s="123"/>
      <c r="AR686" s="123"/>
      <c r="AS686" s="123"/>
      <c r="AU686" s="123"/>
      <c r="AV686" s="123"/>
    </row>
    <row r="687">
      <c r="A687" s="197"/>
      <c r="B687" s="197"/>
      <c r="AB687" s="123"/>
      <c r="AC687" s="123"/>
      <c r="AE687" s="123"/>
      <c r="AF687" s="123"/>
      <c r="AH687" s="123"/>
      <c r="AI687" s="123"/>
      <c r="AL687" s="123"/>
      <c r="AM687" s="123"/>
      <c r="AR687" s="123"/>
      <c r="AS687" s="123"/>
      <c r="AU687" s="123"/>
      <c r="AV687" s="123"/>
    </row>
    <row r="688">
      <c r="A688" s="197"/>
      <c r="B688" s="197"/>
      <c r="AB688" s="123"/>
      <c r="AC688" s="123"/>
      <c r="AE688" s="123"/>
      <c r="AF688" s="123"/>
      <c r="AH688" s="123"/>
      <c r="AI688" s="123"/>
      <c r="AL688" s="123"/>
      <c r="AM688" s="123"/>
      <c r="AR688" s="123"/>
      <c r="AS688" s="123"/>
      <c r="AU688" s="123"/>
      <c r="AV688" s="123"/>
    </row>
    <row r="689">
      <c r="A689" s="197"/>
      <c r="B689" s="197"/>
      <c r="AB689" s="123"/>
      <c r="AC689" s="123"/>
      <c r="AE689" s="123"/>
      <c r="AF689" s="123"/>
      <c r="AH689" s="123"/>
      <c r="AI689" s="123"/>
      <c r="AL689" s="123"/>
      <c r="AM689" s="123"/>
      <c r="AR689" s="123"/>
      <c r="AS689" s="123"/>
      <c r="AU689" s="123"/>
      <c r="AV689" s="123"/>
    </row>
    <row r="690">
      <c r="A690" s="197"/>
      <c r="B690" s="197"/>
      <c r="AB690" s="123"/>
      <c r="AC690" s="123"/>
      <c r="AE690" s="123"/>
      <c r="AF690" s="123"/>
      <c r="AH690" s="123"/>
      <c r="AI690" s="123"/>
      <c r="AL690" s="123"/>
      <c r="AM690" s="123"/>
      <c r="AR690" s="123"/>
      <c r="AS690" s="123"/>
      <c r="AU690" s="123"/>
      <c r="AV690" s="123"/>
    </row>
    <row r="691">
      <c r="A691" s="197"/>
      <c r="B691" s="197"/>
      <c r="AB691" s="123"/>
      <c r="AC691" s="123"/>
      <c r="AE691" s="123"/>
      <c r="AF691" s="123"/>
      <c r="AH691" s="123"/>
      <c r="AI691" s="123"/>
      <c r="AL691" s="123"/>
      <c r="AM691" s="123"/>
      <c r="AR691" s="123"/>
      <c r="AS691" s="123"/>
      <c r="AU691" s="123"/>
      <c r="AV691" s="123"/>
    </row>
    <row r="692">
      <c r="A692" s="197"/>
      <c r="B692" s="197"/>
      <c r="AB692" s="123"/>
      <c r="AC692" s="123"/>
      <c r="AE692" s="123"/>
      <c r="AF692" s="123"/>
      <c r="AH692" s="123"/>
      <c r="AI692" s="123"/>
      <c r="AL692" s="123"/>
      <c r="AM692" s="123"/>
      <c r="AR692" s="123"/>
      <c r="AS692" s="123"/>
      <c r="AU692" s="123"/>
      <c r="AV692" s="123"/>
    </row>
    <row r="693">
      <c r="A693" s="197"/>
      <c r="B693" s="197"/>
      <c r="AB693" s="123"/>
      <c r="AC693" s="123"/>
      <c r="AE693" s="123"/>
      <c r="AF693" s="123"/>
      <c r="AH693" s="123"/>
      <c r="AI693" s="123"/>
      <c r="AL693" s="123"/>
      <c r="AM693" s="123"/>
      <c r="AR693" s="123"/>
      <c r="AS693" s="123"/>
      <c r="AU693" s="123"/>
      <c r="AV693" s="123"/>
    </row>
    <row r="694">
      <c r="A694" s="197"/>
      <c r="B694" s="197"/>
      <c r="AB694" s="123"/>
      <c r="AC694" s="123"/>
      <c r="AE694" s="123"/>
      <c r="AF694" s="123"/>
      <c r="AH694" s="123"/>
      <c r="AI694" s="123"/>
      <c r="AL694" s="123"/>
      <c r="AM694" s="123"/>
      <c r="AR694" s="123"/>
      <c r="AS694" s="123"/>
      <c r="AU694" s="123"/>
      <c r="AV694" s="123"/>
    </row>
    <row r="695">
      <c r="A695" s="197"/>
      <c r="B695" s="197"/>
      <c r="AB695" s="123"/>
      <c r="AC695" s="123"/>
      <c r="AE695" s="123"/>
      <c r="AF695" s="123"/>
      <c r="AH695" s="123"/>
      <c r="AI695" s="123"/>
      <c r="AL695" s="123"/>
      <c r="AM695" s="123"/>
      <c r="AR695" s="123"/>
      <c r="AS695" s="123"/>
      <c r="AU695" s="123"/>
      <c r="AV695" s="123"/>
    </row>
    <row r="696">
      <c r="A696" s="197"/>
      <c r="B696" s="197"/>
      <c r="AB696" s="123"/>
      <c r="AC696" s="123"/>
      <c r="AE696" s="123"/>
      <c r="AF696" s="123"/>
      <c r="AH696" s="123"/>
      <c r="AI696" s="123"/>
      <c r="AL696" s="123"/>
      <c r="AM696" s="123"/>
      <c r="AR696" s="123"/>
      <c r="AS696" s="123"/>
      <c r="AU696" s="123"/>
      <c r="AV696" s="123"/>
    </row>
    <row r="697">
      <c r="A697" s="197"/>
      <c r="B697" s="197"/>
      <c r="AB697" s="123"/>
      <c r="AC697" s="123"/>
      <c r="AE697" s="123"/>
      <c r="AF697" s="123"/>
      <c r="AH697" s="123"/>
      <c r="AI697" s="123"/>
      <c r="AL697" s="123"/>
      <c r="AM697" s="123"/>
      <c r="AR697" s="123"/>
      <c r="AS697" s="123"/>
      <c r="AU697" s="123"/>
      <c r="AV697" s="123"/>
    </row>
    <row r="698">
      <c r="A698" s="197"/>
      <c r="B698" s="197"/>
      <c r="AB698" s="123"/>
      <c r="AC698" s="123"/>
      <c r="AE698" s="123"/>
      <c r="AF698" s="123"/>
      <c r="AH698" s="123"/>
      <c r="AI698" s="123"/>
      <c r="AL698" s="123"/>
      <c r="AM698" s="123"/>
      <c r="AR698" s="123"/>
      <c r="AS698" s="123"/>
      <c r="AU698" s="123"/>
      <c r="AV698" s="123"/>
    </row>
    <row r="699">
      <c r="A699" s="197"/>
      <c r="B699" s="197"/>
      <c r="AB699" s="123"/>
      <c r="AC699" s="123"/>
      <c r="AE699" s="123"/>
      <c r="AF699" s="123"/>
      <c r="AH699" s="123"/>
      <c r="AI699" s="123"/>
      <c r="AL699" s="123"/>
      <c r="AM699" s="123"/>
      <c r="AR699" s="123"/>
      <c r="AS699" s="123"/>
      <c r="AU699" s="123"/>
      <c r="AV699" s="123"/>
    </row>
    <row r="700">
      <c r="A700" s="197"/>
      <c r="B700" s="197"/>
      <c r="AB700" s="123"/>
      <c r="AC700" s="123"/>
      <c r="AE700" s="123"/>
      <c r="AF700" s="123"/>
      <c r="AH700" s="123"/>
      <c r="AI700" s="123"/>
      <c r="AL700" s="123"/>
      <c r="AM700" s="123"/>
      <c r="AR700" s="123"/>
      <c r="AS700" s="123"/>
      <c r="AU700" s="123"/>
      <c r="AV700" s="123"/>
    </row>
    <row r="701">
      <c r="A701" s="197"/>
      <c r="B701" s="197"/>
      <c r="AB701" s="123"/>
      <c r="AC701" s="123"/>
      <c r="AE701" s="123"/>
      <c r="AF701" s="123"/>
      <c r="AH701" s="123"/>
      <c r="AI701" s="123"/>
      <c r="AL701" s="123"/>
      <c r="AM701" s="123"/>
      <c r="AR701" s="123"/>
      <c r="AS701" s="123"/>
      <c r="AU701" s="123"/>
      <c r="AV701" s="123"/>
    </row>
    <row r="702">
      <c r="A702" s="197"/>
      <c r="B702" s="197"/>
      <c r="AB702" s="123"/>
      <c r="AC702" s="123"/>
      <c r="AE702" s="123"/>
      <c r="AF702" s="123"/>
      <c r="AH702" s="123"/>
      <c r="AI702" s="123"/>
      <c r="AL702" s="123"/>
      <c r="AM702" s="123"/>
      <c r="AR702" s="123"/>
      <c r="AS702" s="123"/>
      <c r="AU702" s="123"/>
      <c r="AV702" s="123"/>
    </row>
    <row r="703">
      <c r="A703" s="197"/>
      <c r="B703" s="197"/>
      <c r="AB703" s="123"/>
      <c r="AC703" s="123"/>
      <c r="AE703" s="123"/>
      <c r="AF703" s="123"/>
      <c r="AH703" s="123"/>
      <c r="AI703" s="123"/>
      <c r="AL703" s="123"/>
      <c r="AM703" s="123"/>
      <c r="AR703" s="123"/>
      <c r="AS703" s="123"/>
      <c r="AU703" s="123"/>
      <c r="AV703" s="123"/>
    </row>
    <row r="704">
      <c r="A704" s="197"/>
      <c r="B704" s="197"/>
      <c r="AB704" s="123"/>
      <c r="AC704" s="123"/>
      <c r="AE704" s="123"/>
      <c r="AF704" s="123"/>
      <c r="AH704" s="123"/>
      <c r="AI704" s="123"/>
      <c r="AL704" s="123"/>
      <c r="AM704" s="123"/>
      <c r="AR704" s="123"/>
      <c r="AS704" s="123"/>
      <c r="AU704" s="123"/>
      <c r="AV704" s="123"/>
    </row>
    <row r="705">
      <c r="A705" s="197"/>
      <c r="B705" s="197"/>
      <c r="AB705" s="123"/>
      <c r="AC705" s="123"/>
      <c r="AE705" s="123"/>
      <c r="AF705" s="123"/>
      <c r="AH705" s="123"/>
      <c r="AI705" s="123"/>
      <c r="AL705" s="123"/>
      <c r="AM705" s="123"/>
      <c r="AR705" s="123"/>
      <c r="AS705" s="123"/>
      <c r="AU705" s="123"/>
      <c r="AV705" s="123"/>
    </row>
    <row r="706">
      <c r="A706" s="197"/>
      <c r="B706" s="197"/>
      <c r="AB706" s="123"/>
      <c r="AC706" s="123"/>
      <c r="AE706" s="123"/>
      <c r="AF706" s="123"/>
      <c r="AH706" s="123"/>
      <c r="AI706" s="123"/>
      <c r="AL706" s="123"/>
      <c r="AM706" s="123"/>
      <c r="AR706" s="123"/>
      <c r="AS706" s="123"/>
      <c r="AU706" s="123"/>
      <c r="AV706" s="123"/>
    </row>
    <row r="707">
      <c r="A707" s="197"/>
      <c r="B707" s="197"/>
      <c r="AB707" s="123"/>
      <c r="AC707" s="123"/>
      <c r="AE707" s="123"/>
      <c r="AF707" s="123"/>
      <c r="AH707" s="123"/>
      <c r="AI707" s="123"/>
      <c r="AL707" s="123"/>
      <c r="AM707" s="123"/>
      <c r="AR707" s="123"/>
      <c r="AS707" s="123"/>
      <c r="AU707" s="123"/>
      <c r="AV707" s="123"/>
    </row>
    <row r="708">
      <c r="A708" s="197"/>
      <c r="B708" s="197"/>
      <c r="AB708" s="123"/>
      <c r="AC708" s="123"/>
      <c r="AE708" s="123"/>
      <c r="AF708" s="123"/>
      <c r="AH708" s="123"/>
      <c r="AI708" s="123"/>
      <c r="AL708" s="123"/>
      <c r="AM708" s="123"/>
      <c r="AR708" s="123"/>
      <c r="AS708" s="123"/>
      <c r="AU708" s="123"/>
      <c r="AV708" s="123"/>
    </row>
    <row r="709">
      <c r="A709" s="197"/>
      <c r="B709" s="197"/>
      <c r="AB709" s="123"/>
      <c r="AC709" s="123"/>
      <c r="AE709" s="123"/>
      <c r="AF709" s="123"/>
      <c r="AH709" s="123"/>
      <c r="AI709" s="123"/>
      <c r="AL709" s="123"/>
      <c r="AM709" s="123"/>
      <c r="AR709" s="123"/>
      <c r="AS709" s="123"/>
      <c r="AU709" s="123"/>
      <c r="AV709" s="123"/>
    </row>
    <row r="710">
      <c r="A710" s="197"/>
      <c r="B710" s="197"/>
      <c r="AB710" s="123"/>
      <c r="AC710" s="123"/>
      <c r="AE710" s="123"/>
      <c r="AF710" s="123"/>
      <c r="AH710" s="123"/>
      <c r="AI710" s="123"/>
      <c r="AL710" s="123"/>
      <c r="AM710" s="123"/>
      <c r="AR710" s="123"/>
      <c r="AS710" s="123"/>
      <c r="AU710" s="123"/>
      <c r="AV710" s="123"/>
    </row>
    <row r="711">
      <c r="A711" s="197"/>
      <c r="B711" s="197"/>
      <c r="AB711" s="123"/>
      <c r="AC711" s="123"/>
      <c r="AE711" s="123"/>
      <c r="AF711" s="123"/>
      <c r="AH711" s="123"/>
      <c r="AI711" s="123"/>
      <c r="AL711" s="123"/>
      <c r="AM711" s="123"/>
      <c r="AR711" s="123"/>
      <c r="AS711" s="123"/>
      <c r="AU711" s="123"/>
      <c r="AV711" s="123"/>
    </row>
    <row r="712">
      <c r="A712" s="197"/>
      <c r="B712" s="197"/>
      <c r="AB712" s="123"/>
      <c r="AC712" s="123"/>
      <c r="AE712" s="123"/>
      <c r="AF712" s="123"/>
      <c r="AH712" s="123"/>
      <c r="AI712" s="123"/>
      <c r="AL712" s="123"/>
      <c r="AM712" s="123"/>
      <c r="AR712" s="123"/>
      <c r="AS712" s="123"/>
      <c r="AU712" s="123"/>
      <c r="AV712" s="123"/>
    </row>
    <row r="713">
      <c r="A713" s="197"/>
      <c r="B713" s="197"/>
      <c r="AB713" s="123"/>
      <c r="AC713" s="123"/>
      <c r="AE713" s="123"/>
      <c r="AF713" s="123"/>
      <c r="AH713" s="123"/>
      <c r="AI713" s="123"/>
      <c r="AL713" s="123"/>
      <c r="AM713" s="123"/>
      <c r="AR713" s="123"/>
      <c r="AS713" s="123"/>
      <c r="AU713" s="123"/>
      <c r="AV713" s="123"/>
    </row>
    <row r="714">
      <c r="A714" s="197"/>
      <c r="B714" s="197"/>
      <c r="AB714" s="123"/>
      <c r="AC714" s="123"/>
      <c r="AE714" s="123"/>
      <c r="AF714" s="123"/>
      <c r="AH714" s="123"/>
      <c r="AI714" s="123"/>
      <c r="AL714" s="123"/>
      <c r="AM714" s="123"/>
      <c r="AR714" s="123"/>
      <c r="AS714" s="123"/>
      <c r="AU714" s="123"/>
      <c r="AV714" s="123"/>
    </row>
    <row r="715">
      <c r="A715" s="197"/>
      <c r="B715" s="197"/>
      <c r="AB715" s="123"/>
      <c r="AC715" s="123"/>
      <c r="AE715" s="123"/>
      <c r="AF715" s="123"/>
      <c r="AH715" s="123"/>
      <c r="AI715" s="123"/>
      <c r="AL715" s="123"/>
      <c r="AM715" s="123"/>
      <c r="AR715" s="123"/>
      <c r="AS715" s="123"/>
      <c r="AU715" s="123"/>
      <c r="AV715" s="123"/>
    </row>
    <row r="716">
      <c r="A716" s="197"/>
      <c r="B716" s="197"/>
      <c r="AB716" s="123"/>
      <c r="AC716" s="123"/>
      <c r="AE716" s="123"/>
      <c r="AF716" s="123"/>
      <c r="AH716" s="123"/>
      <c r="AI716" s="123"/>
      <c r="AL716" s="123"/>
      <c r="AM716" s="123"/>
      <c r="AR716" s="123"/>
      <c r="AS716" s="123"/>
      <c r="AU716" s="123"/>
      <c r="AV716" s="123"/>
    </row>
    <row r="717">
      <c r="A717" s="197"/>
      <c r="B717" s="197"/>
      <c r="AB717" s="123"/>
      <c r="AC717" s="123"/>
      <c r="AE717" s="123"/>
      <c r="AF717" s="123"/>
      <c r="AH717" s="123"/>
      <c r="AI717" s="123"/>
      <c r="AL717" s="123"/>
      <c r="AM717" s="123"/>
      <c r="AR717" s="123"/>
      <c r="AS717" s="123"/>
      <c r="AU717" s="123"/>
      <c r="AV717" s="123"/>
    </row>
    <row r="718">
      <c r="A718" s="197"/>
      <c r="B718" s="197"/>
      <c r="AB718" s="123"/>
      <c r="AC718" s="123"/>
      <c r="AE718" s="123"/>
      <c r="AF718" s="123"/>
      <c r="AH718" s="123"/>
      <c r="AI718" s="123"/>
      <c r="AL718" s="123"/>
      <c r="AM718" s="123"/>
      <c r="AR718" s="123"/>
      <c r="AS718" s="123"/>
      <c r="AU718" s="123"/>
      <c r="AV718" s="123"/>
    </row>
    <row r="719">
      <c r="A719" s="197"/>
      <c r="B719" s="197"/>
      <c r="AB719" s="123"/>
      <c r="AC719" s="123"/>
      <c r="AE719" s="123"/>
      <c r="AF719" s="123"/>
      <c r="AH719" s="123"/>
      <c r="AI719" s="123"/>
      <c r="AL719" s="123"/>
      <c r="AM719" s="123"/>
      <c r="AR719" s="123"/>
      <c r="AS719" s="123"/>
      <c r="AU719" s="123"/>
      <c r="AV719" s="123"/>
    </row>
    <row r="720">
      <c r="A720" s="197"/>
      <c r="B720" s="197"/>
      <c r="AB720" s="123"/>
      <c r="AC720" s="123"/>
      <c r="AE720" s="123"/>
      <c r="AF720" s="123"/>
      <c r="AH720" s="123"/>
      <c r="AI720" s="123"/>
      <c r="AL720" s="123"/>
      <c r="AM720" s="123"/>
      <c r="AR720" s="123"/>
      <c r="AS720" s="123"/>
      <c r="AU720" s="123"/>
      <c r="AV720" s="123"/>
    </row>
    <row r="721">
      <c r="A721" s="197"/>
      <c r="B721" s="197"/>
      <c r="AB721" s="123"/>
      <c r="AC721" s="123"/>
      <c r="AE721" s="123"/>
      <c r="AF721" s="123"/>
      <c r="AH721" s="123"/>
      <c r="AI721" s="123"/>
      <c r="AL721" s="123"/>
      <c r="AM721" s="123"/>
      <c r="AR721" s="123"/>
      <c r="AS721" s="123"/>
      <c r="AU721" s="123"/>
      <c r="AV721" s="123"/>
    </row>
    <row r="722">
      <c r="A722" s="197"/>
      <c r="B722" s="197"/>
      <c r="AB722" s="123"/>
      <c r="AC722" s="123"/>
      <c r="AE722" s="123"/>
      <c r="AF722" s="123"/>
      <c r="AH722" s="123"/>
      <c r="AI722" s="123"/>
      <c r="AL722" s="123"/>
      <c r="AM722" s="123"/>
      <c r="AR722" s="123"/>
      <c r="AS722" s="123"/>
      <c r="AU722" s="123"/>
      <c r="AV722" s="123"/>
    </row>
    <row r="723">
      <c r="A723" s="197"/>
      <c r="B723" s="197"/>
      <c r="AB723" s="123"/>
      <c r="AC723" s="123"/>
      <c r="AE723" s="123"/>
      <c r="AF723" s="123"/>
      <c r="AH723" s="123"/>
      <c r="AI723" s="123"/>
      <c r="AL723" s="123"/>
      <c r="AM723" s="123"/>
      <c r="AR723" s="123"/>
      <c r="AS723" s="123"/>
      <c r="AU723" s="123"/>
      <c r="AV723" s="123"/>
    </row>
    <row r="724">
      <c r="A724" s="197"/>
      <c r="B724" s="197"/>
      <c r="AB724" s="123"/>
      <c r="AC724" s="123"/>
      <c r="AE724" s="123"/>
      <c r="AF724" s="123"/>
      <c r="AH724" s="123"/>
      <c r="AI724" s="123"/>
      <c r="AL724" s="123"/>
      <c r="AM724" s="123"/>
      <c r="AR724" s="123"/>
      <c r="AS724" s="123"/>
      <c r="AU724" s="123"/>
      <c r="AV724" s="123"/>
    </row>
    <row r="725">
      <c r="A725" s="197"/>
      <c r="B725" s="197"/>
      <c r="AB725" s="123"/>
      <c r="AC725" s="123"/>
      <c r="AE725" s="123"/>
      <c r="AF725" s="123"/>
      <c r="AH725" s="123"/>
      <c r="AI725" s="123"/>
      <c r="AL725" s="123"/>
      <c r="AM725" s="123"/>
      <c r="AR725" s="123"/>
      <c r="AS725" s="123"/>
      <c r="AU725" s="123"/>
      <c r="AV725" s="123"/>
    </row>
    <row r="726">
      <c r="A726" s="197"/>
      <c r="B726" s="197"/>
      <c r="AB726" s="123"/>
      <c r="AC726" s="123"/>
      <c r="AE726" s="123"/>
      <c r="AF726" s="123"/>
      <c r="AH726" s="123"/>
      <c r="AI726" s="123"/>
      <c r="AL726" s="123"/>
      <c r="AM726" s="123"/>
      <c r="AR726" s="123"/>
      <c r="AS726" s="123"/>
      <c r="AU726" s="123"/>
      <c r="AV726" s="123"/>
    </row>
    <row r="727">
      <c r="A727" s="197"/>
      <c r="B727" s="197"/>
      <c r="AB727" s="123"/>
      <c r="AC727" s="123"/>
      <c r="AE727" s="123"/>
      <c r="AF727" s="123"/>
      <c r="AH727" s="123"/>
      <c r="AI727" s="123"/>
      <c r="AL727" s="123"/>
      <c r="AM727" s="123"/>
      <c r="AR727" s="123"/>
      <c r="AS727" s="123"/>
      <c r="AU727" s="123"/>
      <c r="AV727" s="123"/>
    </row>
    <row r="728">
      <c r="A728" s="197"/>
      <c r="B728" s="197"/>
      <c r="AB728" s="123"/>
      <c r="AC728" s="123"/>
      <c r="AE728" s="123"/>
      <c r="AF728" s="123"/>
      <c r="AH728" s="123"/>
      <c r="AI728" s="123"/>
      <c r="AL728" s="123"/>
      <c r="AM728" s="123"/>
      <c r="AR728" s="123"/>
      <c r="AS728" s="123"/>
      <c r="AU728" s="123"/>
      <c r="AV728" s="123"/>
    </row>
    <row r="729">
      <c r="A729" s="197"/>
      <c r="B729" s="197"/>
      <c r="AB729" s="123"/>
      <c r="AC729" s="123"/>
      <c r="AE729" s="123"/>
      <c r="AF729" s="123"/>
      <c r="AH729" s="123"/>
      <c r="AI729" s="123"/>
      <c r="AL729" s="123"/>
      <c r="AM729" s="123"/>
      <c r="AR729" s="123"/>
      <c r="AS729" s="123"/>
      <c r="AU729" s="123"/>
      <c r="AV729" s="123"/>
    </row>
    <row r="730">
      <c r="A730" s="197"/>
      <c r="B730" s="197"/>
      <c r="AB730" s="123"/>
      <c r="AC730" s="123"/>
      <c r="AE730" s="123"/>
      <c r="AF730" s="123"/>
      <c r="AH730" s="123"/>
      <c r="AI730" s="123"/>
      <c r="AL730" s="123"/>
      <c r="AM730" s="123"/>
      <c r="AR730" s="123"/>
      <c r="AS730" s="123"/>
      <c r="AU730" s="123"/>
      <c r="AV730" s="123"/>
    </row>
    <row r="731">
      <c r="A731" s="197"/>
      <c r="B731" s="197"/>
      <c r="AB731" s="123"/>
      <c r="AC731" s="123"/>
      <c r="AE731" s="123"/>
      <c r="AF731" s="123"/>
      <c r="AH731" s="123"/>
      <c r="AI731" s="123"/>
      <c r="AL731" s="123"/>
      <c r="AM731" s="123"/>
      <c r="AR731" s="123"/>
      <c r="AS731" s="123"/>
      <c r="AU731" s="123"/>
      <c r="AV731" s="123"/>
    </row>
    <row r="732">
      <c r="A732" s="197"/>
      <c r="B732" s="197"/>
      <c r="AB732" s="123"/>
      <c r="AC732" s="123"/>
      <c r="AE732" s="123"/>
      <c r="AF732" s="123"/>
      <c r="AH732" s="123"/>
      <c r="AI732" s="123"/>
      <c r="AL732" s="123"/>
      <c r="AM732" s="123"/>
      <c r="AR732" s="123"/>
      <c r="AS732" s="123"/>
      <c r="AU732" s="123"/>
      <c r="AV732" s="123"/>
    </row>
    <row r="733">
      <c r="A733" s="197"/>
      <c r="B733" s="197"/>
      <c r="AB733" s="123"/>
      <c r="AC733" s="123"/>
      <c r="AE733" s="123"/>
      <c r="AF733" s="123"/>
      <c r="AH733" s="123"/>
      <c r="AI733" s="123"/>
      <c r="AL733" s="123"/>
      <c r="AM733" s="123"/>
      <c r="AR733" s="123"/>
      <c r="AS733" s="123"/>
      <c r="AU733" s="123"/>
      <c r="AV733" s="123"/>
    </row>
    <row r="734">
      <c r="A734" s="197"/>
      <c r="B734" s="197"/>
      <c r="AB734" s="123"/>
      <c r="AC734" s="123"/>
      <c r="AE734" s="123"/>
      <c r="AF734" s="123"/>
      <c r="AH734" s="123"/>
      <c r="AI734" s="123"/>
      <c r="AL734" s="123"/>
      <c r="AM734" s="123"/>
      <c r="AR734" s="123"/>
      <c r="AS734" s="123"/>
      <c r="AU734" s="123"/>
      <c r="AV734" s="123"/>
    </row>
    <row r="735">
      <c r="A735" s="197"/>
      <c r="B735" s="197"/>
      <c r="AB735" s="123"/>
      <c r="AC735" s="123"/>
      <c r="AE735" s="123"/>
      <c r="AF735" s="123"/>
      <c r="AH735" s="123"/>
      <c r="AI735" s="123"/>
      <c r="AL735" s="123"/>
      <c r="AM735" s="123"/>
      <c r="AR735" s="123"/>
      <c r="AS735" s="123"/>
      <c r="AU735" s="123"/>
      <c r="AV735" s="123"/>
    </row>
    <row r="736">
      <c r="A736" s="197"/>
      <c r="B736" s="197"/>
      <c r="AB736" s="123"/>
      <c r="AC736" s="123"/>
      <c r="AE736" s="123"/>
      <c r="AF736" s="123"/>
      <c r="AH736" s="123"/>
      <c r="AI736" s="123"/>
      <c r="AL736" s="123"/>
      <c r="AM736" s="123"/>
      <c r="AR736" s="123"/>
      <c r="AS736" s="123"/>
      <c r="AU736" s="123"/>
      <c r="AV736" s="123"/>
    </row>
    <row r="737">
      <c r="A737" s="197"/>
      <c r="B737" s="197"/>
      <c r="AB737" s="123"/>
      <c r="AC737" s="123"/>
      <c r="AE737" s="123"/>
      <c r="AF737" s="123"/>
      <c r="AH737" s="123"/>
      <c r="AI737" s="123"/>
      <c r="AL737" s="123"/>
      <c r="AM737" s="123"/>
      <c r="AR737" s="123"/>
      <c r="AS737" s="123"/>
      <c r="AU737" s="123"/>
      <c r="AV737" s="123"/>
    </row>
    <row r="738">
      <c r="A738" s="197"/>
      <c r="B738" s="197"/>
      <c r="AB738" s="123"/>
      <c r="AC738" s="123"/>
      <c r="AE738" s="123"/>
      <c r="AF738" s="123"/>
      <c r="AH738" s="123"/>
      <c r="AI738" s="123"/>
      <c r="AL738" s="123"/>
      <c r="AM738" s="123"/>
      <c r="AR738" s="123"/>
      <c r="AS738" s="123"/>
      <c r="AU738" s="123"/>
      <c r="AV738" s="123"/>
    </row>
    <row r="739">
      <c r="A739" s="197"/>
      <c r="B739" s="197"/>
      <c r="AB739" s="123"/>
      <c r="AC739" s="123"/>
      <c r="AE739" s="123"/>
      <c r="AF739" s="123"/>
      <c r="AH739" s="123"/>
      <c r="AI739" s="123"/>
      <c r="AL739" s="123"/>
      <c r="AM739" s="123"/>
      <c r="AR739" s="123"/>
      <c r="AS739" s="123"/>
      <c r="AU739" s="123"/>
      <c r="AV739" s="123"/>
    </row>
    <row r="740">
      <c r="A740" s="197"/>
      <c r="B740" s="197"/>
      <c r="AB740" s="123"/>
      <c r="AC740" s="123"/>
      <c r="AE740" s="123"/>
      <c r="AF740" s="123"/>
      <c r="AH740" s="123"/>
      <c r="AI740" s="123"/>
      <c r="AL740" s="123"/>
      <c r="AM740" s="123"/>
      <c r="AR740" s="123"/>
      <c r="AS740" s="123"/>
      <c r="AU740" s="123"/>
      <c r="AV740" s="123"/>
    </row>
    <row r="741">
      <c r="A741" s="197"/>
      <c r="B741" s="197"/>
      <c r="AB741" s="123"/>
      <c r="AC741" s="123"/>
      <c r="AE741" s="123"/>
      <c r="AF741" s="123"/>
      <c r="AH741" s="123"/>
      <c r="AI741" s="123"/>
      <c r="AL741" s="123"/>
      <c r="AM741" s="123"/>
      <c r="AR741" s="123"/>
      <c r="AS741" s="123"/>
      <c r="AU741" s="123"/>
      <c r="AV741" s="123"/>
    </row>
    <row r="742">
      <c r="A742" s="197"/>
      <c r="B742" s="197"/>
      <c r="AB742" s="123"/>
      <c r="AC742" s="123"/>
      <c r="AE742" s="123"/>
      <c r="AF742" s="123"/>
      <c r="AH742" s="123"/>
      <c r="AI742" s="123"/>
      <c r="AL742" s="123"/>
      <c r="AM742" s="123"/>
      <c r="AR742" s="123"/>
      <c r="AS742" s="123"/>
      <c r="AU742" s="123"/>
      <c r="AV742" s="123"/>
    </row>
    <row r="743">
      <c r="A743" s="197"/>
      <c r="B743" s="197"/>
      <c r="AB743" s="123"/>
      <c r="AC743" s="123"/>
      <c r="AE743" s="123"/>
      <c r="AF743" s="123"/>
      <c r="AH743" s="123"/>
      <c r="AI743" s="123"/>
      <c r="AL743" s="123"/>
      <c r="AM743" s="123"/>
      <c r="AR743" s="123"/>
      <c r="AS743" s="123"/>
      <c r="AU743" s="123"/>
      <c r="AV743" s="123"/>
    </row>
    <row r="744">
      <c r="A744" s="197"/>
      <c r="B744" s="197"/>
      <c r="AB744" s="123"/>
      <c r="AC744" s="123"/>
      <c r="AE744" s="123"/>
      <c r="AF744" s="123"/>
      <c r="AH744" s="123"/>
      <c r="AI744" s="123"/>
      <c r="AL744" s="123"/>
      <c r="AM744" s="123"/>
      <c r="AR744" s="123"/>
      <c r="AS744" s="123"/>
      <c r="AU744" s="123"/>
      <c r="AV744" s="123"/>
    </row>
    <row r="745">
      <c r="A745" s="197"/>
      <c r="B745" s="197"/>
      <c r="AB745" s="123"/>
      <c r="AC745" s="123"/>
      <c r="AE745" s="123"/>
      <c r="AF745" s="123"/>
      <c r="AH745" s="123"/>
      <c r="AI745" s="123"/>
      <c r="AL745" s="123"/>
      <c r="AM745" s="123"/>
      <c r="AR745" s="123"/>
      <c r="AS745" s="123"/>
      <c r="AU745" s="123"/>
      <c r="AV745" s="123"/>
    </row>
    <row r="746">
      <c r="A746" s="197"/>
      <c r="B746" s="197"/>
      <c r="AB746" s="123"/>
      <c r="AC746" s="123"/>
      <c r="AE746" s="123"/>
      <c r="AF746" s="123"/>
      <c r="AH746" s="123"/>
      <c r="AI746" s="123"/>
      <c r="AL746" s="123"/>
      <c r="AM746" s="123"/>
      <c r="AR746" s="123"/>
      <c r="AS746" s="123"/>
      <c r="AU746" s="123"/>
      <c r="AV746" s="123"/>
    </row>
    <row r="747">
      <c r="A747" s="197"/>
      <c r="B747" s="197"/>
      <c r="AB747" s="123"/>
      <c r="AC747" s="123"/>
      <c r="AE747" s="123"/>
      <c r="AF747" s="123"/>
      <c r="AH747" s="123"/>
      <c r="AI747" s="123"/>
      <c r="AL747" s="123"/>
      <c r="AM747" s="123"/>
      <c r="AR747" s="123"/>
      <c r="AS747" s="123"/>
      <c r="AU747" s="123"/>
      <c r="AV747" s="123"/>
    </row>
    <row r="748">
      <c r="A748" s="197"/>
      <c r="B748" s="197"/>
      <c r="AB748" s="123"/>
      <c r="AC748" s="123"/>
      <c r="AE748" s="123"/>
      <c r="AF748" s="123"/>
      <c r="AH748" s="123"/>
      <c r="AI748" s="123"/>
      <c r="AL748" s="123"/>
      <c r="AM748" s="123"/>
      <c r="AR748" s="123"/>
      <c r="AS748" s="123"/>
      <c r="AU748" s="123"/>
      <c r="AV748" s="123"/>
    </row>
    <row r="749">
      <c r="A749" s="197"/>
      <c r="B749" s="197"/>
      <c r="AB749" s="123"/>
      <c r="AC749" s="123"/>
      <c r="AE749" s="123"/>
      <c r="AF749" s="123"/>
      <c r="AH749" s="123"/>
      <c r="AI749" s="123"/>
      <c r="AL749" s="123"/>
      <c r="AM749" s="123"/>
      <c r="AR749" s="123"/>
      <c r="AS749" s="123"/>
      <c r="AU749" s="123"/>
      <c r="AV749" s="123"/>
    </row>
    <row r="750">
      <c r="A750" s="197"/>
      <c r="B750" s="197"/>
      <c r="AB750" s="123"/>
      <c r="AC750" s="123"/>
      <c r="AE750" s="123"/>
      <c r="AF750" s="123"/>
      <c r="AH750" s="123"/>
      <c r="AI750" s="123"/>
      <c r="AL750" s="123"/>
      <c r="AM750" s="123"/>
      <c r="AR750" s="123"/>
      <c r="AS750" s="123"/>
      <c r="AU750" s="123"/>
      <c r="AV750" s="123"/>
    </row>
    <row r="751">
      <c r="A751" s="197"/>
      <c r="B751" s="197"/>
      <c r="AB751" s="123"/>
      <c r="AC751" s="123"/>
      <c r="AE751" s="123"/>
      <c r="AF751" s="123"/>
      <c r="AH751" s="123"/>
      <c r="AI751" s="123"/>
      <c r="AL751" s="123"/>
      <c r="AM751" s="123"/>
      <c r="AR751" s="123"/>
      <c r="AS751" s="123"/>
      <c r="AU751" s="123"/>
      <c r="AV751" s="123"/>
    </row>
    <row r="752">
      <c r="A752" s="197"/>
      <c r="B752" s="197"/>
      <c r="AB752" s="123"/>
      <c r="AC752" s="123"/>
      <c r="AE752" s="123"/>
      <c r="AF752" s="123"/>
      <c r="AH752" s="123"/>
      <c r="AI752" s="123"/>
      <c r="AL752" s="123"/>
      <c r="AM752" s="123"/>
      <c r="AR752" s="123"/>
      <c r="AS752" s="123"/>
      <c r="AU752" s="123"/>
      <c r="AV752" s="123"/>
    </row>
    <row r="753">
      <c r="A753" s="197"/>
      <c r="B753" s="197"/>
      <c r="AB753" s="123"/>
      <c r="AC753" s="123"/>
      <c r="AE753" s="123"/>
      <c r="AF753" s="123"/>
      <c r="AH753" s="123"/>
      <c r="AI753" s="123"/>
      <c r="AL753" s="123"/>
      <c r="AM753" s="123"/>
      <c r="AR753" s="123"/>
      <c r="AS753" s="123"/>
      <c r="AU753" s="123"/>
      <c r="AV753" s="123"/>
    </row>
    <row r="754">
      <c r="A754" s="197"/>
      <c r="B754" s="197"/>
      <c r="AB754" s="123"/>
      <c r="AC754" s="123"/>
      <c r="AE754" s="123"/>
      <c r="AF754" s="123"/>
      <c r="AH754" s="123"/>
      <c r="AI754" s="123"/>
      <c r="AL754" s="123"/>
      <c r="AM754" s="123"/>
      <c r="AR754" s="123"/>
      <c r="AS754" s="123"/>
      <c r="AU754" s="123"/>
      <c r="AV754" s="123"/>
    </row>
    <row r="755">
      <c r="A755" s="197"/>
      <c r="B755" s="197"/>
      <c r="AB755" s="123"/>
      <c r="AC755" s="123"/>
      <c r="AE755" s="123"/>
      <c r="AF755" s="123"/>
      <c r="AH755" s="123"/>
      <c r="AI755" s="123"/>
      <c r="AL755" s="123"/>
      <c r="AM755" s="123"/>
      <c r="AR755" s="123"/>
      <c r="AS755" s="123"/>
      <c r="AU755" s="123"/>
      <c r="AV755" s="123"/>
    </row>
    <row r="756">
      <c r="A756" s="197"/>
      <c r="B756" s="197"/>
      <c r="AB756" s="123"/>
      <c r="AC756" s="123"/>
      <c r="AE756" s="123"/>
      <c r="AF756" s="123"/>
      <c r="AH756" s="123"/>
      <c r="AI756" s="123"/>
      <c r="AL756" s="123"/>
      <c r="AM756" s="123"/>
      <c r="AR756" s="123"/>
      <c r="AS756" s="123"/>
      <c r="AU756" s="123"/>
      <c r="AV756" s="123"/>
    </row>
    <row r="757">
      <c r="A757" s="197"/>
      <c r="B757" s="197"/>
      <c r="AB757" s="123"/>
      <c r="AC757" s="123"/>
      <c r="AE757" s="123"/>
      <c r="AF757" s="123"/>
      <c r="AH757" s="123"/>
      <c r="AI757" s="123"/>
      <c r="AL757" s="123"/>
      <c r="AM757" s="123"/>
      <c r="AR757" s="123"/>
      <c r="AS757" s="123"/>
      <c r="AU757" s="123"/>
      <c r="AV757" s="123"/>
    </row>
    <row r="758">
      <c r="A758" s="197"/>
      <c r="B758" s="197"/>
      <c r="AB758" s="123"/>
      <c r="AC758" s="123"/>
      <c r="AE758" s="123"/>
      <c r="AF758" s="123"/>
      <c r="AH758" s="123"/>
      <c r="AI758" s="123"/>
      <c r="AL758" s="123"/>
      <c r="AM758" s="123"/>
      <c r="AR758" s="123"/>
      <c r="AS758" s="123"/>
      <c r="AU758" s="123"/>
      <c r="AV758" s="123"/>
    </row>
    <row r="759">
      <c r="A759" s="197"/>
      <c r="B759" s="197"/>
      <c r="AB759" s="123"/>
      <c r="AC759" s="123"/>
      <c r="AE759" s="123"/>
      <c r="AF759" s="123"/>
      <c r="AH759" s="123"/>
      <c r="AI759" s="123"/>
      <c r="AL759" s="123"/>
      <c r="AM759" s="123"/>
      <c r="AR759" s="123"/>
      <c r="AS759" s="123"/>
      <c r="AU759" s="123"/>
      <c r="AV759" s="123"/>
    </row>
    <row r="760">
      <c r="A760" s="197"/>
      <c r="B760" s="197"/>
      <c r="AB760" s="123"/>
      <c r="AC760" s="123"/>
      <c r="AE760" s="123"/>
      <c r="AF760" s="123"/>
      <c r="AH760" s="123"/>
      <c r="AI760" s="123"/>
      <c r="AL760" s="123"/>
      <c r="AM760" s="123"/>
      <c r="AR760" s="123"/>
      <c r="AS760" s="123"/>
      <c r="AU760" s="123"/>
      <c r="AV760" s="123"/>
    </row>
    <row r="761">
      <c r="A761" s="197"/>
      <c r="B761" s="197"/>
      <c r="AB761" s="123"/>
      <c r="AC761" s="123"/>
      <c r="AE761" s="123"/>
      <c r="AF761" s="123"/>
      <c r="AH761" s="123"/>
      <c r="AI761" s="123"/>
      <c r="AL761" s="123"/>
      <c r="AM761" s="123"/>
      <c r="AR761" s="123"/>
      <c r="AS761" s="123"/>
      <c r="AU761" s="123"/>
      <c r="AV761" s="123"/>
    </row>
    <row r="762">
      <c r="A762" s="197"/>
      <c r="B762" s="197"/>
      <c r="AB762" s="123"/>
      <c r="AC762" s="123"/>
      <c r="AE762" s="123"/>
      <c r="AF762" s="123"/>
      <c r="AH762" s="123"/>
      <c r="AI762" s="123"/>
      <c r="AL762" s="123"/>
      <c r="AM762" s="123"/>
      <c r="AR762" s="123"/>
      <c r="AS762" s="123"/>
      <c r="AU762" s="123"/>
      <c r="AV762" s="123"/>
    </row>
    <row r="763">
      <c r="A763" s="197"/>
      <c r="B763" s="197"/>
      <c r="AB763" s="123"/>
      <c r="AC763" s="123"/>
      <c r="AE763" s="123"/>
      <c r="AF763" s="123"/>
      <c r="AH763" s="123"/>
      <c r="AI763" s="123"/>
      <c r="AL763" s="123"/>
      <c r="AM763" s="123"/>
      <c r="AR763" s="123"/>
      <c r="AS763" s="123"/>
      <c r="AU763" s="123"/>
      <c r="AV763" s="123"/>
    </row>
    <row r="764">
      <c r="A764" s="197"/>
      <c r="B764" s="197"/>
      <c r="AB764" s="123"/>
      <c r="AC764" s="123"/>
      <c r="AE764" s="123"/>
      <c r="AF764" s="123"/>
      <c r="AH764" s="123"/>
      <c r="AI764" s="123"/>
      <c r="AL764" s="123"/>
      <c r="AM764" s="123"/>
      <c r="AR764" s="123"/>
      <c r="AS764" s="123"/>
      <c r="AU764" s="123"/>
      <c r="AV764" s="123"/>
    </row>
    <row r="765">
      <c r="A765" s="197"/>
      <c r="B765" s="197"/>
      <c r="AB765" s="123"/>
      <c r="AC765" s="123"/>
      <c r="AE765" s="123"/>
      <c r="AF765" s="123"/>
      <c r="AH765" s="123"/>
      <c r="AI765" s="123"/>
      <c r="AL765" s="123"/>
      <c r="AM765" s="123"/>
      <c r="AR765" s="123"/>
      <c r="AS765" s="123"/>
      <c r="AU765" s="123"/>
      <c r="AV765" s="123"/>
    </row>
    <row r="766">
      <c r="A766" s="197"/>
      <c r="B766" s="197"/>
      <c r="AB766" s="123"/>
      <c r="AC766" s="123"/>
      <c r="AE766" s="123"/>
      <c r="AF766" s="123"/>
      <c r="AH766" s="123"/>
      <c r="AI766" s="123"/>
      <c r="AL766" s="123"/>
      <c r="AM766" s="123"/>
      <c r="AR766" s="123"/>
      <c r="AS766" s="123"/>
      <c r="AU766" s="123"/>
      <c r="AV766" s="123"/>
    </row>
    <row r="767">
      <c r="A767" s="197"/>
      <c r="B767" s="197"/>
      <c r="AB767" s="123"/>
      <c r="AC767" s="123"/>
      <c r="AE767" s="123"/>
      <c r="AF767" s="123"/>
      <c r="AH767" s="123"/>
      <c r="AI767" s="123"/>
      <c r="AL767" s="123"/>
      <c r="AM767" s="123"/>
      <c r="AR767" s="123"/>
      <c r="AS767" s="123"/>
      <c r="AU767" s="123"/>
      <c r="AV767" s="123"/>
    </row>
    <row r="768">
      <c r="A768" s="197"/>
      <c r="B768" s="197"/>
      <c r="AB768" s="123"/>
      <c r="AC768" s="123"/>
      <c r="AE768" s="123"/>
      <c r="AF768" s="123"/>
      <c r="AH768" s="123"/>
      <c r="AI768" s="123"/>
      <c r="AL768" s="123"/>
      <c r="AM768" s="123"/>
      <c r="AR768" s="123"/>
      <c r="AS768" s="123"/>
      <c r="AU768" s="123"/>
      <c r="AV768" s="123"/>
    </row>
    <row r="769">
      <c r="A769" s="197"/>
      <c r="B769" s="197"/>
      <c r="AB769" s="123"/>
      <c r="AC769" s="123"/>
      <c r="AE769" s="123"/>
      <c r="AF769" s="123"/>
      <c r="AH769" s="123"/>
      <c r="AI769" s="123"/>
      <c r="AL769" s="123"/>
      <c r="AM769" s="123"/>
      <c r="AR769" s="123"/>
      <c r="AS769" s="123"/>
      <c r="AU769" s="123"/>
      <c r="AV769" s="123"/>
    </row>
    <row r="770">
      <c r="A770" s="197"/>
      <c r="B770" s="197"/>
      <c r="AB770" s="123"/>
      <c r="AC770" s="123"/>
      <c r="AE770" s="123"/>
      <c r="AF770" s="123"/>
      <c r="AH770" s="123"/>
      <c r="AI770" s="123"/>
      <c r="AL770" s="123"/>
      <c r="AM770" s="123"/>
      <c r="AR770" s="123"/>
      <c r="AS770" s="123"/>
      <c r="AU770" s="123"/>
      <c r="AV770" s="123"/>
    </row>
    <row r="771">
      <c r="A771" s="197"/>
      <c r="B771" s="197"/>
      <c r="AB771" s="123"/>
      <c r="AC771" s="123"/>
      <c r="AE771" s="123"/>
      <c r="AF771" s="123"/>
      <c r="AH771" s="123"/>
      <c r="AI771" s="123"/>
      <c r="AL771" s="123"/>
      <c r="AM771" s="123"/>
      <c r="AR771" s="123"/>
      <c r="AS771" s="123"/>
      <c r="AU771" s="123"/>
      <c r="AV771" s="123"/>
    </row>
    <row r="772">
      <c r="A772" s="197"/>
      <c r="B772" s="197"/>
      <c r="AB772" s="123"/>
      <c r="AC772" s="123"/>
      <c r="AE772" s="123"/>
      <c r="AF772" s="123"/>
      <c r="AH772" s="123"/>
      <c r="AI772" s="123"/>
      <c r="AL772" s="123"/>
      <c r="AM772" s="123"/>
      <c r="AR772" s="123"/>
      <c r="AS772" s="123"/>
      <c r="AU772" s="123"/>
      <c r="AV772" s="123"/>
    </row>
    <row r="773">
      <c r="A773" s="197"/>
      <c r="B773" s="197"/>
      <c r="AB773" s="123"/>
      <c r="AC773" s="123"/>
      <c r="AE773" s="123"/>
      <c r="AF773" s="123"/>
      <c r="AH773" s="123"/>
      <c r="AI773" s="123"/>
      <c r="AL773" s="123"/>
      <c r="AM773" s="123"/>
      <c r="AR773" s="123"/>
      <c r="AS773" s="123"/>
      <c r="AU773" s="123"/>
      <c r="AV773" s="123"/>
    </row>
    <row r="774">
      <c r="A774" s="197"/>
      <c r="B774" s="197"/>
      <c r="AB774" s="123"/>
      <c r="AC774" s="123"/>
      <c r="AE774" s="123"/>
      <c r="AF774" s="123"/>
      <c r="AH774" s="123"/>
      <c r="AI774" s="123"/>
      <c r="AL774" s="123"/>
      <c r="AM774" s="123"/>
      <c r="AR774" s="123"/>
      <c r="AS774" s="123"/>
      <c r="AU774" s="123"/>
      <c r="AV774" s="123"/>
    </row>
    <row r="775">
      <c r="A775" s="197"/>
      <c r="B775" s="197"/>
      <c r="AB775" s="123"/>
      <c r="AC775" s="123"/>
      <c r="AE775" s="123"/>
      <c r="AF775" s="123"/>
      <c r="AH775" s="123"/>
      <c r="AI775" s="123"/>
      <c r="AL775" s="123"/>
      <c r="AM775" s="123"/>
      <c r="AR775" s="123"/>
      <c r="AS775" s="123"/>
      <c r="AU775" s="123"/>
      <c r="AV775" s="123"/>
    </row>
    <row r="776">
      <c r="A776" s="197"/>
      <c r="B776" s="197"/>
      <c r="AB776" s="123"/>
      <c r="AC776" s="123"/>
      <c r="AE776" s="123"/>
      <c r="AF776" s="123"/>
      <c r="AH776" s="123"/>
      <c r="AI776" s="123"/>
      <c r="AL776" s="123"/>
      <c r="AM776" s="123"/>
      <c r="AR776" s="123"/>
      <c r="AS776" s="123"/>
      <c r="AU776" s="123"/>
      <c r="AV776" s="123"/>
    </row>
    <row r="777">
      <c r="A777" s="197"/>
      <c r="B777" s="197"/>
      <c r="AB777" s="123"/>
      <c r="AC777" s="123"/>
      <c r="AE777" s="123"/>
      <c r="AF777" s="123"/>
      <c r="AH777" s="123"/>
      <c r="AI777" s="123"/>
      <c r="AL777" s="123"/>
      <c r="AM777" s="123"/>
      <c r="AR777" s="123"/>
      <c r="AS777" s="123"/>
      <c r="AU777" s="123"/>
      <c r="AV777" s="123"/>
    </row>
    <row r="778">
      <c r="A778" s="197"/>
      <c r="B778" s="197"/>
      <c r="AB778" s="123"/>
      <c r="AC778" s="123"/>
      <c r="AE778" s="123"/>
      <c r="AF778" s="123"/>
      <c r="AH778" s="123"/>
      <c r="AI778" s="123"/>
      <c r="AL778" s="123"/>
      <c r="AM778" s="123"/>
      <c r="AR778" s="123"/>
      <c r="AS778" s="123"/>
      <c r="AU778" s="123"/>
      <c r="AV778" s="123"/>
    </row>
    <row r="779">
      <c r="A779" s="197"/>
      <c r="B779" s="197"/>
      <c r="AB779" s="123"/>
      <c r="AC779" s="123"/>
      <c r="AE779" s="123"/>
      <c r="AF779" s="123"/>
      <c r="AH779" s="123"/>
      <c r="AI779" s="123"/>
      <c r="AL779" s="123"/>
      <c r="AM779" s="123"/>
      <c r="AR779" s="123"/>
      <c r="AS779" s="123"/>
      <c r="AU779" s="123"/>
      <c r="AV779" s="123"/>
    </row>
    <row r="780">
      <c r="A780" s="197"/>
      <c r="B780" s="197"/>
      <c r="AB780" s="123"/>
      <c r="AC780" s="123"/>
      <c r="AE780" s="123"/>
      <c r="AF780" s="123"/>
      <c r="AH780" s="123"/>
      <c r="AI780" s="123"/>
      <c r="AL780" s="123"/>
      <c r="AM780" s="123"/>
      <c r="AR780" s="123"/>
      <c r="AS780" s="123"/>
      <c r="AU780" s="123"/>
      <c r="AV780" s="123"/>
    </row>
    <row r="781">
      <c r="A781" s="197"/>
      <c r="B781" s="197"/>
      <c r="AB781" s="123"/>
      <c r="AC781" s="123"/>
      <c r="AE781" s="123"/>
      <c r="AF781" s="123"/>
      <c r="AH781" s="123"/>
      <c r="AI781" s="123"/>
      <c r="AL781" s="123"/>
      <c r="AM781" s="123"/>
      <c r="AR781" s="123"/>
      <c r="AS781" s="123"/>
      <c r="AU781" s="123"/>
      <c r="AV781" s="123"/>
    </row>
    <row r="782">
      <c r="A782" s="197"/>
      <c r="B782" s="197"/>
      <c r="AB782" s="123"/>
      <c r="AC782" s="123"/>
      <c r="AE782" s="123"/>
      <c r="AF782" s="123"/>
      <c r="AH782" s="123"/>
      <c r="AI782" s="123"/>
      <c r="AL782" s="123"/>
      <c r="AM782" s="123"/>
      <c r="AR782" s="123"/>
      <c r="AS782" s="123"/>
      <c r="AU782" s="123"/>
      <c r="AV782" s="123"/>
    </row>
    <row r="783">
      <c r="A783" s="197"/>
      <c r="B783" s="197"/>
      <c r="AB783" s="123"/>
      <c r="AC783" s="123"/>
      <c r="AE783" s="123"/>
      <c r="AF783" s="123"/>
      <c r="AH783" s="123"/>
      <c r="AI783" s="123"/>
      <c r="AL783" s="123"/>
      <c r="AM783" s="123"/>
      <c r="AR783" s="123"/>
      <c r="AS783" s="123"/>
      <c r="AU783" s="123"/>
      <c r="AV783" s="123"/>
    </row>
    <row r="784">
      <c r="A784" s="197"/>
      <c r="B784" s="197"/>
      <c r="AB784" s="123"/>
      <c r="AC784" s="123"/>
      <c r="AE784" s="123"/>
      <c r="AF784" s="123"/>
      <c r="AH784" s="123"/>
      <c r="AI784" s="123"/>
      <c r="AL784" s="123"/>
      <c r="AM784" s="123"/>
      <c r="AR784" s="123"/>
      <c r="AS784" s="123"/>
      <c r="AU784" s="123"/>
      <c r="AV784" s="123"/>
    </row>
    <row r="785">
      <c r="A785" s="197"/>
      <c r="B785" s="197"/>
      <c r="AB785" s="123"/>
      <c r="AC785" s="123"/>
      <c r="AE785" s="123"/>
      <c r="AF785" s="123"/>
      <c r="AH785" s="123"/>
      <c r="AI785" s="123"/>
      <c r="AL785" s="123"/>
      <c r="AM785" s="123"/>
      <c r="AR785" s="123"/>
      <c r="AS785" s="123"/>
      <c r="AU785" s="123"/>
      <c r="AV785" s="123"/>
    </row>
    <row r="786">
      <c r="A786" s="197"/>
      <c r="B786" s="197"/>
      <c r="AB786" s="123"/>
      <c r="AC786" s="123"/>
      <c r="AE786" s="123"/>
      <c r="AF786" s="123"/>
      <c r="AH786" s="123"/>
      <c r="AI786" s="123"/>
      <c r="AL786" s="123"/>
      <c r="AM786" s="123"/>
      <c r="AR786" s="123"/>
      <c r="AS786" s="123"/>
      <c r="AU786" s="123"/>
      <c r="AV786" s="123"/>
    </row>
    <row r="787">
      <c r="A787" s="197"/>
      <c r="B787" s="197"/>
      <c r="AB787" s="123"/>
      <c r="AC787" s="123"/>
      <c r="AE787" s="123"/>
      <c r="AF787" s="123"/>
      <c r="AH787" s="123"/>
      <c r="AI787" s="123"/>
      <c r="AL787" s="123"/>
      <c r="AM787" s="123"/>
      <c r="AR787" s="123"/>
      <c r="AS787" s="123"/>
      <c r="AU787" s="123"/>
      <c r="AV787" s="123"/>
    </row>
    <row r="788">
      <c r="A788" s="197"/>
      <c r="B788" s="197"/>
      <c r="AB788" s="123"/>
      <c r="AC788" s="123"/>
      <c r="AE788" s="123"/>
      <c r="AF788" s="123"/>
      <c r="AH788" s="123"/>
      <c r="AI788" s="123"/>
      <c r="AL788" s="123"/>
      <c r="AM788" s="123"/>
      <c r="AR788" s="123"/>
      <c r="AS788" s="123"/>
      <c r="AU788" s="123"/>
      <c r="AV788" s="123"/>
    </row>
    <row r="789">
      <c r="A789" s="197"/>
      <c r="B789" s="197"/>
      <c r="AB789" s="123"/>
      <c r="AC789" s="123"/>
      <c r="AE789" s="123"/>
      <c r="AF789" s="123"/>
      <c r="AH789" s="123"/>
      <c r="AI789" s="123"/>
      <c r="AL789" s="123"/>
      <c r="AM789" s="123"/>
      <c r="AR789" s="123"/>
      <c r="AS789" s="123"/>
      <c r="AU789" s="123"/>
      <c r="AV789" s="123"/>
    </row>
    <row r="790">
      <c r="A790" s="197"/>
      <c r="B790" s="197"/>
      <c r="AB790" s="123"/>
      <c r="AC790" s="123"/>
      <c r="AE790" s="123"/>
      <c r="AF790" s="123"/>
      <c r="AH790" s="123"/>
      <c r="AI790" s="123"/>
      <c r="AL790" s="123"/>
      <c r="AM790" s="123"/>
      <c r="AR790" s="123"/>
      <c r="AS790" s="123"/>
      <c r="AU790" s="123"/>
      <c r="AV790" s="123"/>
    </row>
    <row r="791">
      <c r="A791" s="197"/>
      <c r="B791" s="197"/>
      <c r="AB791" s="123"/>
      <c r="AC791" s="123"/>
      <c r="AE791" s="123"/>
      <c r="AF791" s="123"/>
      <c r="AH791" s="123"/>
      <c r="AI791" s="123"/>
      <c r="AL791" s="123"/>
      <c r="AM791" s="123"/>
      <c r="AR791" s="123"/>
      <c r="AS791" s="123"/>
      <c r="AU791" s="123"/>
      <c r="AV791" s="123"/>
    </row>
    <row r="792">
      <c r="A792" s="197"/>
      <c r="B792" s="197"/>
      <c r="AB792" s="123"/>
      <c r="AC792" s="123"/>
      <c r="AE792" s="123"/>
      <c r="AF792" s="123"/>
      <c r="AH792" s="123"/>
      <c r="AI792" s="123"/>
      <c r="AL792" s="123"/>
      <c r="AM792" s="123"/>
      <c r="AR792" s="123"/>
      <c r="AS792" s="123"/>
      <c r="AU792" s="123"/>
      <c r="AV792" s="123"/>
    </row>
    <row r="793">
      <c r="A793" s="197"/>
      <c r="B793" s="197"/>
      <c r="AB793" s="123"/>
      <c r="AC793" s="123"/>
      <c r="AE793" s="123"/>
      <c r="AF793" s="123"/>
      <c r="AH793" s="123"/>
      <c r="AI793" s="123"/>
      <c r="AL793" s="123"/>
      <c r="AM793" s="123"/>
      <c r="AR793" s="123"/>
      <c r="AS793" s="123"/>
      <c r="AU793" s="123"/>
      <c r="AV793" s="123"/>
    </row>
    <row r="794">
      <c r="A794" s="197"/>
      <c r="B794" s="197"/>
      <c r="AB794" s="123"/>
      <c r="AC794" s="123"/>
      <c r="AE794" s="123"/>
      <c r="AF794" s="123"/>
      <c r="AH794" s="123"/>
      <c r="AI794" s="123"/>
      <c r="AL794" s="123"/>
      <c r="AM794" s="123"/>
      <c r="AR794" s="123"/>
      <c r="AS794" s="123"/>
      <c r="AU794" s="123"/>
      <c r="AV794" s="123"/>
    </row>
    <row r="795">
      <c r="A795" s="197"/>
      <c r="B795" s="197"/>
      <c r="AB795" s="123"/>
      <c r="AC795" s="123"/>
      <c r="AE795" s="123"/>
      <c r="AF795" s="123"/>
      <c r="AH795" s="123"/>
      <c r="AI795" s="123"/>
      <c r="AL795" s="123"/>
      <c r="AM795" s="123"/>
      <c r="AR795" s="123"/>
      <c r="AS795" s="123"/>
      <c r="AU795" s="123"/>
      <c r="AV795" s="123"/>
    </row>
    <row r="796">
      <c r="A796" s="197"/>
      <c r="B796" s="197"/>
      <c r="AB796" s="123"/>
      <c r="AC796" s="123"/>
      <c r="AE796" s="123"/>
      <c r="AF796" s="123"/>
      <c r="AH796" s="123"/>
      <c r="AI796" s="123"/>
      <c r="AL796" s="123"/>
      <c r="AM796" s="123"/>
      <c r="AR796" s="123"/>
      <c r="AS796" s="123"/>
      <c r="AU796" s="123"/>
      <c r="AV796" s="123"/>
    </row>
    <row r="797">
      <c r="A797" s="197"/>
      <c r="B797" s="197"/>
      <c r="AB797" s="123"/>
      <c r="AC797" s="123"/>
      <c r="AE797" s="123"/>
      <c r="AF797" s="123"/>
      <c r="AH797" s="123"/>
      <c r="AI797" s="123"/>
      <c r="AL797" s="123"/>
      <c r="AM797" s="123"/>
      <c r="AR797" s="123"/>
      <c r="AS797" s="123"/>
      <c r="AU797" s="123"/>
      <c r="AV797" s="123"/>
    </row>
    <row r="798">
      <c r="A798" s="197"/>
      <c r="B798" s="197"/>
      <c r="AB798" s="123"/>
      <c r="AC798" s="123"/>
      <c r="AE798" s="123"/>
      <c r="AF798" s="123"/>
      <c r="AH798" s="123"/>
      <c r="AI798" s="123"/>
      <c r="AL798" s="123"/>
      <c r="AM798" s="123"/>
      <c r="AR798" s="123"/>
      <c r="AS798" s="123"/>
      <c r="AU798" s="123"/>
      <c r="AV798" s="123"/>
    </row>
    <row r="799">
      <c r="A799" s="197"/>
      <c r="B799" s="197"/>
      <c r="AB799" s="123"/>
      <c r="AC799" s="123"/>
      <c r="AE799" s="123"/>
      <c r="AF799" s="123"/>
      <c r="AH799" s="123"/>
      <c r="AI799" s="123"/>
      <c r="AL799" s="123"/>
      <c r="AM799" s="123"/>
      <c r="AR799" s="123"/>
      <c r="AS799" s="123"/>
      <c r="AU799" s="123"/>
      <c r="AV799" s="123"/>
    </row>
    <row r="800">
      <c r="A800" s="197"/>
      <c r="B800" s="197"/>
      <c r="AB800" s="123"/>
      <c r="AC800" s="123"/>
      <c r="AE800" s="123"/>
      <c r="AF800" s="123"/>
      <c r="AH800" s="123"/>
      <c r="AI800" s="123"/>
      <c r="AL800" s="123"/>
      <c r="AM800" s="123"/>
      <c r="AR800" s="123"/>
      <c r="AS800" s="123"/>
      <c r="AU800" s="123"/>
      <c r="AV800" s="123"/>
    </row>
    <row r="801">
      <c r="A801" s="197"/>
      <c r="B801" s="197"/>
      <c r="AB801" s="123"/>
      <c r="AC801" s="123"/>
      <c r="AE801" s="123"/>
      <c r="AF801" s="123"/>
      <c r="AH801" s="123"/>
      <c r="AI801" s="123"/>
      <c r="AL801" s="123"/>
      <c r="AM801" s="123"/>
      <c r="AR801" s="123"/>
      <c r="AS801" s="123"/>
      <c r="AU801" s="123"/>
      <c r="AV801" s="123"/>
    </row>
    <row r="802">
      <c r="A802" s="197"/>
      <c r="B802" s="197"/>
      <c r="AB802" s="123"/>
      <c r="AC802" s="123"/>
      <c r="AE802" s="123"/>
      <c r="AF802" s="123"/>
      <c r="AH802" s="123"/>
      <c r="AI802" s="123"/>
      <c r="AL802" s="123"/>
      <c r="AM802" s="123"/>
      <c r="AR802" s="123"/>
      <c r="AS802" s="123"/>
      <c r="AU802" s="123"/>
      <c r="AV802" s="123"/>
    </row>
    <row r="803">
      <c r="A803" s="197"/>
      <c r="B803" s="197"/>
      <c r="AB803" s="123"/>
      <c r="AC803" s="123"/>
      <c r="AE803" s="123"/>
      <c r="AF803" s="123"/>
      <c r="AH803" s="123"/>
      <c r="AI803" s="123"/>
      <c r="AL803" s="123"/>
      <c r="AM803" s="123"/>
      <c r="AR803" s="123"/>
      <c r="AS803" s="123"/>
      <c r="AU803" s="123"/>
      <c r="AV803" s="123"/>
    </row>
    <row r="804">
      <c r="A804" s="197"/>
      <c r="B804" s="197"/>
      <c r="AB804" s="123"/>
      <c r="AC804" s="123"/>
      <c r="AE804" s="123"/>
      <c r="AF804" s="123"/>
      <c r="AH804" s="123"/>
      <c r="AI804" s="123"/>
      <c r="AL804" s="123"/>
      <c r="AM804" s="123"/>
      <c r="AR804" s="123"/>
      <c r="AS804" s="123"/>
      <c r="AU804" s="123"/>
      <c r="AV804" s="123"/>
    </row>
    <row r="805">
      <c r="A805" s="197"/>
      <c r="B805" s="197"/>
      <c r="AB805" s="123"/>
      <c r="AC805" s="123"/>
      <c r="AE805" s="123"/>
      <c r="AF805" s="123"/>
      <c r="AH805" s="123"/>
      <c r="AI805" s="123"/>
      <c r="AL805" s="123"/>
      <c r="AM805" s="123"/>
      <c r="AR805" s="123"/>
      <c r="AS805" s="123"/>
      <c r="AU805" s="123"/>
      <c r="AV805" s="123"/>
    </row>
    <row r="806">
      <c r="A806" s="197"/>
      <c r="B806" s="197"/>
      <c r="AB806" s="123"/>
      <c r="AC806" s="123"/>
      <c r="AE806" s="123"/>
      <c r="AF806" s="123"/>
      <c r="AH806" s="123"/>
      <c r="AI806" s="123"/>
      <c r="AL806" s="123"/>
      <c r="AM806" s="123"/>
      <c r="AR806" s="123"/>
      <c r="AS806" s="123"/>
      <c r="AU806" s="123"/>
      <c r="AV806" s="123"/>
    </row>
    <row r="807">
      <c r="A807" s="197"/>
      <c r="B807" s="197"/>
      <c r="AB807" s="123"/>
      <c r="AC807" s="123"/>
      <c r="AE807" s="123"/>
      <c r="AF807" s="123"/>
      <c r="AH807" s="123"/>
      <c r="AI807" s="123"/>
      <c r="AL807" s="123"/>
      <c r="AM807" s="123"/>
      <c r="AR807" s="123"/>
      <c r="AS807" s="123"/>
      <c r="AU807" s="123"/>
      <c r="AV807" s="123"/>
    </row>
    <row r="808">
      <c r="A808" s="197"/>
      <c r="B808" s="197"/>
      <c r="AB808" s="123"/>
      <c r="AC808" s="123"/>
      <c r="AE808" s="123"/>
      <c r="AF808" s="123"/>
      <c r="AH808" s="123"/>
      <c r="AI808" s="123"/>
      <c r="AL808" s="123"/>
      <c r="AM808" s="123"/>
      <c r="AR808" s="123"/>
      <c r="AS808" s="123"/>
      <c r="AU808" s="123"/>
      <c r="AV808" s="123"/>
    </row>
    <row r="809">
      <c r="A809" s="197"/>
      <c r="B809" s="197"/>
      <c r="AB809" s="123"/>
      <c r="AC809" s="123"/>
      <c r="AE809" s="123"/>
      <c r="AF809" s="123"/>
      <c r="AH809" s="123"/>
      <c r="AI809" s="123"/>
      <c r="AL809" s="123"/>
      <c r="AM809" s="123"/>
      <c r="AR809" s="123"/>
      <c r="AS809" s="123"/>
      <c r="AU809" s="123"/>
      <c r="AV809" s="123"/>
    </row>
    <row r="810">
      <c r="A810" s="197"/>
      <c r="B810" s="197"/>
      <c r="AB810" s="123"/>
      <c r="AC810" s="123"/>
      <c r="AE810" s="123"/>
      <c r="AF810" s="123"/>
      <c r="AH810" s="123"/>
      <c r="AI810" s="123"/>
      <c r="AL810" s="123"/>
      <c r="AM810" s="123"/>
      <c r="AR810" s="123"/>
      <c r="AS810" s="123"/>
      <c r="AU810" s="123"/>
      <c r="AV810" s="123"/>
    </row>
    <row r="811">
      <c r="A811" s="197"/>
      <c r="B811" s="197"/>
      <c r="AB811" s="123"/>
      <c r="AC811" s="123"/>
      <c r="AE811" s="123"/>
      <c r="AF811" s="123"/>
      <c r="AH811" s="123"/>
      <c r="AI811" s="123"/>
      <c r="AL811" s="123"/>
      <c r="AM811" s="123"/>
      <c r="AR811" s="123"/>
      <c r="AS811" s="123"/>
      <c r="AU811" s="123"/>
      <c r="AV811" s="123"/>
    </row>
    <row r="812">
      <c r="A812" s="197"/>
      <c r="B812" s="197"/>
      <c r="AB812" s="123"/>
      <c r="AC812" s="123"/>
      <c r="AE812" s="123"/>
      <c r="AF812" s="123"/>
      <c r="AH812" s="123"/>
      <c r="AI812" s="123"/>
      <c r="AL812" s="123"/>
      <c r="AM812" s="123"/>
      <c r="AR812" s="123"/>
      <c r="AS812" s="123"/>
      <c r="AU812" s="123"/>
      <c r="AV812" s="123"/>
    </row>
    <row r="813">
      <c r="A813" s="197"/>
      <c r="B813" s="197"/>
      <c r="AB813" s="123"/>
      <c r="AC813" s="123"/>
      <c r="AE813" s="123"/>
      <c r="AF813" s="123"/>
      <c r="AH813" s="123"/>
      <c r="AI813" s="123"/>
      <c r="AL813" s="123"/>
      <c r="AM813" s="123"/>
      <c r="AR813" s="123"/>
      <c r="AS813" s="123"/>
      <c r="AU813" s="123"/>
      <c r="AV813" s="123"/>
    </row>
    <row r="814">
      <c r="A814" s="197"/>
      <c r="B814" s="197"/>
      <c r="AB814" s="123"/>
      <c r="AC814" s="123"/>
      <c r="AE814" s="123"/>
      <c r="AF814" s="123"/>
      <c r="AH814" s="123"/>
      <c r="AI814" s="123"/>
      <c r="AL814" s="123"/>
      <c r="AM814" s="123"/>
      <c r="AR814" s="123"/>
      <c r="AS814" s="123"/>
      <c r="AU814" s="123"/>
      <c r="AV814" s="123"/>
    </row>
    <row r="815">
      <c r="A815" s="197"/>
      <c r="B815" s="197"/>
      <c r="AB815" s="123"/>
      <c r="AC815" s="123"/>
      <c r="AE815" s="123"/>
      <c r="AF815" s="123"/>
      <c r="AH815" s="123"/>
      <c r="AI815" s="123"/>
      <c r="AL815" s="123"/>
      <c r="AM815" s="123"/>
      <c r="AR815" s="123"/>
      <c r="AS815" s="123"/>
      <c r="AU815" s="123"/>
      <c r="AV815" s="123"/>
    </row>
    <row r="816">
      <c r="A816" s="197"/>
      <c r="B816" s="197"/>
      <c r="AB816" s="123"/>
      <c r="AC816" s="123"/>
      <c r="AE816" s="123"/>
      <c r="AF816" s="123"/>
      <c r="AH816" s="123"/>
      <c r="AI816" s="123"/>
      <c r="AL816" s="123"/>
      <c r="AM816" s="123"/>
      <c r="AR816" s="123"/>
      <c r="AS816" s="123"/>
      <c r="AU816" s="123"/>
      <c r="AV816" s="123"/>
    </row>
    <row r="817">
      <c r="A817" s="197"/>
      <c r="B817" s="197"/>
      <c r="AB817" s="123"/>
      <c r="AC817" s="123"/>
      <c r="AE817" s="123"/>
      <c r="AF817" s="123"/>
      <c r="AH817" s="123"/>
      <c r="AI817" s="123"/>
      <c r="AL817" s="123"/>
      <c r="AM817" s="123"/>
      <c r="AR817" s="123"/>
      <c r="AS817" s="123"/>
      <c r="AU817" s="123"/>
      <c r="AV817" s="123"/>
    </row>
    <row r="818">
      <c r="A818" s="197"/>
      <c r="B818" s="197"/>
      <c r="AB818" s="123"/>
      <c r="AC818" s="123"/>
      <c r="AE818" s="123"/>
      <c r="AF818" s="123"/>
      <c r="AH818" s="123"/>
      <c r="AI818" s="123"/>
      <c r="AL818" s="123"/>
      <c r="AM818" s="123"/>
      <c r="AR818" s="123"/>
      <c r="AS818" s="123"/>
      <c r="AU818" s="123"/>
      <c r="AV818" s="123"/>
    </row>
    <row r="819">
      <c r="A819" s="197"/>
      <c r="B819" s="197"/>
      <c r="AB819" s="123"/>
      <c r="AC819" s="123"/>
      <c r="AE819" s="123"/>
      <c r="AF819" s="123"/>
      <c r="AH819" s="123"/>
      <c r="AI819" s="123"/>
      <c r="AL819" s="123"/>
      <c r="AM819" s="123"/>
      <c r="AR819" s="123"/>
      <c r="AS819" s="123"/>
      <c r="AU819" s="123"/>
      <c r="AV819" s="123"/>
    </row>
    <row r="820">
      <c r="A820" s="197"/>
      <c r="B820" s="197"/>
      <c r="AB820" s="123"/>
      <c r="AC820" s="123"/>
      <c r="AE820" s="123"/>
      <c r="AF820" s="123"/>
      <c r="AH820" s="123"/>
      <c r="AI820" s="123"/>
      <c r="AL820" s="123"/>
      <c r="AM820" s="123"/>
      <c r="AR820" s="123"/>
      <c r="AS820" s="123"/>
      <c r="AU820" s="123"/>
      <c r="AV820" s="123"/>
    </row>
    <row r="821">
      <c r="A821" s="197"/>
      <c r="B821" s="197"/>
      <c r="AB821" s="123"/>
      <c r="AC821" s="123"/>
      <c r="AE821" s="123"/>
      <c r="AF821" s="123"/>
      <c r="AH821" s="123"/>
      <c r="AI821" s="123"/>
      <c r="AL821" s="123"/>
      <c r="AM821" s="123"/>
      <c r="AR821" s="123"/>
      <c r="AS821" s="123"/>
      <c r="AU821" s="123"/>
      <c r="AV821" s="123"/>
    </row>
    <row r="822">
      <c r="A822" s="197"/>
      <c r="B822" s="197"/>
      <c r="AB822" s="123"/>
      <c r="AC822" s="123"/>
      <c r="AE822" s="123"/>
      <c r="AF822" s="123"/>
      <c r="AH822" s="123"/>
      <c r="AI822" s="123"/>
      <c r="AL822" s="123"/>
      <c r="AM822" s="123"/>
      <c r="AR822" s="123"/>
      <c r="AS822" s="123"/>
      <c r="AU822" s="123"/>
      <c r="AV822" s="123"/>
    </row>
    <row r="823">
      <c r="A823" s="197"/>
      <c r="B823" s="197"/>
      <c r="AB823" s="123"/>
      <c r="AC823" s="123"/>
      <c r="AE823" s="123"/>
      <c r="AF823" s="123"/>
      <c r="AH823" s="123"/>
      <c r="AI823" s="123"/>
      <c r="AL823" s="123"/>
      <c r="AM823" s="123"/>
      <c r="AR823" s="123"/>
      <c r="AS823" s="123"/>
      <c r="AU823" s="123"/>
      <c r="AV823" s="123"/>
    </row>
    <row r="824">
      <c r="A824" s="197"/>
      <c r="B824" s="197"/>
      <c r="AB824" s="123"/>
      <c r="AC824" s="123"/>
      <c r="AE824" s="123"/>
      <c r="AF824" s="123"/>
      <c r="AH824" s="123"/>
      <c r="AI824" s="123"/>
      <c r="AL824" s="123"/>
      <c r="AM824" s="123"/>
      <c r="AR824" s="123"/>
      <c r="AS824" s="123"/>
      <c r="AU824" s="123"/>
      <c r="AV824" s="123"/>
    </row>
    <row r="825">
      <c r="A825" s="197"/>
      <c r="B825" s="197"/>
      <c r="AB825" s="123"/>
      <c r="AC825" s="123"/>
      <c r="AE825" s="123"/>
      <c r="AF825" s="123"/>
      <c r="AH825" s="123"/>
      <c r="AI825" s="123"/>
      <c r="AL825" s="123"/>
      <c r="AM825" s="123"/>
      <c r="AR825" s="123"/>
      <c r="AS825" s="123"/>
      <c r="AU825" s="123"/>
      <c r="AV825" s="123"/>
    </row>
    <row r="826">
      <c r="A826" s="197"/>
      <c r="B826" s="197"/>
      <c r="AB826" s="123"/>
      <c r="AC826" s="123"/>
      <c r="AE826" s="123"/>
      <c r="AF826" s="123"/>
      <c r="AH826" s="123"/>
      <c r="AI826" s="123"/>
      <c r="AL826" s="123"/>
      <c r="AM826" s="123"/>
      <c r="AR826" s="123"/>
      <c r="AS826" s="123"/>
      <c r="AU826" s="123"/>
      <c r="AV826" s="123"/>
    </row>
    <row r="827">
      <c r="A827" s="197"/>
      <c r="B827" s="197"/>
      <c r="AB827" s="123"/>
      <c r="AC827" s="123"/>
      <c r="AE827" s="123"/>
      <c r="AF827" s="123"/>
      <c r="AH827" s="123"/>
      <c r="AI827" s="123"/>
      <c r="AL827" s="123"/>
      <c r="AM827" s="123"/>
      <c r="AR827" s="123"/>
      <c r="AS827" s="123"/>
      <c r="AU827" s="123"/>
      <c r="AV827" s="123"/>
    </row>
    <row r="828">
      <c r="A828" s="197"/>
      <c r="B828" s="197"/>
      <c r="AB828" s="123"/>
      <c r="AC828" s="123"/>
      <c r="AE828" s="123"/>
      <c r="AF828" s="123"/>
      <c r="AH828" s="123"/>
      <c r="AI828" s="123"/>
      <c r="AL828" s="123"/>
      <c r="AM828" s="123"/>
      <c r="AR828" s="123"/>
      <c r="AS828" s="123"/>
      <c r="AU828" s="123"/>
      <c r="AV828" s="123"/>
    </row>
    <row r="829">
      <c r="A829" s="197"/>
      <c r="B829" s="197"/>
      <c r="AB829" s="123"/>
      <c r="AC829" s="123"/>
      <c r="AE829" s="123"/>
      <c r="AF829" s="123"/>
      <c r="AH829" s="123"/>
      <c r="AI829" s="123"/>
      <c r="AL829" s="123"/>
      <c r="AM829" s="123"/>
      <c r="AR829" s="123"/>
      <c r="AS829" s="123"/>
      <c r="AU829" s="123"/>
      <c r="AV829" s="123"/>
    </row>
    <row r="830">
      <c r="A830" s="197"/>
      <c r="B830" s="197"/>
      <c r="AB830" s="123"/>
      <c r="AC830" s="123"/>
      <c r="AE830" s="123"/>
      <c r="AF830" s="123"/>
      <c r="AH830" s="123"/>
      <c r="AI830" s="123"/>
      <c r="AL830" s="123"/>
      <c r="AM830" s="123"/>
      <c r="AR830" s="123"/>
      <c r="AS830" s="123"/>
      <c r="AU830" s="123"/>
      <c r="AV830" s="123"/>
    </row>
    <row r="831">
      <c r="A831" s="197"/>
      <c r="B831" s="197"/>
      <c r="AB831" s="123"/>
      <c r="AC831" s="123"/>
      <c r="AE831" s="123"/>
      <c r="AF831" s="123"/>
      <c r="AH831" s="123"/>
      <c r="AI831" s="123"/>
      <c r="AL831" s="123"/>
      <c r="AM831" s="123"/>
      <c r="AR831" s="123"/>
      <c r="AS831" s="123"/>
      <c r="AU831" s="123"/>
      <c r="AV831" s="123"/>
    </row>
    <row r="832">
      <c r="A832" s="197"/>
      <c r="B832" s="197"/>
      <c r="AB832" s="123"/>
      <c r="AC832" s="123"/>
      <c r="AE832" s="123"/>
      <c r="AF832" s="123"/>
      <c r="AH832" s="123"/>
      <c r="AI832" s="123"/>
      <c r="AL832" s="123"/>
      <c r="AM832" s="123"/>
      <c r="AR832" s="123"/>
      <c r="AS832" s="123"/>
      <c r="AU832" s="123"/>
      <c r="AV832" s="123"/>
    </row>
    <row r="833">
      <c r="A833" s="197"/>
      <c r="B833" s="197"/>
      <c r="AB833" s="123"/>
      <c r="AC833" s="123"/>
      <c r="AE833" s="123"/>
      <c r="AF833" s="123"/>
      <c r="AH833" s="123"/>
      <c r="AI833" s="123"/>
      <c r="AL833" s="123"/>
      <c r="AM833" s="123"/>
      <c r="AR833" s="123"/>
      <c r="AS833" s="123"/>
      <c r="AU833" s="123"/>
      <c r="AV833" s="123"/>
    </row>
    <row r="834">
      <c r="A834" s="197"/>
      <c r="B834" s="197"/>
      <c r="AB834" s="123"/>
      <c r="AC834" s="123"/>
      <c r="AE834" s="123"/>
      <c r="AF834" s="123"/>
      <c r="AH834" s="123"/>
      <c r="AI834" s="123"/>
      <c r="AL834" s="123"/>
      <c r="AM834" s="123"/>
      <c r="AR834" s="123"/>
      <c r="AS834" s="123"/>
      <c r="AU834" s="123"/>
      <c r="AV834" s="123"/>
    </row>
    <row r="835">
      <c r="A835" s="197"/>
      <c r="B835" s="197"/>
      <c r="AB835" s="123"/>
      <c r="AC835" s="123"/>
      <c r="AE835" s="123"/>
      <c r="AF835" s="123"/>
      <c r="AH835" s="123"/>
      <c r="AI835" s="123"/>
      <c r="AL835" s="123"/>
      <c r="AM835" s="123"/>
      <c r="AR835" s="123"/>
      <c r="AS835" s="123"/>
      <c r="AU835" s="123"/>
      <c r="AV835" s="123"/>
    </row>
    <row r="836">
      <c r="A836" s="197"/>
      <c r="B836" s="197"/>
      <c r="AB836" s="123"/>
      <c r="AC836" s="123"/>
      <c r="AE836" s="123"/>
      <c r="AF836" s="123"/>
      <c r="AH836" s="123"/>
      <c r="AI836" s="123"/>
      <c r="AL836" s="123"/>
      <c r="AM836" s="123"/>
      <c r="AR836" s="123"/>
      <c r="AS836" s="123"/>
      <c r="AU836" s="123"/>
      <c r="AV836" s="123"/>
    </row>
    <row r="837">
      <c r="A837" s="197"/>
      <c r="B837" s="197"/>
      <c r="AB837" s="123"/>
      <c r="AC837" s="123"/>
      <c r="AE837" s="123"/>
      <c r="AF837" s="123"/>
      <c r="AH837" s="123"/>
      <c r="AI837" s="123"/>
      <c r="AL837" s="123"/>
      <c r="AM837" s="123"/>
      <c r="AR837" s="123"/>
      <c r="AS837" s="123"/>
      <c r="AU837" s="123"/>
      <c r="AV837" s="123"/>
    </row>
    <row r="838">
      <c r="A838" s="197"/>
      <c r="B838" s="197"/>
      <c r="AB838" s="123"/>
      <c r="AC838" s="123"/>
      <c r="AE838" s="123"/>
      <c r="AF838" s="123"/>
      <c r="AH838" s="123"/>
      <c r="AI838" s="123"/>
      <c r="AL838" s="123"/>
      <c r="AM838" s="123"/>
      <c r="AR838" s="123"/>
      <c r="AS838" s="123"/>
      <c r="AU838" s="123"/>
      <c r="AV838" s="123"/>
    </row>
    <row r="839">
      <c r="A839" s="197"/>
      <c r="B839" s="197"/>
      <c r="AB839" s="123"/>
      <c r="AC839" s="123"/>
      <c r="AE839" s="123"/>
      <c r="AF839" s="123"/>
      <c r="AH839" s="123"/>
      <c r="AI839" s="123"/>
      <c r="AL839" s="123"/>
      <c r="AM839" s="123"/>
      <c r="AR839" s="123"/>
      <c r="AS839" s="123"/>
      <c r="AU839" s="123"/>
      <c r="AV839" s="123"/>
    </row>
    <row r="840">
      <c r="A840" s="197"/>
      <c r="B840" s="197"/>
      <c r="AB840" s="123"/>
      <c r="AC840" s="123"/>
      <c r="AE840" s="123"/>
      <c r="AF840" s="123"/>
      <c r="AH840" s="123"/>
      <c r="AI840" s="123"/>
      <c r="AL840" s="123"/>
      <c r="AM840" s="123"/>
      <c r="AR840" s="123"/>
      <c r="AS840" s="123"/>
      <c r="AU840" s="123"/>
      <c r="AV840" s="123"/>
    </row>
    <row r="841">
      <c r="A841" s="197"/>
      <c r="B841" s="197"/>
      <c r="AB841" s="123"/>
      <c r="AC841" s="123"/>
      <c r="AE841" s="123"/>
      <c r="AF841" s="123"/>
      <c r="AH841" s="123"/>
      <c r="AI841" s="123"/>
      <c r="AL841" s="123"/>
      <c r="AM841" s="123"/>
      <c r="AR841" s="123"/>
      <c r="AS841" s="123"/>
      <c r="AU841" s="123"/>
      <c r="AV841" s="123"/>
    </row>
    <row r="842">
      <c r="A842" s="197"/>
      <c r="B842" s="197"/>
      <c r="AB842" s="123"/>
      <c r="AC842" s="123"/>
      <c r="AE842" s="123"/>
      <c r="AF842" s="123"/>
      <c r="AH842" s="123"/>
      <c r="AI842" s="123"/>
      <c r="AL842" s="123"/>
      <c r="AM842" s="123"/>
      <c r="AR842" s="123"/>
      <c r="AS842" s="123"/>
      <c r="AU842" s="123"/>
      <c r="AV842" s="123"/>
    </row>
    <row r="843">
      <c r="A843" s="197"/>
      <c r="B843" s="197"/>
      <c r="AB843" s="123"/>
      <c r="AC843" s="123"/>
      <c r="AE843" s="123"/>
      <c r="AF843" s="123"/>
      <c r="AH843" s="123"/>
      <c r="AI843" s="123"/>
      <c r="AL843" s="123"/>
      <c r="AM843" s="123"/>
      <c r="AR843" s="123"/>
      <c r="AS843" s="123"/>
      <c r="AU843" s="123"/>
      <c r="AV843" s="123"/>
    </row>
    <row r="844">
      <c r="A844" s="197"/>
      <c r="B844" s="197"/>
      <c r="AB844" s="123"/>
      <c r="AC844" s="123"/>
      <c r="AE844" s="123"/>
      <c r="AF844" s="123"/>
      <c r="AH844" s="123"/>
      <c r="AI844" s="123"/>
      <c r="AL844" s="123"/>
      <c r="AM844" s="123"/>
      <c r="AR844" s="123"/>
      <c r="AS844" s="123"/>
      <c r="AU844" s="123"/>
      <c r="AV844" s="123"/>
    </row>
    <row r="845">
      <c r="A845" s="197"/>
      <c r="B845" s="197"/>
      <c r="AB845" s="123"/>
      <c r="AC845" s="123"/>
      <c r="AE845" s="123"/>
      <c r="AF845" s="123"/>
      <c r="AH845" s="123"/>
      <c r="AI845" s="123"/>
      <c r="AL845" s="123"/>
      <c r="AM845" s="123"/>
      <c r="AR845" s="123"/>
      <c r="AS845" s="123"/>
      <c r="AU845" s="123"/>
      <c r="AV845" s="123"/>
    </row>
    <row r="846">
      <c r="A846" s="197"/>
      <c r="B846" s="197"/>
      <c r="AB846" s="123"/>
      <c r="AC846" s="123"/>
      <c r="AE846" s="123"/>
      <c r="AF846" s="123"/>
      <c r="AH846" s="123"/>
      <c r="AI846" s="123"/>
      <c r="AL846" s="123"/>
      <c r="AM846" s="123"/>
      <c r="AR846" s="123"/>
      <c r="AS846" s="123"/>
      <c r="AU846" s="123"/>
      <c r="AV846" s="123"/>
    </row>
    <row r="847">
      <c r="A847" s="197"/>
      <c r="B847" s="197"/>
      <c r="AB847" s="123"/>
      <c r="AC847" s="123"/>
      <c r="AE847" s="123"/>
      <c r="AF847" s="123"/>
      <c r="AH847" s="123"/>
      <c r="AI847" s="123"/>
      <c r="AL847" s="123"/>
      <c r="AM847" s="123"/>
      <c r="AR847" s="123"/>
      <c r="AS847" s="123"/>
      <c r="AU847" s="123"/>
      <c r="AV847" s="123"/>
    </row>
    <row r="848">
      <c r="A848" s="197"/>
      <c r="B848" s="197"/>
      <c r="AB848" s="123"/>
      <c r="AC848" s="123"/>
      <c r="AE848" s="123"/>
      <c r="AF848" s="123"/>
      <c r="AH848" s="123"/>
      <c r="AI848" s="123"/>
      <c r="AL848" s="123"/>
      <c r="AM848" s="123"/>
      <c r="AR848" s="123"/>
      <c r="AS848" s="123"/>
      <c r="AU848" s="123"/>
      <c r="AV848" s="123"/>
    </row>
    <row r="849">
      <c r="A849" s="197"/>
      <c r="B849" s="197"/>
      <c r="AB849" s="123"/>
      <c r="AC849" s="123"/>
      <c r="AE849" s="123"/>
      <c r="AF849" s="123"/>
      <c r="AH849" s="123"/>
      <c r="AI849" s="123"/>
      <c r="AL849" s="123"/>
      <c r="AM849" s="123"/>
      <c r="AR849" s="123"/>
      <c r="AS849" s="123"/>
      <c r="AU849" s="123"/>
      <c r="AV849" s="123"/>
    </row>
    <row r="850">
      <c r="A850" s="197"/>
      <c r="B850" s="197"/>
      <c r="AB850" s="123"/>
      <c r="AC850" s="123"/>
      <c r="AE850" s="123"/>
      <c r="AF850" s="123"/>
      <c r="AH850" s="123"/>
      <c r="AI850" s="123"/>
      <c r="AL850" s="123"/>
      <c r="AM850" s="123"/>
      <c r="AR850" s="123"/>
      <c r="AS850" s="123"/>
      <c r="AU850" s="123"/>
      <c r="AV850" s="123"/>
    </row>
    <row r="851">
      <c r="A851" s="197"/>
      <c r="B851" s="197"/>
      <c r="AB851" s="123"/>
      <c r="AC851" s="123"/>
      <c r="AE851" s="123"/>
      <c r="AF851" s="123"/>
      <c r="AH851" s="123"/>
      <c r="AI851" s="123"/>
      <c r="AL851" s="123"/>
      <c r="AM851" s="123"/>
      <c r="AR851" s="123"/>
      <c r="AS851" s="123"/>
      <c r="AU851" s="123"/>
      <c r="AV851" s="123"/>
    </row>
    <row r="852">
      <c r="A852" s="197"/>
      <c r="B852" s="197"/>
      <c r="AB852" s="123"/>
      <c r="AC852" s="123"/>
      <c r="AE852" s="123"/>
      <c r="AF852" s="123"/>
      <c r="AH852" s="123"/>
      <c r="AI852" s="123"/>
      <c r="AL852" s="123"/>
      <c r="AM852" s="123"/>
      <c r="AR852" s="123"/>
      <c r="AS852" s="123"/>
      <c r="AU852" s="123"/>
      <c r="AV852" s="123"/>
    </row>
    <row r="853">
      <c r="A853" s="197"/>
      <c r="B853" s="197"/>
      <c r="AB853" s="123"/>
      <c r="AC853" s="123"/>
      <c r="AE853" s="123"/>
      <c r="AF853" s="123"/>
      <c r="AH853" s="123"/>
      <c r="AI853" s="123"/>
      <c r="AL853" s="123"/>
      <c r="AM853" s="123"/>
      <c r="AR853" s="123"/>
      <c r="AS853" s="123"/>
      <c r="AU853" s="123"/>
      <c r="AV853" s="123"/>
    </row>
    <row r="854">
      <c r="A854" s="197"/>
      <c r="B854" s="197"/>
      <c r="AB854" s="123"/>
      <c r="AC854" s="123"/>
      <c r="AE854" s="123"/>
      <c r="AF854" s="123"/>
      <c r="AH854" s="123"/>
      <c r="AI854" s="123"/>
      <c r="AL854" s="123"/>
      <c r="AM854" s="123"/>
      <c r="AR854" s="123"/>
      <c r="AS854" s="123"/>
      <c r="AU854" s="123"/>
      <c r="AV854" s="123"/>
    </row>
    <row r="855">
      <c r="A855" s="197"/>
      <c r="B855" s="197"/>
      <c r="AB855" s="123"/>
      <c r="AC855" s="123"/>
      <c r="AE855" s="123"/>
      <c r="AF855" s="123"/>
      <c r="AH855" s="123"/>
      <c r="AI855" s="123"/>
      <c r="AL855" s="123"/>
      <c r="AM855" s="123"/>
      <c r="AR855" s="123"/>
      <c r="AS855" s="123"/>
      <c r="AU855" s="123"/>
      <c r="AV855" s="123"/>
    </row>
    <row r="856">
      <c r="A856" s="197"/>
      <c r="B856" s="197"/>
      <c r="AB856" s="123"/>
      <c r="AC856" s="123"/>
      <c r="AE856" s="123"/>
      <c r="AF856" s="123"/>
      <c r="AH856" s="123"/>
      <c r="AI856" s="123"/>
      <c r="AL856" s="123"/>
      <c r="AM856" s="123"/>
      <c r="AR856" s="123"/>
      <c r="AS856" s="123"/>
      <c r="AU856" s="123"/>
      <c r="AV856" s="123"/>
    </row>
    <row r="857">
      <c r="A857" s="197"/>
      <c r="B857" s="197"/>
      <c r="AB857" s="123"/>
      <c r="AC857" s="123"/>
      <c r="AE857" s="123"/>
      <c r="AF857" s="123"/>
      <c r="AH857" s="123"/>
      <c r="AI857" s="123"/>
      <c r="AL857" s="123"/>
      <c r="AM857" s="123"/>
      <c r="AR857" s="123"/>
      <c r="AS857" s="123"/>
      <c r="AU857" s="123"/>
      <c r="AV857" s="123"/>
    </row>
    <row r="858">
      <c r="A858" s="197"/>
      <c r="B858" s="197"/>
      <c r="AB858" s="123"/>
      <c r="AC858" s="123"/>
      <c r="AE858" s="123"/>
      <c r="AF858" s="123"/>
      <c r="AH858" s="123"/>
      <c r="AI858" s="123"/>
      <c r="AL858" s="123"/>
      <c r="AM858" s="123"/>
      <c r="AR858" s="123"/>
      <c r="AS858" s="123"/>
      <c r="AU858" s="123"/>
      <c r="AV858" s="123"/>
    </row>
    <row r="859">
      <c r="A859" s="197"/>
      <c r="B859" s="197"/>
      <c r="AB859" s="123"/>
      <c r="AC859" s="123"/>
      <c r="AE859" s="123"/>
      <c r="AF859" s="123"/>
      <c r="AH859" s="123"/>
      <c r="AI859" s="123"/>
      <c r="AL859" s="123"/>
      <c r="AM859" s="123"/>
      <c r="AR859" s="123"/>
      <c r="AS859" s="123"/>
      <c r="AU859" s="123"/>
      <c r="AV859" s="123"/>
    </row>
    <row r="860">
      <c r="A860" s="197"/>
      <c r="B860" s="197"/>
      <c r="AB860" s="123"/>
      <c r="AC860" s="123"/>
      <c r="AE860" s="123"/>
      <c r="AF860" s="123"/>
      <c r="AH860" s="123"/>
      <c r="AI860" s="123"/>
      <c r="AL860" s="123"/>
      <c r="AM860" s="123"/>
      <c r="AR860" s="123"/>
      <c r="AS860" s="123"/>
      <c r="AU860" s="123"/>
      <c r="AV860" s="123"/>
    </row>
    <row r="861">
      <c r="A861" s="197"/>
      <c r="B861" s="197"/>
      <c r="AB861" s="123"/>
      <c r="AC861" s="123"/>
      <c r="AE861" s="123"/>
      <c r="AF861" s="123"/>
      <c r="AH861" s="123"/>
      <c r="AI861" s="123"/>
      <c r="AL861" s="123"/>
      <c r="AM861" s="123"/>
      <c r="AR861" s="123"/>
      <c r="AS861" s="123"/>
      <c r="AU861" s="123"/>
      <c r="AV861" s="123"/>
    </row>
    <row r="862">
      <c r="A862" s="197"/>
      <c r="B862" s="197"/>
      <c r="AB862" s="123"/>
      <c r="AC862" s="123"/>
      <c r="AE862" s="123"/>
      <c r="AF862" s="123"/>
      <c r="AH862" s="123"/>
      <c r="AI862" s="123"/>
      <c r="AL862" s="123"/>
      <c r="AM862" s="123"/>
      <c r="AR862" s="123"/>
      <c r="AS862" s="123"/>
      <c r="AU862" s="123"/>
      <c r="AV862" s="123"/>
    </row>
    <row r="863">
      <c r="A863" s="197"/>
      <c r="B863" s="197"/>
      <c r="AB863" s="123"/>
      <c r="AC863" s="123"/>
      <c r="AE863" s="123"/>
      <c r="AF863" s="123"/>
      <c r="AH863" s="123"/>
      <c r="AI863" s="123"/>
      <c r="AL863" s="123"/>
      <c r="AM863" s="123"/>
      <c r="AR863" s="123"/>
      <c r="AS863" s="123"/>
      <c r="AU863" s="123"/>
      <c r="AV863" s="123"/>
    </row>
    <row r="864">
      <c r="A864" s="197"/>
      <c r="B864" s="197"/>
      <c r="AB864" s="123"/>
      <c r="AC864" s="123"/>
      <c r="AE864" s="123"/>
      <c r="AF864" s="123"/>
      <c r="AH864" s="123"/>
      <c r="AI864" s="123"/>
      <c r="AL864" s="123"/>
      <c r="AM864" s="123"/>
      <c r="AR864" s="123"/>
      <c r="AS864" s="123"/>
      <c r="AU864" s="123"/>
      <c r="AV864" s="123"/>
    </row>
    <row r="865">
      <c r="A865" s="197"/>
      <c r="B865" s="197"/>
      <c r="AB865" s="123"/>
      <c r="AC865" s="123"/>
      <c r="AE865" s="123"/>
      <c r="AF865" s="123"/>
      <c r="AH865" s="123"/>
      <c r="AI865" s="123"/>
      <c r="AL865" s="123"/>
      <c r="AM865" s="123"/>
      <c r="AR865" s="123"/>
      <c r="AS865" s="123"/>
      <c r="AU865" s="123"/>
      <c r="AV865" s="123"/>
    </row>
    <row r="866">
      <c r="A866" s="197"/>
      <c r="B866" s="197"/>
      <c r="AB866" s="123"/>
      <c r="AC866" s="123"/>
      <c r="AE866" s="123"/>
      <c r="AF866" s="123"/>
      <c r="AH866" s="123"/>
      <c r="AI866" s="123"/>
      <c r="AL866" s="123"/>
      <c r="AM866" s="123"/>
      <c r="AR866" s="123"/>
      <c r="AS866" s="123"/>
      <c r="AU866" s="123"/>
      <c r="AV866" s="123"/>
    </row>
    <row r="867">
      <c r="A867" s="197"/>
      <c r="B867" s="197"/>
      <c r="AB867" s="123"/>
      <c r="AC867" s="123"/>
      <c r="AE867" s="123"/>
      <c r="AF867" s="123"/>
      <c r="AH867" s="123"/>
      <c r="AI867" s="123"/>
      <c r="AL867" s="123"/>
      <c r="AM867" s="123"/>
      <c r="AR867" s="123"/>
      <c r="AS867" s="123"/>
      <c r="AU867" s="123"/>
      <c r="AV867" s="123"/>
    </row>
    <row r="868">
      <c r="A868" s="197"/>
      <c r="B868" s="197"/>
      <c r="AB868" s="123"/>
      <c r="AC868" s="123"/>
      <c r="AE868" s="123"/>
      <c r="AF868" s="123"/>
      <c r="AH868" s="123"/>
      <c r="AI868" s="123"/>
      <c r="AL868" s="123"/>
      <c r="AM868" s="123"/>
      <c r="AR868" s="123"/>
      <c r="AS868" s="123"/>
      <c r="AU868" s="123"/>
      <c r="AV868" s="123"/>
    </row>
    <row r="869">
      <c r="A869" s="197"/>
      <c r="B869" s="197"/>
      <c r="AB869" s="123"/>
      <c r="AC869" s="123"/>
      <c r="AE869" s="123"/>
      <c r="AF869" s="123"/>
      <c r="AH869" s="123"/>
      <c r="AI869" s="123"/>
      <c r="AL869" s="123"/>
      <c r="AM869" s="123"/>
      <c r="AR869" s="123"/>
      <c r="AS869" s="123"/>
      <c r="AU869" s="123"/>
      <c r="AV869" s="123"/>
    </row>
    <row r="870">
      <c r="A870" s="197"/>
      <c r="B870" s="197"/>
      <c r="AB870" s="123"/>
      <c r="AC870" s="123"/>
      <c r="AE870" s="123"/>
      <c r="AF870" s="123"/>
      <c r="AH870" s="123"/>
      <c r="AI870" s="123"/>
      <c r="AL870" s="123"/>
      <c r="AM870" s="123"/>
      <c r="AR870" s="123"/>
      <c r="AS870" s="123"/>
      <c r="AU870" s="123"/>
      <c r="AV870" s="123"/>
    </row>
    <row r="871">
      <c r="A871" s="197"/>
      <c r="B871" s="197"/>
      <c r="AB871" s="123"/>
      <c r="AC871" s="123"/>
      <c r="AE871" s="123"/>
      <c r="AF871" s="123"/>
      <c r="AH871" s="123"/>
      <c r="AI871" s="123"/>
      <c r="AL871" s="123"/>
      <c r="AM871" s="123"/>
      <c r="AR871" s="123"/>
      <c r="AS871" s="123"/>
      <c r="AU871" s="123"/>
      <c r="AV871" s="123"/>
    </row>
    <row r="872">
      <c r="A872" s="197"/>
      <c r="B872" s="197"/>
      <c r="AB872" s="123"/>
      <c r="AC872" s="123"/>
      <c r="AE872" s="123"/>
      <c r="AF872" s="123"/>
      <c r="AH872" s="123"/>
      <c r="AI872" s="123"/>
      <c r="AL872" s="123"/>
      <c r="AM872" s="123"/>
      <c r="AR872" s="123"/>
      <c r="AS872" s="123"/>
      <c r="AU872" s="123"/>
      <c r="AV872" s="123"/>
    </row>
    <row r="873">
      <c r="A873" s="197"/>
      <c r="B873" s="197"/>
      <c r="AB873" s="123"/>
      <c r="AC873" s="123"/>
      <c r="AE873" s="123"/>
      <c r="AF873" s="123"/>
      <c r="AH873" s="123"/>
      <c r="AI873" s="123"/>
      <c r="AL873" s="123"/>
      <c r="AM873" s="123"/>
      <c r="AR873" s="123"/>
      <c r="AS873" s="123"/>
      <c r="AU873" s="123"/>
      <c r="AV873" s="123"/>
    </row>
    <row r="874">
      <c r="A874" s="197"/>
      <c r="B874" s="197"/>
      <c r="AB874" s="123"/>
      <c r="AC874" s="123"/>
      <c r="AE874" s="123"/>
      <c r="AF874" s="123"/>
      <c r="AH874" s="123"/>
      <c r="AI874" s="123"/>
      <c r="AL874" s="123"/>
      <c r="AM874" s="123"/>
      <c r="AR874" s="123"/>
      <c r="AS874" s="123"/>
      <c r="AU874" s="123"/>
      <c r="AV874" s="123"/>
    </row>
    <row r="875">
      <c r="A875" s="197"/>
      <c r="B875" s="197"/>
      <c r="AB875" s="123"/>
      <c r="AC875" s="123"/>
      <c r="AE875" s="123"/>
      <c r="AF875" s="123"/>
      <c r="AH875" s="123"/>
      <c r="AI875" s="123"/>
      <c r="AL875" s="123"/>
      <c r="AM875" s="123"/>
      <c r="AR875" s="123"/>
      <c r="AS875" s="123"/>
      <c r="AU875" s="123"/>
      <c r="AV875" s="123"/>
    </row>
    <row r="876">
      <c r="A876" s="197"/>
      <c r="B876" s="197"/>
      <c r="AB876" s="123"/>
      <c r="AC876" s="123"/>
      <c r="AE876" s="123"/>
      <c r="AF876" s="123"/>
      <c r="AH876" s="123"/>
      <c r="AI876" s="123"/>
      <c r="AL876" s="123"/>
      <c r="AM876" s="123"/>
      <c r="AR876" s="123"/>
      <c r="AS876" s="123"/>
      <c r="AU876" s="123"/>
      <c r="AV876" s="123"/>
    </row>
    <row r="877">
      <c r="A877" s="197"/>
      <c r="B877" s="197"/>
      <c r="AB877" s="123"/>
      <c r="AC877" s="123"/>
      <c r="AE877" s="123"/>
      <c r="AF877" s="123"/>
      <c r="AH877" s="123"/>
      <c r="AI877" s="123"/>
      <c r="AL877" s="123"/>
      <c r="AM877" s="123"/>
      <c r="AR877" s="123"/>
      <c r="AS877" s="123"/>
      <c r="AU877" s="123"/>
      <c r="AV877" s="123"/>
    </row>
    <row r="878">
      <c r="A878" s="197"/>
      <c r="B878" s="197"/>
      <c r="AB878" s="123"/>
      <c r="AC878" s="123"/>
      <c r="AE878" s="123"/>
      <c r="AF878" s="123"/>
      <c r="AH878" s="123"/>
      <c r="AI878" s="123"/>
      <c r="AL878" s="123"/>
      <c r="AM878" s="123"/>
      <c r="AR878" s="123"/>
      <c r="AS878" s="123"/>
      <c r="AU878" s="123"/>
      <c r="AV878" s="123"/>
    </row>
    <row r="879">
      <c r="A879" s="197"/>
      <c r="B879" s="197"/>
      <c r="AB879" s="123"/>
      <c r="AC879" s="123"/>
      <c r="AE879" s="123"/>
      <c r="AF879" s="123"/>
      <c r="AH879" s="123"/>
      <c r="AI879" s="123"/>
      <c r="AL879" s="123"/>
      <c r="AM879" s="123"/>
      <c r="AR879" s="123"/>
      <c r="AS879" s="123"/>
      <c r="AU879" s="123"/>
      <c r="AV879" s="123"/>
    </row>
    <row r="880">
      <c r="A880" s="197"/>
      <c r="B880" s="197"/>
      <c r="AB880" s="123"/>
      <c r="AC880" s="123"/>
      <c r="AE880" s="123"/>
      <c r="AF880" s="123"/>
      <c r="AH880" s="123"/>
      <c r="AI880" s="123"/>
      <c r="AL880" s="123"/>
      <c r="AM880" s="123"/>
      <c r="AR880" s="123"/>
      <c r="AS880" s="123"/>
      <c r="AU880" s="123"/>
      <c r="AV880" s="123"/>
    </row>
    <row r="881">
      <c r="A881" s="197"/>
      <c r="B881" s="197"/>
      <c r="AB881" s="123"/>
      <c r="AC881" s="123"/>
      <c r="AE881" s="123"/>
      <c r="AF881" s="123"/>
      <c r="AH881" s="123"/>
      <c r="AI881" s="123"/>
      <c r="AL881" s="123"/>
      <c r="AM881" s="123"/>
      <c r="AR881" s="123"/>
      <c r="AS881" s="123"/>
      <c r="AU881" s="123"/>
      <c r="AV881" s="123"/>
    </row>
    <row r="882">
      <c r="A882" s="197"/>
      <c r="B882" s="197"/>
      <c r="AB882" s="123"/>
      <c r="AC882" s="123"/>
      <c r="AE882" s="123"/>
      <c r="AF882" s="123"/>
      <c r="AH882" s="123"/>
      <c r="AI882" s="123"/>
      <c r="AL882" s="123"/>
      <c r="AM882" s="123"/>
      <c r="AR882" s="123"/>
      <c r="AS882" s="123"/>
      <c r="AU882" s="123"/>
      <c r="AV882" s="123"/>
    </row>
    <row r="883">
      <c r="A883" s="197"/>
      <c r="B883" s="197"/>
      <c r="AB883" s="123"/>
      <c r="AC883" s="123"/>
      <c r="AE883" s="123"/>
      <c r="AF883" s="123"/>
      <c r="AH883" s="123"/>
      <c r="AI883" s="123"/>
      <c r="AL883" s="123"/>
      <c r="AM883" s="123"/>
      <c r="AR883" s="123"/>
      <c r="AS883" s="123"/>
      <c r="AU883" s="123"/>
      <c r="AV883" s="123"/>
    </row>
    <row r="884">
      <c r="A884" s="197"/>
      <c r="B884" s="197"/>
      <c r="AB884" s="123"/>
      <c r="AC884" s="123"/>
      <c r="AE884" s="123"/>
      <c r="AF884" s="123"/>
      <c r="AH884" s="123"/>
      <c r="AI884" s="123"/>
      <c r="AL884" s="123"/>
      <c r="AM884" s="123"/>
      <c r="AR884" s="123"/>
      <c r="AS884" s="123"/>
      <c r="AU884" s="123"/>
      <c r="AV884" s="123"/>
    </row>
    <row r="885">
      <c r="A885" s="197"/>
      <c r="B885" s="197"/>
      <c r="AB885" s="123"/>
      <c r="AC885" s="123"/>
      <c r="AE885" s="123"/>
      <c r="AF885" s="123"/>
      <c r="AH885" s="123"/>
      <c r="AI885" s="123"/>
      <c r="AL885" s="123"/>
      <c r="AM885" s="123"/>
      <c r="AR885" s="123"/>
      <c r="AS885" s="123"/>
      <c r="AU885" s="123"/>
      <c r="AV885" s="123"/>
    </row>
    <row r="886">
      <c r="A886" s="197"/>
      <c r="B886" s="197"/>
      <c r="AB886" s="123"/>
      <c r="AC886" s="123"/>
      <c r="AE886" s="123"/>
      <c r="AF886" s="123"/>
      <c r="AH886" s="123"/>
      <c r="AI886" s="123"/>
      <c r="AL886" s="123"/>
      <c r="AM886" s="123"/>
      <c r="AR886" s="123"/>
      <c r="AS886" s="123"/>
      <c r="AU886" s="123"/>
      <c r="AV886" s="123"/>
    </row>
    <row r="887">
      <c r="A887" s="197"/>
      <c r="B887" s="197"/>
      <c r="AB887" s="123"/>
      <c r="AC887" s="123"/>
      <c r="AE887" s="123"/>
      <c r="AF887" s="123"/>
      <c r="AH887" s="123"/>
      <c r="AI887" s="123"/>
      <c r="AL887" s="123"/>
      <c r="AM887" s="123"/>
      <c r="AR887" s="123"/>
      <c r="AS887" s="123"/>
      <c r="AU887" s="123"/>
      <c r="AV887" s="123"/>
    </row>
    <row r="888">
      <c r="A888" s="197"/>
      <c r="B888" s="197"/>
      <c r="AB888" s="123"/>
      <c r="AC888" s="123"/>
      <c r="AE888" s="123"/>
      <c r="AF888" s="123"/>
      <c r="AH888" s="123"/>
      <c r="AI888" s="123"/>
      <c r="AL888" s="123"/>
      <c r="AM888" s="123"/>
      <c r="AR888" s="123"/>
      <c r="AS888" s="123"/>
      <c r="AU888" s="123"/>
      <c r="AV888" s="123"/>
    </row>
    <row r="889">
      <c r="A889" s="197"/>
      <c r="B889" s="197"/>
      <c r="AB889" s="123"/>
      <c r="AC889" s="123"/>
      <c r="AE889" s="123"/>
      <c r="AF889" s="123"/>
      <c r="AH889" s="123"/>
      <c r="AI889" s="123"/>
      <c r="AL889" s="123"/>
      <c r="AM889" s="123"/>
      <c r="AR889" s="123"/>
      <c r="AS889" s="123"/>
      <c r="AU889" s="123"/>
      <c r="AV889" s="123"/>
    </row>
    <row r="890">
      <c r="A890" s="197"/>
      <c r="B890" s="197"/>
      <c r="AB890" s="123"/>
      <c r="AC890" s="123"/>
      <c r="AE890" s="123"/>
      <c r="AF890" s="123"/>
      <c r="AH890" s="123"/>
      <c r="AI890" s="123"/>
      <c r="AL890" s="123"/>
      <c r="AM890" s="123"/>
      <c r="AR890" s="123"/>
      <c r="AS890" s="123"/>
      <c r="AU890" s="123"/>
      <c r="AV890" s="123"/>
    </row>
    <row r="891">
      <c r="A891" s="197"/>
      <c r="B891" s="197"/>
      <c r="AB891" s="123"/>
      <c r="AC891" s="123"/>
      <c r="AE891" s="123"/>
      <c r="AF891" s="123"/>
      <c r="AH891" s="123"/>
      <c r="AI891" s="123"/>
      <c r="AL891" s="123"/>
      <c r="AM891" s="123"/>
      <c r="AR891" s="123"/>
      <c r="AS891" s="123"/>
      <c r="AU891" s="123"/>
      <c r="AV891" s="123"/>
    </row>
    <row r="892">
      <c r="A892" s="197"/>
      <c r="B892" s="197"/>
      <c r="AB892" s="123"/>
      <c r="AC892" s="123"/>
      <c r="AE892" s="123"/>
      <c r="AF892" s="123"/>
      <c r="AH892" s="123"/>
      <c r="AI892" s="123"/>
      <c r="AL892" s="123"/>
      <c r="AM892" s="123"/>
      <c r="AR892" s="123"/>
      <c r="AS892" s="123"/>
      <c r="AU892" s="123"/>
      <c r="AV892" s="123"/>
    </row>
    <row r="893">
      <c r="A893" s="197"/>
      <c r="B893" s="197"/>
      <c r="AB893" s="123"/>
      <c r="AC893" s="123"/>
      <c r="AE893" s="123"/>
      <c r="AF893" s="123"/>
      <c r="AH893" s="123"/>
      <c r="AI893" s="123"/>
      <c r="AL893" s="123"/>
      <c r="AM893" s="123"/>
      <c r="AR893" s="123"/>
      <c r="AS893" s="123"/>
      <c r="AU893" s="123"/>
      <c r="AV893" s="123"/>
    </row>
    <row r="894">
      <c r="A894" s="197"/>
      <c r="B894" s="197"/>
      <c r="AB894" s="123"/>
      <c r="AC894" s="123"/>
      <c r="AE894" s="123"/>
      <c r="AF894" s="123"/>
      <c r="AH894" s="123"/>
      <c r="AI894" s="123"/>
      <c r="AL894" s="123"/>
      <c r="AM894" s="123"/>
      <c r="AR894" s="123"/>
      <c r="AS894" s="123"/>
      <c r="AU894" s="123"/>
      <c r="AV894" s="123"/>
    </row>
    <row r="895">
      <c r="A895" s="197"/>
      <c r="B895" s="197"/>
      <c r="AB895" s="123"/>
      <c r="AC895" s="123"/>
      <c r="AE895" s="123"/>
      <c r="AF895" s="123"/>
      <c r="AH895" s="123"/>
      <c r="AI895" s="123"/>
      <c r="AL895" s="123"/>
      <c r="AM895" s="123"/>
      <c r="AR895" s="123"/>
      <c r="AS895" s="123"/>
      <c r="AU895" s="123"/>
      <c r="AV895" s="123"/>
    </row>
    <row r="896">
      <c r="A896" s="197"/>
      <c r="B896" s="197"/>
      <c r="AB896" s="123"/>
      <c r="AC896" s="123"/>
      <c r="AE896" s="123"/>
      <c r="AF896" s="123"/>
      <c r="AH896" s="123"/>
      <c r="AI896" s="123"/>
      <c r="AL896" s="123"/>
      <c r="AM896" s="123"/>
      <c r="AR896" s="123"/>
      <c r="AS896" s="123"/>
      <c r="AU896" s="123"/>
      <c r="AV896" s="123"/>
    </row>
    <row r="897">
      <c r="A897" s="197"/>
      <c r="B897" s="197"/>
      <c r="AB897" s="123"/>
      <c r="AC897" s="123"/>
      <c r="AE897" s="123"/>
      <c r="AF897" s="123"/>
      <c r="AH897" s="123"/>
      <c r="AI897" s="123"/>
      <c r="AL897" s="123"/>
      <c r="AM897" s="123"/>
      <c r="AR897" s="123"/>
      <c r="AS897" s="123"/>
      <c r="AU897" s="123"/>
      <c r="AV897" s="123"/>
    </row>
    <row r="898">
      <c r="A898" s="197"/>
      <c r="B898" s="197"/>
      <c r="AB898" s="123"/>
      <c r="AC898" s="123"/>
      <c r="AE898" s="123"/>
      <c r="AF898" s="123"/>
      <c r="AH898" s="123"/>
      <c r="AI898" s="123"/>
      <c r="AL898" s="123"/>
      <c r="AM898" s="123"/>
      <c r="AR898" s="123"/>
      <c r="AS898" s="123"/>
      <c r="AU898" s="123"/>
      <c r="AV898" s="123"/>
    </row>
    <row r="899">
      <c r="A899" s="197"/>
      <c r="B899" s="197"/>
      <c r="AB899" s="123"/>
      <c r="AC899" s="123"/>
      <c r="AE899" s="123"/>
      <c r="AF899" s="123"/>
      <c r="AH899" s="123"/>
      <c r="AI899" s="123"/>
      <c r="AL899" s="123"/>
      <c r="AM899" s="123"/>
      <c r="AR899" s="123"/>
      <c r="AS899" s="123"/>
      <c r="AU899" s="123"/>
      <c r="AV899" s="123"/>
    </row>
    <row r="900">
      <c r="A900" s="197"/>
      <c r="B900" s="197"/>
      <c r="AB900" s="123"/>
      <c r="AC900" s="123"/>
      <c r="AE900" s="123"/>
      <c r="AF900" s="123"/>
      <c r="AH900" s="123"/>
      <c r="AI900" s="123"/>
      <c r="AL900" s="123"/>
      <c r="AM900" s="123"/>
      <c r="AR900" s="123"/>
      <c r="AS900" s="123"/>
      <c r="AU900" s="123"/>
      <c r="AV900" s="123"/>
    </row>
    <row r="901">
      <c r="A901" s="197"/>
      <c r="B901" s="197"/>
      <c r="AB901" s="123"/>
      <c r="AC901" s="123"/>
      <c r="AE901" s="123"/>
      <c r="AF901" s="123"/>
      <c r="AH901" s="123"/>
      <c r="AI901" s="123"/>
      <c r="AL901" s="123"/>
      <c r="AM901" s="123"/>
      <c r="AR901" s="123"/>
      <c r="AS901" s="123"/>
      <c r="AU901" s="123"/>
      <c r="AV901" s="123"/>
    </row>
    <row r="902">
      <c r="A902" s="197"/>
      <c r="B902" s="197"/>
      <c r="AB902" s="123"/>
      <c r="AC902" s="123"/>
      <c r="AE902" s="123"/>
      <c r="AF902" s="123"/>
      <c r="AH902" s="123"/>
      <c r="AI902" s="123"/>
      <c r="AL902" s="123"/>
      <c r="AM902" s="123"/>
      <c r="AR902" s="123"/>
      <c r="AS902" s="123"/>
      <c r="AU902" s="123"/>
      <c r="AV902" s="123"/>
    </row>
    <row r="903">
      <c r="A903" s="197"/>
      <c r="B903" s="197"/>
      <c r="AB903" s="123"/>
      <c r="AC903" s="123"/>
      <c r="AE903" s="123"/>
      <c r="AF903" s="123"/>
      <c r="AH903" s="123"/>
      <c r="AI903" s="123"/>
      <c r="AL903" s="123"/>
      <c r="AM903" s="123"/>
      <c r="AR903" s="123"/>
      <c r="AS903" s="123"/>
      <c r="AU903" s="123"/>
      <c r="AV903" s="123"/>
    </row>
    <row r="904">
      <c r="A904" s="197"/>
      <c r="B904" s="197"/>
      <c r="AB904" s="123"/>
      <c r="AC904" s="123"/>
      <c r="AE904" s="123"/>
      <c r="AF904" s="123"/>
      <c r="AH904" s="123"/>
      <c r="AI904" s="123"/>
      <c r="AL904" s="123"/>
      <c r="AM904" s="123"/>
      <c r="AR904" s="123"/>
      <c r="AS904" s="123"/>
      <c r="AU904" s="123"/>
      <c r="AV904" s="123"/>
    </row>
    <row r="905">
      <c r="A905" s="197"/>
      <c r="B905" s="197"/>
      <c r="AB905" s="123"/>
      <c r="AC905" s="123"/>
      <c r="AE905" s="123"/>
      <c r="AF905" s="123"/>
      <c r="AH905" s="123"/>
      <c r="AI905" s="123"/>
      <c r="AL905" s="123"/>
      <c r="AM905" s="123"/>
      <c r="AR905" s="123"/>
      <c r="AS905" s="123"/>
      <c r="AU905" s="123"/>
      <c r="AV905" s="123"/>
    </row>
    <row r="906">
      <c r="A906" s="197"/>
      <c r="B906" s="197"/>
      <c r="AB906" s="123"/>
      <c r="AC906" s="123"/>
      <c r="AE906" s="123"/>
      <c r="AF906" s="123"/>
      <c r="AH906" s="123"/>
      <c r="AI906" s="123"/>
      <c r="AL906" s="123"/>
      <c r="AM906" s="123"/>
      <c r="AR906" s="123"/>
      <c r="AS906" s="123"/>
      <c r="AU906" s="123"/>
      <c r="AV906" s="123"/>
    </row>
    <row r="907">
      <c r="A907" s="197"/>
      <c r="B907" s="197"/>
      <c r="AB907" s="123"/>
      <c r="AC907" s="123"/>
      <c r="AE907" s="123"/>
      <c r="AF907" s="123"/>
      <c r="AH907" s="123"/>
      <c r="AI907" s="123"/>
      <c r="AL907" s="123"/>
      <c r="AM907" s="123"/>
      <c r="AR907" s="123"/>
      <c r="AS907" s="123"/>
      <c r="AU907" s="123"/>
      <c r="AV907" s="123"/>
    </row>
    <row r="908">
      <c r="A908" s="197"/>
      <c r="B908" s="197"/>
      <c r="AB908" s="123"/>
      <c r="AC908" s="123"/>
      <c r="AE908" s="123"/>
      <c r="AF908" s="123"/>
      <c r="AH908" s="123"/>
      <c r="AI908" s="123"/>
      <c r="AL908" s="123"/>
      <c r="AM908" s="123"/>
      <c r="AR908" s="123"/>
      <c r="AS908" s="123"/>
      <c r="AU908" s="123"/>
      <c r="AV908" s="123"/>
    </row>
    <row r="909">
      <c r="A909" s="197"/>
      <c r="B909" s="197"/>
      <c r="AB909" s="123"/>
      <c r="AC909" s="123"/>
      <c r="AE909" s="123"/>
      <c r="AF909" s="123"/>
      <c r="AH909" s="123"/>
      <c r="AI909" s="123"/>
      <c r="AL909" s="123"/>
      <c r="AM909" s="123"/>
      <c r="AR909" s="123"/>
      <c r="AS909" s="123"/>
      <c r="AU909" s="123"/>
      <c r="AV909" s="123"/>
    </row>
    <row r="910">
      <c r="A910" s="197"/>
      <c r="B910" s="197"/>
      <c r="AB910" s="123"/>
      <c r="AC910" s="123"/>
      <c r="AE910" s="123"/>
      <c r="AF910" s="123"/>
      <c r="AH910" s="123"/>
      <c r="AI910" s="123"/>
      <c r="AL910" s="123"/>
      <c r="AM910" s="123"/>
      <c r="AR910" s="123"/>
      <c r="AS910" s="123"/>
      <c r="AU910" s="123"/>
      <c r="AV910" s="123"/>
    </row>
    <row r="911">
      <c r="A911" s="197"/>
      <c r="B911" s="197"/>
      <c r="AB911" s="123"/>
      <c r="AC911" s="123"/>
      <c r="AE911" s="123"/>
      <c r="AF911" s="123"/>
      <c r="AH911" s="123"/>
      <c r="AI911" s="123"/>
      <c r="AL911" s="123"/>
      <c r="AM911" s="123"/>
      <c r="AR911" s="123"/>
      <c r="AS911" s="123"/>
      <c r="AU911" s="123"/>
      <c r="AV911" s="123"/>
    </row>
    <row r="912">
      <c r="A912" s="197"/>
      <c r="B912" s="197"/>
      <c r="AB912" s="123"/>
      <c r="AC912" s="123"/>
      <c r="AE912" s="123"/>
      <c r="AF912" s="123"/>
      <c r="AH912" s="123"/>
      <c r="AI912" s="123"/>
      <c r="AL912" s="123"/>
      <c r="AM912" s="123"/>
      <c r="AR912" s="123"/>
      <c r="AS912" s="123"/>
      <c r="AU912" s="123"/>
      <c r="AV912" s="123"/>
    </row>
    <row r="913">
      <c r="A913" s="197"/>
      <c r="B913" s="197"/>
      <c r="AB913" s="123"/>
      <c r="AC913" s="123"/>
      <c r="AE913" s="123"/>
      <c r="AF913" s="123"/>
      <c r="AH913" s="123"/>
      <c r="AI913" s="123"/>
      <c r="AL913" s="123"/>
      <c r="AM913" s="123"/>
      <c r="AR913" s="123"/>
      <c r="AS913" s="123"/>
      <c r="AU913" s="123"/>
      <c r="AV913" s="123"/>
    </row>
    <row r="914">
      <c r="A914" s="197"/>
      <c r="B914" s="197"/>
      <c r="AB914" s="123"/>
      <c r="AC914" s="123"/>
      <c r="AE914" s="123"/>
      <c r="AF914" s="123"/>
      <c r="AH914" s="123"/>
      <c r="AI914" s="123"/>
      <c r="AL914" s="123"/>
      <c r="AM914" s="123"/>
      <c r="AR914" s="123"/>
      <c r="AS914" s="123"/>
      <c r="AU914" s="123"/>
      <c r="AV914" s="123"/>
    </row>
    <row r="915">
      <c r="A915" s="197"/>
      <c r="B915" s="197"/>
      <c r="AB915" s="123"/>
      <c r="AC915" s="123"/>
      <c r="AE915" s="123"/>
      <c r="AF915" s="123"/>
      <c r="AH915" s="123"/>
      <c r="AI915" s="123"/>
      <c r="AL915" s="123"/>
      <c r="AM915" s="123"/>
      <c r="AR915" s="123"/>
      <c r="AS915" s="123"/>
      <c r="AU915" s="123"/>
      <c r="AV915" s="123"/>
    </row>
    <row r="916">
      <c r="A916" s="197"/>
      <c r="B916" s="197"/>
      <c r="AB916" s="123"/>
      <c r="AC916" s="123"/>
      <c r="AE916" s="123"/>
      <c r="AF916" s="123"/>
      <c r="AH916" s="123"/>
      <c r="AI916" s="123"/>
      <c r="AL916" s="123"/>
      <c r="AM916" s="123"/>
      <c r="AR916" s="123"/>
      <c r="AS916" s="123"/>
      <c r="AU916" s="123"/>
      <c r="AV916" s="123"/>
    </row>
    <row r="917">
      <c r="A917" s="197"/>
      <c r="B917" s="197"/>
      <c r="AB917" s="123"/>
      <c r="AC917" s="123"/>
      <c r="AE917" s="123"/>
      <c r="AF917" s="123"/>
      <c r="AH917" s="123"/>
      <c r="AI917" s="123"/>
      <c r="AL917" s="123"/>
      <c r="AM917" s="123"/>
      <c r="AR917" s="123"/>
      <c r="AS917" s="123"/>
      <c r="AU917" s="123"/>
      <c r="AV917" s="123"/>
    </row>
    <row r="918">
      <c r="A918" s="197"/>
      <c r="B918" s="197"/>
      <c r="AB918" s="123"/>
      <c r="AC918" s="123"/>
      <c r="AE918" s="123"/>
      <c r="AF918" s="123"/>
      <c r="AH918" s="123"/>
      <c r="AI918" s="123"/>
      <c r="AL918" s="123"/>
      <c r="AM918" s="123"/>
      <c r="AR918" s="123"/>
      <c r="AS918" s="123"/>
      <c r="AU918" s="123"/>
      <c r="AV918" s="123"/>
    </row>
    <row r="919">
      <c r="A919" s="197"/>
      <c r="B919" s="197"/>
      <c r="AB919" s="123"/>
      <c r="AC919" s="123"/>
      <c r="AE919" s="123"/>
      <c r="AF919" s="123"/>
      <c r="AH919" s="123"/>
      <c r="AI919" s="123"/>
      <c r="AL919" s="123"/>
      <c r="AM919" s="123"/>
      <c r="AR919" s="123"/>
      <c r="AS919" s="123"/>
      <c r="AU919" s="123"/>
      <c r="AV919" s="123"/>
    </row>
    <row r="920">
      <c r="A920" s="197"/>
      <c r="B920" s="197"/>
      <c r="AB920" s="123"/>
      <c r="AC920" s="123"/>
      <c r="AE920" s="123"/>
      <c r="AF920" s="123"/>
      <c r="AH920" s="123"/>
      <c r="AI920" s="123"/>
      <c r="AL920" s="123"/>
      <c r="AM920" s="123"/>
      <c r="AR920" s="123"/>
      <c r="AS920" s="123"/>
      <c r="AU920" s="123"/>
      <c r="AV920" s="123"/>
    </row>
    <row r="921">
      <c r="A921" s="197"/>
      <c r="B921" s="197"/>
      <c r="AB921" s="123"/>
      <c r="AC921" s="123"/>
      <c r="AE921" s="123"/>
      <c r="AF921" s="123"/>
      <c r="AH921" s="123"/>
      <c r="AI921" s="123"/>
      <c r="AL921" s="123"/>
      <c r="AM921" s="123"/>
      <c r="AR921" s="123"/>
      <c r="AS921" s="123"/>
      <c r="AU921" s="123"/>
      <c r="AV921" s="123"/>
    </row>
    <row r="922">
      <c r="A922" s="197"/>
      <c r="B922" s="197"/>
      <c r="AB922" s="123"/>
      <c r="AC922" s="123"/>
      <c r="AE922" s="123"/>
      <c r="AF922" s="123"/>
      <c r="AH922" s="123"/>
      <c r="AI922" s="123"/>
      <c r="AL922" s="123"/>
      <c r="AM922" s="123"/>
      <c r="AR922" s="123"/>
      <c r="AS922" s="123"/>
      <c r="AU922" s="123"/>
      <c r="AV922" s="123"/>
    </row>
    <row r="923">
      <c r="A923" s="197"/>
      <c r="B923" s="197"/>
      <c r="AB923" s="123"/>
      <c r="AC923" s="123"/>
      <c r="AE923" s="123"/>
      <c r="AF923" s="123"/>
      <c r="AH923" s="123"/>
      <c r="AI923" s="123"/>
      <c r="AL923" s="123"/>
      <c r="AM923" s="123"/>
      <c r="AR923" s="123"/>
      <c r="AS923" s="123"/>
      <c r="AU923" s="123"/>
      <c r="AV923" s="123"/>
    </row>
    <row r="924">
      <c r="A924" s="197"/>
      <c r="B924" s="197"/>
      <c r="AB924" s="123"/>
      <c r="AC924" s="123"/>
      <c r="AE924" s="123"/>
      <c r="AF924" s="123"/>
      <c r="AH924" s="123"/>
      <c r="AI924" s="123"/>
      <c r="AL924" s="123"/>
      <c r="AM924" s="123"/>
      <c r="AR924" s="123"/>
      <c r="AS924" s="123"/>
      <c r="AU924" s="123"/>
      <c r="AV924" s="123"/>
    </row>
    <row r="925">
      <c r="A925" s="197"/>
      <c r="B925" s="197"/>
      <c r="AB925" s="123"/>
      <c r="AC925" s="123"/>
      <c r="AE925" s="123"/>
      <c r="AF925" s="123"/>
      <c r="AH925" s="123"/>
      <c r="AI925" s="123"/>
      <c r="AL925" s="123"/>
      <c r="AM925" s="123"/>
      <c r="AR925" s="123"/>
      <c r="AS925" s="123"/>
      <c r="AU925" s="123"/>
      <c r="AV925" s="123"/>
    </row>
    <row r="926">
      <c r="A926" s="197"/>
      <c r="B926" s="197"/>
      <c r="AB926" s="123"/>
      <c r="AC926" s="123"/>
      <c r="AE926" s="123"/>
      <c r="AF926" s="123"/>
      <c r="AH926" s="123"/>
      <c r="AI926" s="123"/>
      <c r="AL926" s="123"/>
      <c r="AM926" s="123"/>
      <c r="AR926" s="123"/>
      <c r="AS926" s="123"/>
      <c r="AU926" s="123"/>
      <c r="AV926" s="123"/>
    </row>
    <row r="927">
      <c r="A927" s="197"/>
      <c r="B927" s="197"/>
      <c r="AB927" s="123"/>
      <c r="AC927" s="123"/>
      <c r="AE927" s="123"/>
      <c r="AF927" s="123"/>
      <c r="AH927" s="123"/>
      <c r="AI927" s="123"/>
      <c r="AL927" s="123"/>
      <c r="AM927" s="123"/>
      <c r="AR927" s="123"/>
      <c r="AS927" s="123"/>
      <c r="AU927" s="123"/>
      <c r="AV927" s="123"/>
    </row>
    <row r="928">
      <c r="A928" s="197"/>
      <c r="B928" s="197"/>
      <c r="AB928" s="123"/>
      <c r="AC928" s="123"/>
      <c r="AE928" s="123"/>
      <c r="AF928" s="123"/>
      <c r="AH928" s="123"/>
      <c r="AI928" s="123"/>
      <c r="AL928" s="123"/>
      <c r="AM928" s="123"/>
      <c r="AR928" s="123"/>
      <c r="AS928" s="123"/>
      <c r="AU928" s="123"/>
      <c r="AV928" s="123"/>
    </row>
    <row r="929">
      <c r="A929" s="197"/>
      <c r="B929" s="197"/>
      <c r="AB929" s="123"/>
      <c r="AC929" s="123"/>
      <c r="AE929" s="123"/>
      <c r="AF929" s="123"/>
      <c r="AH929" s="123"/>
      <c r="AI929" s="123"/>
      <c r="AL929" s="123"/>
      <c r="AM929" s="123"/>
      <c r="AR929" s="123"/>
      <c r="AS929" s="123"/>
      <c r="AU929" s="123"/>
      <c r="AV929" s="123"/>
    </row>
    <row r="930">
      <c r="A930" s="197"/>
      <c r="B930" s="197"/>
      <c r="AB930" s="123"/>
      <c r="AC930" s="123"/>
      <c r="AE930" s="123"/>
      <c r="AF930" s="123"/>
      <c r="AH930" s="123"/>
      <c r="AI930" s="123"/>
      <c r="AL930" s="123"/>
      <c r="AM930" s="123"/>
      <c r="AR930" s="123"/>
      <c r="AS930" s="123"/>
      <c r="AU930" s="123"/>
      <c r="AV930" s="123"/>
    </row>
    <row r="931">
      <c r="A931" s="197"/>
      <c r="B931" s="197"/>
      <c r="AB931" s="123"/>
      <c r="AC931" s="123"/>
      <c r="AE931" s="123"/>
      <c r="AF931" s="123"/>
      <c r="AH931" s="123"/>
      <c r="AI931" s="123"/>
      <c r="AL931" s="123"/>
      <c r="AM931" s="123"/>
      <c r="AR931" s="123"/>
      <c r="AS931" s="123"/>
      <c r="AU931" s="123"/>
      <c r="AV931" s="123"/>
    </row>
    <row r="932">
      <c r="A932" s="197"/>
      <c r="B932" s="197"/>
      <c r="AB932" s="123"/>
      <c r="AC932" s="123"/>
      <c r="AE932" s="123"/>
      <c r="AF932" s="123"/>
      <c r="AH932" s="123"/>
      <c r="AI932" s="123"/>
      <c r="AL932" s="123"/>
      <c r="AM932" s="123"/>
      <c r="AR932" s="123"/>
      <c r="AS932" s="123"/>
      <c r="AU932" s="123"/>
      <c r="AV932" s="123"/>
    </row>
    <row r="933">
      <c r="A933" s="197"/>
      <c r="B933" s="197"/>
      <c r="AB933" s="123"/>
      <c r="AC933" s="123"/>
      <c r="AE933" s="123"/>
      <c r="AF933" s="123"/>
      <c r="AH933" s="123"/>
      <c r="AI933" s="123"/>
      <c r="AL933" s="123"/>
      <c r="AM933" s="123"/>
      <c r="AR933" s="123"/>
      <c r="AS933" s="123"/>
      <c r="AU933" s="123"/>
      <c r="AV933" s="123"/>
    </row>
    <row r="934">
      <c r="A934" s="197"/>
      <c r="B934" s="197"/>
      <c r="AB934" s="123"/>
      <c r="AC934" s="123"/>
      <c r="AE934" s="123"/>
      <c r="AF934" s="123"/>
      <c r="AH934" s="123"/>
      <c r="AI934" s="123"/>
      <c r="AL934" s="123"/>
      <c r="AM934" s="123"/>
      <c r="AR934" s="123"/>
      <c r="AS934" s="123"/>
      <c r="AU934" s="123"/>
      <c r="AV934" s="123"/>
    </row>
    <row r="935">
      <c r="A935" s="197"/>
      <c r="B935" s="197"/>
      <c r="AB935" s="123"/>
      <c r="AC935" s="123"/>
      <c r="AE935" s="123"/>
      <c r="AF935" s="123"/>
      <c r="AH935" s="123"/>
      <c r="AI935" s="123"/>
      <c r="AL935" s="123"/>
      <c r="AM935" s="123"/>
      <c r="AR935" s="123"/>
      <c r="AS935" s="123"/>
      <c r="AU935" s="123"/>
      <c r="AV935" s="123"/>
    </row>
    <row r="936">
      <c r="A936" s="197"/>
      <c r="B936" s="197"/>
      <c r="AB936" s="123"/>
      <c r="AC936" s="123"/>
      <c r="AE936" s="123"/>
      <c r="AF936" s="123"/>
      <c r="AH936" s="123"/>
      <c r="AI936" s="123"/>
      <c r="AL936" s="123"/>
      <c r="AM936" s="123"/>
      <c r="AR936" s="123"/>
      <c r="AS936" s="123"/>
      <c r="AU936" s="123"/>
      <c r="AV936" s="123"/>
    </row>
    <row r="937">
      <c r="A937" s="197"/>
      <c r="B937" s="197"/>
      <c r="AB937" s="123"/>
      <c r="AC937" s="123"/>
      <c r="AE937" s="123"/>
      <c r="AF937" s="123"/>
      <c r="AH937" s="123"/>
      <c r="AI937" s="123"/>
      <c r="AL937" s="123"/>
      <c r="AM937" s="123"/>
      <c r="AR937" s="123"/>
      <c r="AS937" s="123"/>
      <c r="AU937" s="123"/>
      <c r="AV937" s="123"/>
    </row>
    <row r="938">
      <c r="A938" s="197"/>
      <c r="B938" s="197"/>
      <c r="AB938" s="123"/>
      <c r="AC938" s="123"/>
      <c r="AE938" s="123"/>
      <c r="AF938" s="123"/>
      <c r="AH938" s="123"/>
      <c r="AI938" s="123"/>
      <c r="AL938" s="123"/>
      <c r="AM938" s="123"/>
      <c r="AR938" s="123"/>
      <c r="AS938" s="123"/>
      <c r="AU938" s="123"/>
      <c r="AV938" s="123"/>
    </row>
    <row r="939">
      <c r="A939" s="197"/>
      <c r="B939" s="197"/>
      <c r="AB939" s="123"/>
      <c r="AC939" s="123"/>
      <c r="AE939" s="123"/>
      <c r="AF939" s="123"/>
      <c r="AH939" s="123"/>
      <c r="AI939" s="123"/>
      <c r="AL939" s="123"/>
      <c r="AM939" s="123"/>
      <c r="AR939" s="123"/>
      <c r="AS939" s="123"/>
      <c r="AU939" s="123"/>
      <c r="AV939" s="123"/>
    </row>
    <row r="940">
      <c r="A940" s="197"/>
      <c r="B940" s="197"/>
      <c r="AB940" s="123"/>
      <c r="AC940" s="123"/>
      <c r="AE940" s="123"/>
      <c r="AF940" s="123"/>
      <c r="AH940" s="123"/>
      <c r="AI940" s="123"/>
      <c r="AL940" s="123"/>
      <c r="AM940" s="123"/>
      <c r="AR940" s="123"/>
      <c r="AS940" s="123"/>
      <c r="AU940" s="123"/>
      <c r="AV940" s="123"/>
    </row>
    <row r="941">
      <c r="A941" s="197"/>
      <c r="B941" s="197"/>
      <c r="AB941" s="123"/>
      <c r="AC941" s="123"/>
      <c r="AE941" s="123"/>
      <c r="AF941" s="123"/>
      <c r="AH941" s="123"/>
      <c r="AI941" s="123"/>
      <c r="AL941" s="123"/>
      <c r="AM941" s="123"/>
      <c r="AR941" s="123"/>
      <c r="AS941" s="123"/>
      <c r="AU941" s="123"/>
      <c r="AV941" s="123"/>
    </row>
    <row r="942">
      <c r="A942" s="197"/>
      <c r="B942" s="197"/>
      <c r="AB942" s="123"/>
      <c r="AC942" s="123"/>
      <c r="AE942" s="123"/>
      <c r="AF942" s="123"/>
      <c r="AH942" s="123"/>
      <c r="AI942" s="123"/>
      <c r="AL942" s="123"/>
      <c r="AM942" s="123"/>
      <c r="AR942" s="123"/>
      <c r="AS942" s="123"/>
      <c r="AU942" s="123"/>
      <c r="AV942" s="123"/>
    </row>
    <row r="943">
      <c r="A943" s="197"/>
      <c r="B943" s="197"/>
      <c r="AB943" s="123"/>
      <c r="AC943" s="123"/>
      <c r="AE943" s="123"/>
      <c r="AF943" s="123"/>
      <c r="AH943" s="123"/>
      <c r="AI943" s="123"/>
      <c r="AL943" s="123"/>
      <c r="AM943" s="123"/>
      <c r="AR943" s="123"/>
      <c r="AS943" s="123"/>
      <c r="AU943" s="123"/>
      <c r="AV943" s="123"/>
    </row>
    <row r="944">
      <c r="A944" s="197"/>
      <c r="B944" s="197"/>
      <c r="AB944" s="123"/>
      <c r="AC944" s="123"/>
      <c r="AE944" s="123"/>
      <c r="AF944" s="123"/>
      <c r="AH944" s="123"/>
      <c r="AI944" s="123"/>
      <c r="AL944" s="123"/>
      <c r="AM944" s="123"/>
      <c r="AR944" s="123"/>
      <c r="AS944" s="123"/>
      <c r="AU944" s="123"/>
      <c r="AV944" s="123"/>
    </row>
    <row r="945">
      <c r="A945" s="197"/>
      <c r="B945" s="197"/>
      <c r="AB945" s="123"/>
      <c r="AC945" s="123"/>
      <c r="AE945" s="123"/>
      <c r="AF945" s="123"/>
      <c r="AH945" s="123"/>
      <c r="AI945" s="123"/>
      <c r="AL945" s="123"/>
      <c r="AM945" s="123"/>
      <c r="AR945" s="123"/>
      <c r="AS945" s="123"/>
      <c r="AU945" s="123"/>
      <c r="AV945" s="123"/>
    </row>
    <row r="946">
      <c r="A946" s="197"/>
      <c r="B946" s="197"/>
      <c r="AB946" s="123"/>
      <c r="AC946" s="123"/>
      <c r="AE946" s="123"/>
      <c r="AF946" s="123"/>
      <c r="AH946" s="123"/>
      <c r="AI946" s="123"/>
      <c r="AL946" s="123"/>
      <c r="AM946" s="123"/>
      <c r="AR946" s="123"/>
      <c r="AS946" s="123"/>
      <c r="AU946" s="123"/>
      <c r="AV946" s="123"/>
    </row>
    <row r="947">
      <c r="A947" s="197"/>
      <c r="B947" s="197"/>
      <c r="AB947" s="123"/>
      <c r="AC947" s="123"/>
      <c r="AE947" s="123"/>
      <c r="AF947" s="123"/>
      <c r="AH947" s="123"/>
      <c r="AI947" s="123"/>
      <c r="AL947" s="123"/>
      <c r="AM947" s="123"/>
      <c r="AR947" s="123"/>
      <c r="AS947" s="123"/>
      <c r="AU947" s="123"/>
      <c r="AV947" s="123"/>
    </row>
    <row r="948">
      <c r="A948" s="197"/>
      <c r="B948" s="197"/>
      <c r="AB948" s="123"/>
      <c r="AC948" s="123"/>
      <c r="AE948" s="123"/>
      <c r="AF948" s="123"/>
      <c r="AH948" s="123"/>
      <c r="AI948" s="123"/>
      <c r="AL948" s="123"/>
      <c r="AM948" s="123"/>
      <c r="AR948" s="123"/>
      <c r="AS948" s="123"/>
      <c r="AU948" s="123"/>
      <c r="AV948" s="123"/>
    </row>
    <row r="949">
      <c r="A949" s="197"/>
      <c r="B949" s="197"/>
      <c r="AB949" s="123"/>
      <c r="AC949" s="123"/>
      <c r="AE949" s="123"/>
      <c r="AF949" s="123"/>
      <c r="AH949" s="123"/>
      <c r="AI949" s="123"/>
      <c r="AL949" s="123"/>
      <c r="AM949" s="123"/>
      <c r="AR949" s="123"/>
      <c r="AS949" s="123"/>
      <c r="AU949" s="123"/>
      <c r="AV949" s="123"/>
    </row>
    <row r="950">
      <c r="A950" s="197"/>
      <c r="B950" s="197"/>
      <c r="AB950" s="123"/>
      <c r="AC950" s="123"/>
      <c r="AE950" s="123"/>
      <c r="AF950" s="123"/>
      <c r="AH950" s="123"/>
      <c r="AI950" s="123"/>
      <c r="AL950" s="123"/>
      <c r="AM950" s="123"/>
      <c r="AR950" s="123"/>
      <c r="AS950" s="123"/>
      <c r="AU950" s="123"/>
      <c r="AV950" s="123"/>
    </row>
    <row r="951">
      <c r="A951" s="197"/>
      <c r="B951" s="197"/>
      <c r="AB951" s="123"/>
      <c r="AC951" s="123"/>
      <c r="AE951" s="123"/>
      <c r="AF951" s="123"/>
      <c r="AH951" s="123"/>
      <c r="AI951" s="123"/>
      <c r="AL951" s="123"/>
      <c r="AM951" s="123"/>
      <c r="AR951" s="123"/>
      <c r="AS951" s="123"/>
      <c r="AU951" s="123"/>
      <c r="AV951" s="123"/>
    </row>
    <row r="952">
      <c r="A952" s="197"/>
      <c r="B952" s="197"/>
      <c r="AB952" s="123"/>
      <c r="AC952" s="123"/>
      <c r="AE952" s="123"/>
      <c r="AF952" s="123"/>
      <c r="AH952" s="123"/>
      <c r="AI952" s="123"/>
      <c r="AL952" s="123"/>
      <c r="AM952" s="123"/>
      <c r="AR952" s="123"/>
      <c r="AS952" s="123"/>
      <c r="AU952" s="123"/>
      <c r="AV952" s="123"/>
    </row>
    <row r="953">
      <c r="A953" s="197"/>
      <c r="B953" s="197"/>
      <c r="AB953" s="123"/>
      <c r="AC953" s="123"/>
      <c r="AE953" s="123"/>
      <c r="AF953" s="123"/>
      <c r="AH953" s="123"/>
      <c r="AI953" s="123"/>
      <c r="AL953" s="123"/>
      <c r="AM953" s="123"/>
      <c r="AR953" s="123"/>
      <c r="AS953" s="123"/>
      <c r="AU953" s="123"/>
      <c r="AV953" s="123"/>
    </row>
    <row r="954">
      <c r="A954" s="197"/>
      <c r="B954" s="197"/>
      <c r="AB954" s="123"/>
      <c r="AC954" s="123"/>
      <c r="AE954" s="123"/>
      <c r="AF954" s="123"/>
      <c r="AH954" s="123"/>
      <c r="AI954" s="123"/>
      <c r="AL954" s="123"/>
      <c r="AM954" s="123"/>
      <c r="AR954" s="123"/>
      <c r="AS954" s="123"/>
      <c r="AU954" s="123"/>
      <c r="AV954" s="123"/>
    </row>
    <row r="955">
      <c r="A955" s="197"/>
      <c r="B955" s="197"/>
      <c r="AB955" s="123"/>
      <c r="AC955" s="123"/>
      <c r="AE955" s="123"/>
      <c r="AF955" s="123"/>
      <c r="AH955" s="123"/>
      <c r="AI955" s="123"/>
      <c r="AL955" s="123"/>
      <c r="AM955" s="123"/>
      <c r="AR955" s="123"/>
      <c r="AS955" s="123"/>
      <c r="AU955" s="123"/>
      <c r="AV955" s="123"/>
    </row>
    <row r="956">
      <c r="A956" s="197"/>
      <c r="B956" s="197"/>
      <c r="AB956" s="123"/>
      <c r="AC956" s="123"/>
      <c r="AE956" s="123"/>
      <c r="AF956" s="123"/>
      <c r="AH956" s="123"/>
      <c r="AI956" s="123"/>
      <c r="AL956" s="123"/>
      <c r="AM956" s="123"/>
      <c r="AR956" s="123"/>
      <c r="AS956" s="123"/>
      <c r="AU956" s="123"/>
      <c r="AV956" s="123"/>
    </row>
    <row r="957">
      <c r="A957" s="197"/>
      <c r="B957" s="197"/>
      <c r="AB957" s="123"/>
      <c r="AC957" s="123"/>
      <c r="AE957" s="123"/>
      <c r="AF957" s="123"/>
      <c r="AH957" s="123"/>
      <c r="AI957" s="123"/>
      <c r="AL957" s="123"/>
      <c r="AM957" s="123"/>
      <c r="AR957" s="123"/>
      <c r="AS957" s="123"/>
      <c r="AU957" s="123"/>
      <c r="AV957" s="123"/>
    </row>
    <row r="958">
      <c r="A958" s="197"/>
      <c r="B958" s="197"/>
      <c r="AB958" s="123"/>
      <c r="AC958" s="123"/>
      <c r="AE958" s="123"/>
      <c r="AF958" s="123"/>
      <c r="AH958" s="123"/>
      <c r="AI958" s="123"/>
      <c r="AL958" s="123"/>
      <c r="AM958" s="123"/>
      <c r="AR958" s="123"/>
      <c r="AS958" s="123"/>
      <c r="AU958" s="123"/>
      <c r="AV958" s="123"/>
    </row>
    <row r="959">
      <c r="A959" s="197"/>
      <c r="B959" s="197"/>
      <c r="AB959" s="123"/>
      <c r="AC959" s="123"/>
      <c r="AE959" s="123"/>
      <c r="AF959" s="123"/>
      <c r="AH959" s="123"/>
      <c r="AI959" s="123"/>
      <c r="AL959" s="123"/>
      <c r="AM959" s="123"/>
      <c r="AR959" s="123"/>
      <c r="AS959" s="123"/>
      <c r="AU959" s="123"/>
      <c r="AV959" s="123"/>
    </row>
    <row r="960">
      <c r="A960" s="197"/>
      <c r="B960" s="197"/>
      <c r="AB960" s="123"/>
      <c r="AC960" s="123"/>
      <c r="AE960" s="123"/>
      <c r="AF960" s="123"/>
      <c r="AH960" s="123"/>
      <c r="AI960" s="123"/>
      <c r="AL960" s="123"/>
      <c r="AM960" s="123"/>
      <c r="AR960" s="123"/>
      <c r="AS960" s="123"/>
      <c r="AU960" s="123"/>
      <c r="AV960" s="123"/>
    </row>
    <row r="961">
      <c r="A961" s="197"/>
      <c r="B961" s="197"/>
      <c r="AB961" s="123"/>
      <c r="AC961" s="123"/>
      <c r="AE961" s="123"/>
      <c r="AF961" s="123"/>
      <c r="AH961" s="123"/>
      <c r="AI961" s="123"/>
      <c r="AL961" s="123"/>
      <c r="AM961" s="123"/>
      <c r="AR961" s="123"/>
      <c r="AS961" s="123"/>
      <c r="AU961" s="123"/>
      <c r="AV961" s="123"/>
    </row>
    <row r="962">
      <c r="A962" s="197"/>
      <c r="B962" s="197"/>
      <c r="AB962" s="123"/>
      <c r="AC962" s="123"/>
      <c r="AE962" s="123"/>
      <c r="AF962" s="123"/>
      <c r="AH962" s="123"/>
      <c r="AI962" s="123"/>
      <c r="AL962" s="123"/>
      <c r="AM962" s="123"/>
      <c r="AR962" s="123"/>
      <c r="AS962" s="123"/>
      <c r="AU962" s="123"/>
      <c r="AV962" s="123"/>
    </row>
    <row r="963">
      <c r="A963" s="197"/>
      <c r="B963" s="197"/>
      <c r="AB963" s="123"/>
      <c r="AC963" s="123"/>
      <c r="AE963" s="123"/>
      <c r="AF963" s="123"/>
      <c r="AH963" s="123"/>
      <c r="AI963" s="123"/>
      <c r="AL963" s="123"/>
      <c r="AM963" s="123"/>
      <c r="AR963" s="123"/>
      <c r="AS963" s="123"/>
      <c r="AU963" s="123"/>
      <c r="AV963" s="123"/>
    </row>
    <row r="964">
      <c r="A964" s="197"/>
      <c r="B964" s="197"/>
      <c r="AB964" s="123"/>
      <c r="AC964" s="123"/>
      <c r="AE964" s="123"/>
      <c r="AF964" s="123"/>
      <c r="AH964" s="123"/>
      <c r="AI964" s="123"/>
      <c r="AL964" s="123"/>
      <c r="AM964" s="123"/>
      <c r="AR964" s="123"/>
      <c r="AS964" s="123"/>
      <c r="AU964" s="123"/>
      <c r="AV964" s="123"/>
    </row>
    <row r="965">
      <c r="A965" s="197"/>
      <c r="B965" s="197"/>
      <c r="AB965" s="123"/>
      <c r="AC965" s="123"/>
      <c r="AE965" s="123"/>
      <c r="AF965" s="123"/>
      <c r="AH965" s="123"/>
      <c r="AI965" s="123"/>
      <c r="AL965" s="123"/>
      <c r="AM965" s="123"/>
      <c r="AR965" s="123"/>
      <c r="AS965" s="123"/>
      <c r="AU965" s="123"/>
      <c r="AV965" s="123"/>
    </row>
    <row r="966">
      <c r="A966" s="197"/>
      <c r="B966" s="197"/>
      <c r="AB966" s="123"/>
      <c r="AC966" s="123"/>
      <c r="AE966" s="123"/>
      <c r="AF966" s="123"/>
      <c r="AH966" s="123"/>
      <c r="AI966" s="123"/>
      <c r="AL966" s="123"/>
      <c r="AM966" s="123"/>
      <c r="AR966" s="123"/>
      <c r="AS966" s="123"/>
      <c r="AU966" s="123"/>
      <c r="AV966" s="123"/>
    </row>
    <row r="967">
      <c r="A967" s="197"/>
      <c r="B967" s="197"/>
      <c r="AB967" s="123"/>
      <c r="AC967" s="123"/>
      <c r="AE967" s="123"/>
      <c r="AF967" s="123"/>
      <c r="AH967" s="123"/>
      <c r="AI967" s="123"/>
      <c r="AL967" s="123"/>
      <c r="AM967" s="123"/>
      <c r="AR967" s="123"/>
      <c r="AS967" s="123"/>
      <c r="AU967" s="123"/>
      <c r="AV967" s="123"/>
    </row>
    <row r="968">
      <c r="A968" s="197"/>
      <c r="B968" s="197"/>
      <c r="AB968" s="123"/>
      <c r="AC968" s="123"/>
      <c r="AE968" s="123"/>
      <c r="AF968" s="123"/>
      <c r="AH968" s="123"/>
      <c r="AI968" s="123"/>
      <c r="AL968" s="123"/>
      <c r="AM968" s="123"/>
      <c r="AR968" s="123"/>
      <c r="AS968" s="123"/>
      <c r="AU968" s="123"/>
      <c r="AV968" s="123"/>
    </row>
    <row r="969">
      <c r="A969" s="197"/>
      <c r="B969" s="197"/>
      <c r="AB969" s="123"/>
      <c r="AC969" s="123"/>
      <c r="AE969" s="123"/>
      <c r="AF969" s="123"/>
      <c r="AH969" s="123"/>
      <c r="AI969" s="123"/>
      <c r="AL969" s="123"/>
      <c r="AM969" s="123"/>
      <c r="AR969" s="123"/>
      <c r="AS969" s="123"/>
      <c r="AU969" s="123"/>
      <c r="AV969" s="123"/>
    </row>
    <row r="970">
      <c r="A970" s="197"/>
      <c r="B970" s="197"/>
      <c r="AB970" s="123"/>
      <c r="AC970" s="123"/>
      <c r="AE970" s="123"/>
      <c r="AF970" s="123"/>
      <c r="AH970" s="123"/>
      <c r="AI970" s="123"/>
      <c r="AL970" s="123"/>
      <c r="AM970" s="123"/>
      <c r="AR970" s="123"/>
      <c r="AS970" s="123"/>
      <c r="AU970" s="123"/>
      <c r="AV970" s="123"/>
    </row>
    <row r="971">
      <c r="A971" s="197"/>
      <c r="B971" s="197"/>
      <c r="AB971" s="123"/>
      <c r="AC971" s="123"/>
      <c r="AE971" s="123"/>
      <c r="AF971" s="123"/>
      <c r="AH971" s="123"/>
      <c r="AI971" s="123"/>
      <c r="AL971" s="123"/>
      <c r="AM971" s="123"/>
      <c r="AR971" s="123"/>
      <c r="AS971" s="123"/>
      <c r="AU971" s="123"/>
      <c r="AV971" s="123"/>
    </row>
    <row r="972">
      <c r="A972" s="197"/>
      <c r="B972" s="197"/>
      <c r="AB972" s="123"/>
      <c r="AC972" s="123"/>
      <c r="AE972" s="123"/>
      <c r="AF972" s="123"/>
      <c r="AH972" s="123"/>
      <c r="AI972" s="123"/>
      <c r="AL972" s="123"/>
      <c r="AM972" s="123"/>
      <c r="AR972" s="123"/>
      <c r="AS972" s="123"/>
      <c r="AU972" s="123"/>
      <c r="AV972" s="123"/>
    </row>
  </sheetData>
  <hyperlinks>
    <hyperlink r:id="rId1" ref="BC2"/>
    <hyperlink r:id="rId2" ref="BC3"/>
    <hyperlink r:id="rId3" ref="BC4"/>
    <hyperlink r:id="rId4" ref="BC5"/>
    <hyperlink r:id="rId5" ref="BC6"/>
    <hyperlink r:id="rId6" ref="BC7"/>
    <hyperlink r:id="rId7" ref="BC8"/>
    <hyperlink r:id="rId8" ref="BC9"/>
    <hyperlink r:id="rId9" ref="BC10"/>
    <hyperlink r:id="rId10" ref="BC11"/>
    <hyperlink r:id="rId11" ref="BC12"/>
    <hyperlink r:id="rId12" ref="BC13"/>
    <hyperlink r:id="rId13" ref="BC14"/>
    <hyperlink r:id="rId14" ref="BC15"/>
    <hyperlink r:id="rId15" ref="BC16"/>
    <hyperlink r:id="rId16" ref="BC17"/>
    <hyperlink r:id="rId17" ref="BC18"/>
    <hyperlink r:id="rId18" ref="BC19"/>
  </hyperlinks>
  <drawing r:id="rId1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2.0"/>
    <col customWidth="1" min="3" max="3" width="10.0"/>
    <col customWidth="1" min="4" max="4" width="19.5"/>
    <col customWidth="1" min="6" max="6" width="23.88"/>
    <col customWidth="1" min="23" max="26" width="18.88"/>
  </cols>
  <sheetData>
    <row r="1">
      <c r="A1" s="198" t="s">
        <v>506</v>
      </c>
      <c r="B1" s="143" t="s">
        <v>378</v>
      </c>
      <c r="C1" s="144" t="s">
        <v>380</v>
      </c>
      <c r="D1" s="144" t="s">
        <v>381</v>
      </c>
      <c r="E1" s="144" t="s">
        <v>508</v>
      </c>
      <c r="F1" s="146" t="s">
        <v>1103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87" t="s">
        <v>595</v>
      </c>
      <c r="L1" s="146" t="s">
        <v>676</v>
      </c>
      <c r="M1" s="187" t="s">
        <v>1104</v>
      </c>
      <c r="N1" s="199" t="s">
        <v>1105</v>
      </c>
      <c r="O1" s="146" t="s">
        <v>1106</v>
      </c>
      <c r="P1" s="146" t="s">
        <v>1107</v>
      </c>
      <c r="Q1" s="146" t="s">
        <v>695</v>
      </c>
      <c r="R1" s="146" t="s">
        <v>1108</v>
      </c>
      <c r="S1" s="146" t="s">
        <v>1109</v>
      </c>
      <c r="T1" s="146" t="s">
        <v>1110</v>
      </c>
      <c r="U1" s="146" t="s">
        <v>1111</v>
      </c>
      <c r="V1" s="147" t="s">
        <v>379</v>
      </c>
      <c r="W1" s="160" t="s">
        <v>1112</v>
      </c>
      <c r="X1" s="160" t="s">
        <v>1113</v>
      </c>
      <c r="Y1" s="160" t="s">
        <v>1114</v>
      </c>
      <c r="Z1" s="160" t="s">
        <v>1115</v>
      </c>
      <c r="AA1" s="200"/>
      <c r="AB1" s="200"/>
    </row>
    <row r="2">
      <c r="A2" s="201">
        <v>45518.0</v>
      </c>
      <c r="B2" s="201">
        <v>45527.0</v>
      </c>
      <c r="C2" s="202">
        <v>712.0</v>
      </c>
      <c r="D2" s="203" t="s">
        <v>1116</v>
      </c>
      <c r="E2" s="203" t="s">
        <v>1117</v>
      </c>
      <c r="F2" s="203" t="s">
        <v>1118</v>
      </c>
      <c r="G2" s="155" t="s">
        <v>621</v>
      </c>
      <c r="H2" s="155" t="s">
        <v>1119</v>
      </c>
      <c r="I2" s="155" t="s">
        <v>716</v>
      </c>
      <c r="J2" s="155">
        <v>5.0</v>
      </c>
      <c r="K2" s="204">
        <v>150000.0</v>
      </c>
      <c r="L2" s="155" t="s">
        <v>155</v>
      </c>
      <c r="M2" s="204" t="s">
        <v>155</v>
      </c>
      <c r="N2" s="164" t="s">
        <v>1120</v>
      </c>
      <c r="O2" s="155">
        <v>60.0</v>
      </c>
      <c r="P2" s="155">
        <v>0.0</v>
      </c>
      <c r="Q2" s="155">
        <v>20.0</v>
      </c>
      <c r="R2" s="155">
        <v>75.0</v>
      </c>
      <c r="S2" s="165">
        <f>10*J2</f>
        <v>50</v>
      </c>
      <c r="T2" s="155">
        <v>5.0</v>
      </c>
      <c r="U2" s="165">
        <f t="shared" ref="U2:U78" si="1">SUM(O2:T2)</f>
        <v>210</v>
      </c>
      <c r="V2" s="155" t="s">
        <v>453</v>
      </c>
      <c r="W2" s="155" t="s">
        <v>1121</v>
      </c>
      <c r="X2" s="166" t="s">
        <v>1122</v>
      </c>
      <c r="Y2" s="205" t="str">
        <f>HYPERLINK("https://drive.google.com/file/d/1m2rySq1-9nQMyri71YopIWXKWNVfPgIO/view?usp=drivesdk","GC-FID_Hana Prasita Larasati _712")</f>
        <v>GC-FID_Hana Prasita Larasati _712</v>
      </c>
      <c r="Z2" s="155" t="s">
        <v>1123</v>
      </c>
    </row>
    <row r="3">
      <c r="A3" s="201">
        <v>45527.0</v>
      </c>
      <c r="B3" s="201">
        <v>45531.0</v>
      </c>
      <c r="C3" s="206">
        <v>729.0</v>
      </c>
      <c r="D3" s="155" t="s">
        <v>1124</v>
      </c>
      <c r="E3" s="155" t="s">
        <v>1125</v>
      </c>
      <c r="F3" s="203" t="s">
        <v>1118</v>
      </c>
      <c r="G3" s="155" t="s">
        <v>621</v>
      </c>
      <c r="H3" s="155" t="s">
        <v>1119</v>
      </c>
      <c r="I3" s="155" t="s">
        <v>716</v>
      </c>
      <c r="J3" s="155">
        <v>4.0</v>
      </c>
      <c r="K3" s="204">
        <v>150000.0</v>
      </c>
      <c r="L3" s="155" t="s">
        <v>155</v>
      </c>
      <c r="M3" s="204" t="s">
        <v>155</v>
      </c>
      <c r="N3" s="164" t="s">
        <v>1126</v>
      </c>
      <c r="O3" s="155">
        <v>60.0</v>
      </c>
      <c r="P3" s="155">
        <v>40.0</v>
      </c>
      <c r="Q3" s="155">
        <v>20.0</v>
      </c>
      <c r="R3" s="155">
        <v>40.0</v>
      </c>
      <c r="S3" s="155">
        <v>40.0</v>
      </c>
      <c r="T3" s="155">
        <v>30.0</v>
      </c>
      <c r="U3" s="165">
        <f t="shared" si="1"/>
        <v>230</v>
      </c>
      <c r="V3" s="155" t="s">
        <v>453</v>
      </c>
      <c r="W3" s="155" t="s">
        <v>1127</v>
      </c>
      <c r="X3" s="166" t="s">
        <v>1128</v>
      </c>
      <c r="Y3" s="205" t="str">
        <f>HYPERLINK("https://drive.google.com/file/d/1YqMxMmY8-cbTE8Fn9zxLQR6RnlyrxFJA/view?usp=drivesdk","GC-FID_Anggi Khoerul Jannah_729")</f>
        <v>GC-FID_Anggi Khoerul Jannah_729</v>
      </c>
      <c r="Z3" s="155" t="s">
        <v>1129</v>
      </c>
    </row>
    <row r="4">
      <c r="A4" s="201">
        <v>45568.0</v>
      </c>
      <c r="B4" s="201">
        <v>45569.0</v>
      </c>
      <c r="C4" s="168">
        <v>811.0</v>
      </c>
      <c r="D4" s="17" t="s">
        <v>1130</v>
      </c>
      <c r="E4" s="136" t="s">
        <v>1131</v>
      </c>
      <c r="F4" s="136" t="s">
        <v>1132</v>
      </c>
      <c r="G4" s="155" t="s">
        <v>621</v>
      </c>
      <c r="H4" s="155" t="s">
        <v>1119</v>
      </c>
      <c r="I4" s="155" t="s">
        <v>716</v>
      </c>
      <c r="J4" s="17">
        <v>6.0</v>
      </c>
      <c r="K4" s="204">
        <v>150000.0</v>
      </c>
      <c r="L4" s="17" t="s">
        <v>155</v>
      </c>
      <c r="M4" s="122" t="s">
        <v>155</v>
      </c>
      <c r="N4" s="164" t="s">
        <v>1120</v>
      </c>
      <c r="O4" s="17">
        <v>60.0</v>
      </c>
      <c r="P4" s="17">
        <v>0.0</v>
      </c>
      <c r="Q4" s="17">
        <v>30.0</v>
      </c>
      <c r="R4" s="17">
        <v>90.0</v>
      </c>
      <c r="S4" s="17">
        <v>60.0</v>
      </c>
      <c r="T4" s="17">
        <v>30.0</v>
      </c>
      <c r="U4" s="165">
        <f t="shared" si="1"/>
        <v>270</v>
      </c>
      <c r="V4" s="155" t="s">
        <v>453</v>
      </c>
      <c r="W4" s="17" t="s">
        <v>1133</v>
      </c>
      <c r="X4" s="133" t="s">
        <v>1134</v>
      </c>
      <c r="Y4" s="134" t="str">
        <f>HYPERLINK("https://drive.google.com/file/d/1WpPt6RN2cMxtZH-R4NrLhJuN_PTlirNR/view?usp=drivesdk","GC-FID_Hana Prasita Larasati_811")</f>
        <v>GC-FID_Hana Prasita Larasati_811</v>
      </c>
      <c r="Z4" s="17" t="s">
        <v>1135</v>
      </c>
    </row>
    <row r="5">
      <c r="A5" s="201">
        <v>45631.0</v>
      </c>
      <c r="B5" s="201">
        <v>45632.0</v>
      </c>
      <c r="C5" s="168">
        <v>917.0</v>
      </c>
      <c r="D5" s="136" t="s">
        <v>1136</v>
      </c>
      <c r="E5" s="136" t="s">
        <v>1137</v>
      </c>
      <c r="F5" s="136" t="s">
        <v>1138</v>
      </c>
      <c r="G5" s="155" t="s">
        <v>621</v>
      </c>
      <c r="H5" s="155" t="s">
        <v>1119</v>
      </c>
      <c r="I5" s="155" t="s">
        <v>716</v>
      </c>
      <c r="J5" s="17">
        <v>6.0</v>
      </c>
      <c r="K5" s="204">
        <v>150000.0</v>
      </c>
      <c r="L5" s="17" t="s">
        <v>155</v>
      </c>
      <c r="M5" s="122" t="s">
        <v>155</v>
      </c>
      <c r="N5" s="169" t="s">
        <v>1139</v>
      </c>
      <c r="O5" s="17">
        <v>60.0</v>
      </c>
      <c r="P5" s="17">
        <v>0.0</v>
      </c>
      <c r="Q5" s="17">
        <v>30.0</v>
      </c>
      <c r="R5" s="17">
        <v>96.0</v>
      </c>
      <c r="S5" s="17">
        <v>60.0</v>
      </c>
      <c r="T5" s="17">
        <v>30.0</v>
      </c>
      <c r="U5" s="165">
        <f t="shared" si="1"/>
        <v>276</v>
      </c>
      <c r="V5" s="155" t="s">
        <v>453</v>
      </c>
      <c r="W5" s="17" t="s">
        <v>1140</v>
      </c>
      <c r="X5" s="133" t="s">
        <v>1141</v>
      </c>
      <c r="Y5" s="134" t="str">
        <f>HYPERLINK("https://drive.google.com/file/d/1o4bm9z-rKYopG8uwlNhCrVNI1_1bC7Xp/view?usp=drivesdk","GC-FID_Nur Rohmah Al Fiyani_917")</f>
        <v>GC-FID_Nur Rohmah Al Fiyani_917</v>
      </c>
      <c r="Z5" s="17" t="s">
        <v>1142</v>
      </c>
    </row>
    <row r="6">
      <c r="A6" s="201">
        <v>45631.0</v>
      </c>
      <c r="B6" s="201">
        <v>45632.0</v>
      </c>
      <c r="C6" s="168">
        <v>918.0</v>
      </c>
      <c r="D6" s="136" t="s">
        <v>1143</v>
      </c>
      <c r="E6" s="136" t="s">
        <v>872</v>
      </c>
      <c r="F6" s="136" t="s">
        <v>1144</v>
      </c>
      <c r="G6" s="155" t="s">
        <v>621</v>
      </c>
      <c r="H6" s="155" t="s">
        <v>1119</v>
      </c>
      <c r="I6" s="155" t="s">
        <v>716</v>
      </c>
      <c r="J6" s="17">
        <v>6.0</v>
      </c>
      <c r="K6" s="204">
        <v>150000.0</v>
      </c>
      <c r="L6" s="17" t="s">
        <v>155</v>
      </c>
      <c r="M6" s="122" t="s">
        <v>155</v>
      </c>
      <c r="N6" s="169" t="s">
        <v>1145</v>
      </c>
      <c r="O6" s="17">
        <v>60.0</v>
      </c>
      <c r="P6" s="17">
        <v>0.0</v>
      </c>
      <c r="Q6" s="17">
        <v>30.0</v>
      </c>
      <c r="R6" s="17">
        <v>108.0</v>
      </c>
      <c r="S6" s="17">
        <v>60.0</v>
      </c>
      <c r="T6" s="17">
        <v>30.0</v>
      </c>
      <c r="U6" s="165">
        <f t="shared" si="1"/>
        <v>288</v>
      </c>
      <c r="V6" s="155" t="s">
        <v>453</v>
      </c>
      <c r="W6" s="17" t="s">
        <v>1146</v>
      </c>
      <c r="X6" s="133" t="s">
        <v>1147</v>
      </c>
      <c r="Y6" s="134" t="str">
        <f>HYPERLINK("https://drive.google.com/file/d/1bmhhulBCJFkhkPhwHVwmfaE0AfZLCXvP/view?usp=drivesdk","GC-FID_Vito Bintang Saputra _918")</f>
        <v>GC-FID_Vito Bintang Saputra _918</v>
      </c>
      <c r="Z6" s="17" t="s">
        <v>1148</v>
      </c>
    </row>
    <row r="7">
      <c r="A7" s="201">
        <v>45649.0</v>
      </c>
      <c r="B7" s="201">
        <v>45650.0</v>
      </c>
      <c r="C7" s="168">
        <v>949.0</v>
      </c>
      <c r="D7" s="17" t="s">
        <v>1149</v>
      </c>
      <c r="E7" s="17" t="s">
        <v>1150</v>
      </c>
      <c r="F7" s="17" t="s">
        <v>1132</v>
      </c>
      <c r="G7" s="17" t="s">
        <v>621</v>
      </c>
      <c r="H7" s="17" t="s">
        <v>1119</v>
      </c>
      <c r="I7" s="17" t="s">
        <v>716</v>
      </c>
      <c r="J7" s="17">
        <v>8.0</v>
      </c>
      <c r="K7" s="122">
        <v>150000.0</v>
      </c>
      <c r="L7" s="17">
        <v>2.0</v>
      </c>
      <c r="M7" s="122">
        <v>100000.0</v>
      </c>
      <c r="N7" s="169" t="s">
        <v>1151</v>
      </c>
      <c r="O7" s="17">
        <v>60.0</v>
      </c>
      <c r="P7" s="17">
        <v>0.0</v>
      </c>
      <c r="Q7" s="17">
        <v>20.0</v>
      </c>
      <c r="R7" s="17">
        <v>90.0</v>
      </c>
      <c r="S7" s="17">
        <v>80.0</v>
      </c>
      <c r="T7" s="17">
        <v>30.0</v>
      </c>
      <c r="U7" s="171">
        <f t="shared" si="1"/>
        <v>280</v>
      </c>
      <c r="V7" s="17" t="s">
        <v>453</v>
      </c>
      <c r="W7" s="17" t="s">
        <v>1152</v>
      </c>
      <c r="X7" s="133" t="s">
        <v>1153</v>
      </c>
      <c r="Y7" s="134" t="str">
        <f>HYPERLINK("https://drive.google.com/file/d/1-wy2FjC5sv_HV3Mx_JOcCEw3Z6Sn63vx/view?usp=drivesdk","GC-FID_Dwi Safitri_949")</f>
        <v>GC-FID_Dwi Safitri_949</v>
      </c>
      <c r="Z7" s="17" t="s">
        <v>1154</v>
      </c>
    </row>
    <row r="8">
      <c r="A8" s="201">
        <v>45650.0</v>
      </c>
      <c r="B8" s="201">
        <v>45650.0</v>
      </c>
      <c r="C8" s="168">
        <v>954.0</v>
      </c>
      <c r="D8" s="17" t="s">
        <v>1130</v>
      </c>
      <c r="E8" s="136" t="s">
        <v>1131</v>
      </c>
      <c r="F8" s="136" t="s">
        <v>1132</v>
      </c>
      <c r="G8" s="155" t="s">
        <v>621</v>
      </c>
      <c r="H8" s="155" t="s">
        <v>1119</v>
      </c>
      <c r="I8" s="155" t="s">
        <v>716</v>
      </c>
      <c r="J8" s="17">
        <v>6.0</v>
      </c>
      <c r="K8" s="204">
        <v>150000.0</v>
      </c>
      <c r="L8" s="17" t="s">
        <v>155</v>
      </c>
      <c r="M8" s="122" t="s">
        <v>155</v>
      </c>
      <c r="N8" s="164" t="s">
        <v>1120</v>
      </c>
      <c r="O8" s="17">
        <v>60.0</v>
      </c>
      <c r="P8" s="17">
        <v>0.0</v>
      </c>
      <c r="Q8" s="17">
        <v>20.0</v>
      </c>
      <c r="R8" s="17">
        <v>90.0</v>
      </c>
      <c r="S8" s="17">
        <v>60.0</v>
      </c>
      <c r="T8" s="17">
        <v>30.0</v>
      </c>
      <c r="U8" s="171">
        <f t="shared" si="1"/>
        <v>260</v>
      </c>
      <c r="V8" s="17" t="s">
        <v>453</v>
      </c>
      <c r="W8" s="17" t="s">
        <v>1155</v>
      </c>
      <c r="X8" s="133" t="s">
        <v>1156</v>
      </c>
      <c r="Y8" s="134" t="str">
        <f>HYPERLINK("https://drive.google.com/file/d/1KcfE49nuZS9w3GVk89RoDrUPGwxeLqdq/view?usp=drivesdk","GC-FID_Hana Prasita Larasati_954")</f>
        <v>GC-FID_Hana Prasita Larasati_954</v>
      </c>
      <c r="Z8" s="17" t="s">
        <v>1157</v>
      </c>
    </row>
    <row r="9">
      <c r="A9" s="201">
        <v>45665.0</v>
      </c>
      <c r="B9" s="201">
        <v>45665.0</v>
      </c>
      <c r="C9" s="168">
        <v>4.0</v>
      </c>
      <c r="D9" s="17" t="s">
        <v>1136</v>
      </c>
      <c r="E9" s="136" t="s">
        <v>1137</v>
      </c>
      <c r="F9" s="136" t="s">
        <v>1138</v>
      </c>
      <c r="G9" s="155" t="s">
        <v>621</v>
      </c>
      <c r="H9" s="155" t="s">
        <v>1119</v>
      </c>
      <c r="I9" s="155" t="s">
        <v>716</v>
      </c>
      <c r="J9" s="17">
        <v>6.0</v>
      </c>
      <c r="K9" s="204">
        <v>80000.0</v>
      </c>
      <c r="L9" s="122">
        <f t="shared" ref="L9:L78" si="2">J9*K9</f>
        <v>480000</v>
      </c>
      <c r="M9" s="122" t="s">
        <v>155</v>
      </c>
      <c r="N9" s="169" t="s">
        <v>1158</v>
      </c>
      <c r="O9" s="17">
        <v>60.0</v>
      </c>
      <c r="P9" s="17">
        <v>0.0</v>
      </c>
      <c r="Q9" s="17">
        <v>20.0</v>
      </c>
      <c r="R9" s="17">
        <v>72.0</v>
      </c>
      <c r="S9" s="17">
        <v>60.0</v>
      </c>
      <c r="T9" s="17">
        <v>30.0</v>
      </c>
      <c r="U9" s="171">
        <f t="shared" si="1"/>
        <v>242</v>
      </c>
      <c r="V9" s="17" t="s">
        <v>453</v>
      </c>
      <c r="W9" s="17" t="s">
        <v>1159</v>
      </c>
      <c r="X9" s="133" t="s">
        <v>1160</v>
      </c>
      <c r="Y9" s="134" t="str">
        <f>HYPERLINK("https://drive.google.com/file/d/1EwuDpmx-RcFyCO-hPtErisl_7tSTXexq/view?usp=drivesdk","GC-FID_Nur Rohmah Al Fiyani_4")</f>
        <v>GC-FID_Nur Rohmah Al Fiyani_4</v>
      </c>
      <c r="Z9" s="17" t="s">
        <v>1161</v>
      </c>
    </row>
    <row r="10">
      <c r="A10" s="201">
        <v>45666.0</v>
      </c>
      <c r="B10" s="201">
        <v>45666.0</v>
      </c>
      <c r="C10" s="168">
        <v>7.0</v>
      </c>
      <c r="D10" s="17" t="s">
        <v>1136</v>
      </c>
      <c r="E10" s="136" t="s">
        <v>1137</v>
      </c>
      <c r="F10" s="136" t="s">
        <v>1138</v>
      </c>
      <c r="G10" s="155" t="s">
        <v>621</v>
      </c>
      <c r="H10" s="155" t="s">
        <v>1119</v>
      </c>
      <c r="I10" s="155" t="s">
        <v>716</v>
      </c>
      <c r="J10" s="17">
        <v>6.0</v>
      </c>
      <c r="K10" s="204">
        <v>80000.0</v>
      </c>
      <c r="L10" s="122">
        <f t="shared" si="2"/>
        <v>480000</v>
      </c>
      <c r="M10" s="122" t="s">
        <v>155</v>
      </c>
      <c r="N10" s="169" t="s">
        <v>1158</v>
      </c>
      <c r="O10" s="17">
        <v>60.0</v>
      </c>
      <c r="P10" s="17">
        <v>0.0</v>
      </c>
      <c r="Q10" s="17">
        <v>20.0</v>
      </c>
      <c r="R10" s="17">
        <v>72.0</v>
      </c>
      <c r="S10" s="17">
        <v>60.0</v>
      </c>
      <c r="T10" s="17">
        <v>30.0</v>
      </c>
      <c r="U10" s="171">
        <f t="shared" si="1"/>
        <v>242</v>
      </c>
      <c r="V10" s="17" t="s">
        <v>453</v>
      </c>
      <c r="W10" s="17" t="s">
        <v>1162</v>
      </c>
      <c r="X10" s="133" t="s">
        <v>1163</v>
      </c>
      <c r="Y10" s="134" t="str">
        <f>HYPERLINK("https://drive.google.com/file/d/1y1xN1A4Wpwfu3ihlOJ-ZxLO4LGOSeHsS/view?usp=drivesdk","GC-FID_Nur Rohmah Al Fiyani_7")</f>
        <v>GC-FID_Nur Rohmah Al Fiyani_7</v>
      </c>
      <c r="Z10" s="17" t="s">
        <v>1164</v>
      </c>
    </row>
    <row r="11">
      <c r="A11" s="201">
        <v>45681.0</v>
      </c>
      <c r="B11" s="201">
        <v>45687.0</v>
      </c>
      <c r="C11" s="168">
        <v>47.0</v>
      </c>
      <c r="D11" s="203" t="s">
        <v>1116</v>
      </c>
      <c r="E11" s="203" t="s">
        <v>1117</v>
      </c>
      <c r="F11" s="203" t="s">
        <v>1118</v>
      </c>
      <c r="G11" s="155" t="s">
        <v>621</v>
      </c>
      <c r="H11" s="155" t="s">
        <v>1119</v>
      </c>
      <c r="I11" s="155" t="s">
        <v>716</v>
      </c>
      <c r="J11" s="17">
        <v>6.0</v>
      </c>
      <c r="K11" s="122">
        <v>60000.0</v>
      </c>
      <c r="L11" s="122">
        <f t="shared" si="2"/>
        <v>360000</v>
      </c>
      <c r="M11" s="123"/>
      <c r="N11" s="164" t="s">
        <v>1120</v>
      </c>
      <c r="O11" s="17">
        <v>60.0</v>
      </c>
      <c r="P11" s="17">
        <v>0.0</v>
      </c>
      <c r="Q11" s="17">
        <v>20.0</v>
      </c>
      <c r="R11" s="17">
        <v>90.0</v>
      </c>
      <c r="S11" s="17">
        <v>60.0</v>
      </c>
      <c r="T11" s="17">
        <v>30.0</v>
      </c>
      <c r="U11" s="171">
        <f t="shared" si="1"/>
        <v>260</v>
      </c>
      <c r="V11" s="17" t="s">
        <v>453</v>
      </c>
      <c r="W11" s="17" t="s">
        <v>1165</v>
      </c>
      <c r="X11" s="133" t="s">
        <v>1166</v>
      </c>
      <c r="Y11" s="134" t="str">
        <f>HYPERLINK("https://drive.google.com/file/d/1ecI7HHxHcQ1X0ZLsyLOrXvoyzOFU6-QI/view?usp=drivesdk","GC-FID_Hana Prasita Larasati _47")</f>
        <v>GC-FID_Hana Prasita Larasati _47</v>
      </c>
      <c r="Z11" s="17" t="s">
        <v>1167</v>
      </c>
    </row>
    <row r="12">
      <c r="A12" s="201">
        <v>45693.0</v>
      </c>
      <c r="B12" s="201">
        <v>45693.0</v>
      </c>
      <c r="C12" s="168">
        <v>78.0</v>
      </c>
      <c r="D12" s="17" t="s">
        <v>1136</v>
      </c>
      <c r="E12" s="136" t="s">
        <v>1137</v>
      </c>
      <c r="F12" s="136" t="s">
        <v>1138</v>
      </c>
      <c r="G12" s="155" t="s">
        <v>621</v>
      </c>
      <c r="H12" s="155" t="s">
        <v>1119</v>
      </c>
      <c r="I12" s="155" t="s">
        <v>716</v>
      </c>
      <c r="J12" s="17">
        <v>3.0</v>
      </c>
      <c r="K12" s="122">
        <v>60000.0</v>
      </c>
      <c r="L12" s="122">
        <f t="shared" si="2"/>
        <v>180000</v>
      </c>
      <c r="M12" s="123"/>
      <c r="N12" s="169" t="s">
        <v>1158</v>
      </c>
      <c r="O12" s="17">
        <v>60.0</v>
      </c>
      <c r="P12" s="17">
        <v>0.0</v>
      </c>
      <c r="Q12" s="17">
        <v>20.0</v>
      </c>
      <c r="R12" s="17">
        <v>36.0</v>
      </c>
      <c r="S12" s="17">
        <v>30.0</v>
      </c>
      <c r="T12" s="17">
        <v>30.0</v>
      </c>
      <c r="U12" s="171">
        <f t="shared" si="1"/>
        <v>176</v>
      </c>
      <c r="V12" s="17" t="s">
        <v>453</v>
      </c>
      <c r="W12" s="17" t="s">
        <v>1168</v>
      </c>
      <c r="X12" s="133" t="s">
        <v>1169</v>
      </c>
      <c r="Y12" s="134" t="str">
        <f>HYPERLINK("https://drive.google.com/file/d/1mVGgW7NoVPFGIHVywgCs_D3uR0D5mpMY/view?usp=drivesdk","GC-FID_Nur Rohmah Al Fiyani_78")</f>
        <v>GC-FID_Nur Rohmah Al Fiyani_78</v>
      </c>
      <c r="Z12" s="17" t="s">
        <v>1170</v>
      </c>
    </row>
    <row r="13">
      <c r="A13" s="201">
        <v>45702.0</v>
      </c>
      <c r="B13" s="201">
        <v>45705.0</v>
      </c>
      <c r="C13" s="168">
        <v>101.0</v>
      </c>
      <c r="D13" s="17" t="s">
        <v>1130</v>
      </c>
      <c r="E13" s="136" t="s">
        <v>1131</v>
      </c>
      <c r="F13" s="136" t="s">
        <v>1132</v>
      </c>
      <c r="G13" s="155" t="s">
        <v>621</v>
      </c>
      <c r="H13" s="155" t="s">
        <v>1119</v>
      </c>
      <c r="I13" s="155" t="s">
        <v>716</v>
      </c>
      <c r="J13" s="17">
        <v>6.0</v>
      </c>
      <c r="K13" s="122">
        <v>60000.0</v>
      </c>
      <c r="L13" s="122">
        <f t="shared" si="2"/>
        <v>360000</v>
      </c>
      <c r="M13" s="123"/>
      <c r="N13" s="164" t="s">
        <v>1120</v>
      </c>
      <c r="O13" s="17">
        <v>60.0</v>
      </c>
      <c r="P13" s="17">
        <v>0.0</v>
      </c>
      <c r="Q13" s="17">
        <v>20.0</v>
      </c>
      <c r="R13" s="17">
        <v>90.0</v>
      </c>
      <c r="S13" s="17">
        <v>60.0</v>
      </c>
      <c r="T13" s="17">
        <v>30.0</v>
      </c>
      <c r="U13" s="171">
        <f t="shared" si="1"/>
        <v>260</v>
      </c>
      <c r="V13" s="17" t="s">
        <v>453</v>
      </c>
      <c r="W13" s="17" t="s">
        <v>1171</v>
      </c>
      <c r="X13" s="133" t="s">
        <v>1172</v>
      </c>
      <c r="Y13" s="134" t="str">
        <f>HYPERLINK("https://drive.google.com/file/d/1rL42hNhq2reDmqdkh-dUvDjUQuqRF6Zx/view?usp=drivesdk","GC-FID_Hana Prasita Larasati_101")</f>
        <v>GC-FID_Hana Prasita Larasati_101</v>
      </c>
      <c r="Z13" s="17" t="s">
        <v>1173</v>
      </c>
    </row>
    <row r="14">
      <c r="A14" s="201">
        <v>45702.0</v>
      </c>
      <c r="B14" s="201">
        <v>45705.0</v>
      </c>
      <c r="C14" s="168">
        <v>102.0</v>
      </c>
      <c r="D14" s="17" t="s">
        <v>1136</v>
      </c>
      <c r="E14" s="136" t="s">
        <v>1137</v>
      </c>
      <c r="F14" s="136" t="s">
        <v>1138</v>
      </c>
      <c r="G14" s="155" t="s">
        <v>621</v>
      </c>
      <c r="H14" s="155" t="s">
        <v>1119</v>
      </c>
      <c r="I14" s="155" t="s">
        <v>716</v>
      </c>
      <c r="J14" s="17">
        <v>6.0</v>
      </c>
      <c r="K14" s="122">
        <v>60000.0</v>
      </c>
      <c r="L14" s="122">
        <f t="shared" si="2"/>
        <v>360000</v>
      </c>
      <c r="M14" s="123"/>
      <c r="N14" s="169" t="s">
        <v>1158</v>
      </c>
      <c r="O14" s="17">
        <v>60.0</v>
      </c>
      <c r="P14" s="17">
        <v>0.0</v>
      </c>
      <c r="Q14" s="17">
        <v>20.0</v>
      </c>
      <c r="R14" s="17">
        <v>72.0</v>
      </c>
      <c r="S14" s="17">
        <v>60.0</v>
      </c>
      <c r="T14" s="17">
        <v>30.0</v>
      </c>
      <c r="U14" s="171">
        <f t="shared" si="1"/>
        <v>242</v>
      </c>
      <c r="V14" s="17" t="s">
        <v>453</v>
      </c>
      <c r="W14" s="17" t="s">
        <v>1174</v>
      </c>
      <c r="X14" s="133" t="s">
        <v>1175</v>
      </c>
      <c r="Y14" s="134" t="str">
        <f>HYPERLINK("https://drive.google.com/file/d/1jnWQsFZ4TSZ-CCUKxpfXMsIS3bH50Uep/view?usp=drivesdk","GC-FID_Nur Rohmah Al Fiyani_102")</f>
        <v>GC-FID_Nur Rohmah Al Fiyani_102</v>
      </c>
      <c r="Z14" s="17" t="s">
        <v>1173</v>
      </c>
    </row>
    <row r="15">
      <c r="A15" s="201">
        <v>45714.0</v>
      </c>
      <c r="B15" s="201">
        <v>45714.0</v>
      </c>
      <c r="C15" s="168">
        <v>136.0</v>
      </c>
      <c r="D15" s="136" t="s">
        <v>1136</v>
      </c>
      <c r="E15" s="136" t="s">
        <v>1137</v>
      </c>
      <c r="F15" s="136" t="s">
        <v>799</v>
      </c>
      <c r="G15" s="155" t="s">
        <v>621</v>
      </c>
      <c r="H15" s="155" t="s">
        <v>1119</v>
      </c>
      <c r="I15" s="155" t="s">
        <v>716</v>
      </c>
      <c r="J15" s="17">
        <v>3.0</v>
      </c>
      <c r="K15" s="122">
        <v>60000.0</v>
      </c>
      <c r="L15" s="122">
        <f t="shared" si="2"/>
        <v>180000</v>
      </c>
      <c r="M15" s="123"/>
      <c r="N15" s="169" t="s">
        <v>1158</v>
      </c>
      <c r="O15" s="17">
        <v>60.0</v>
      </c>
      <c r="P15" s="17">
        <v>0.0</v>
      </c>
      <c r="Q15" s="17">
        <v>20.0</v>
      </c>
      <c r="R15" s="17">
        <v>36.0</v>
      </c>
      <c r="S15" s="17">
        <v>30.0</v>
      </c>
      <c r="T15" s="17">
        <v>30.0</v>
      </c>
      <c r="U15" s="171">
        <f t="shared" si="1"/>
        <v>176</v>
      </c>
      <c r="V15" s="17" t="s">
        <v>453</v>
      </c>
      <c r="W15" s="17" t="s">
        <v>1176</v>
      </c>
      <c r="X15" s="133" t="s">
        <v>1177</v>
      </c>
      <c r="Y15" s="134" t="str">
        <f>HYPERLINK("https://drive.google.com/file/d/1fdd-4gHp-o4om5SAmEGHXIz1PTosO7vu/view?usp=drivesdk","GC-FID_Nur Rohmah Al Fiyani_136")</f>
        <v>GC-FID_Nur Rohmah Al Fiyani_136</v>
      </c>
      <c r="Z15" s="17" t="s">
        <v>1178</v>
      </c>
    </row>
    <row r="16">
      <c r="A16" s="201">
        <v>45714.0</v>
      </c>
      <c r="B16" s="201">
        <v>45715.0</v>
      </c>
      <c r="C16" s="168">
        <v>129.0</v>
      </c>
      <c r="D16" s="136" t="s">
        <v>1130</v>
      </c>
      <c r="E16" s="136" t="s">
        <v>1131</v>
      </c>
      <c r="F16" s="136" t="s">
        <v>1118</v>
      </c>
      <c r="G16" s="155" t="s">
        <v>621</v>
      </c>
      <c r="H16" s="155" t="s">
        <v>1119</v>
      </c>
      <c r="I16" s="155" t="s">
        <v>716</v>
      </c>
      <c r="J16" s="17">
        <v>6.0</v>
      </c>
      <c r="K16" s="122">
        <v>60000.0</v>
      </c>
      <c r="L16" s="122">
        <f t="shared" si="2"/>
        <v>360000</v>
      </c>
      <c r="M16" s="123"/>
      <c r="N16" s="164" t="s">
        <v>1120</v>
      </c>
      <c r="O16" s="17">
        <v>60.0</v>
      </c>
      <c r="P16" s="17">
        <v>0.0</v>
      </c>
      <c r="Q16" s="17">
        <v>20.0</v>
      </c>
      <c r="R16" s="17">
        <v>90.0</v>
      </c>
      <c r="S16" s="17">
        <v>60.0</v>
      </c>
      <c r="T16" s="17">
        <v>30.0</v>
      </c>
      <c r="U16" s="171">
        <f t="shared" si="1"/>
        <v>260</v>
      </c>
      <c r="V16" s="17" t="s">
        <v>453</v>
      </c>
      <c r="W16" s="17" t="s">
        <v>1179</v>
      </c>
      <c r="X16" s="133" t="s">
        <v>1180</v>
      </c>
      <c r="Y16" s="134" t="str">
        <f>HYPERLINK("https://drive.google.com/file/d/1CkTRrWDCWh34SvWCmnr_K1_9k_9o2mMN/view?usp=drivesdk","GC-FID_Hana Prasita Larasati_129")</f>
        <v>GC-FID_Hana Prasita Larasati_129</v>
      </c>
      <c r="Z16" s="17" t="s">
        <v>1181</v>
      </c>
    </row>
    <row r="17">
      <c r="A17" s="201">
        <v>45712.0</v>
      </c>
      <c r="B17" s="201">
        <v>45716.0</v>
      </c>
      <c r="C17" s="168">
        <v>125.0</v>
      </c>
      <c r="D17" s="207" t="s">
        <v>1149</v>
      </c>
      <c r="E17" s="207" t="s">
        <v>1150</v>
      </c>
      <c r="F17" s="207" t="s">
        <v>1182</v>
      </c>
      <c r="G17" s="155" t="s">
        <v>621</v>
      </c>
      <c r="H17" s="155" t="s">
        <v>1119</v>
      </c>
      <c r="I17" s="155" t="s">
        <v>716</v>
      </c>
      <c r="J17" s="208">
        <v>10.0</v>
      </c>
      <c r="K17" s="122">
        <v>60000.0</v>
      </c>
      <c r="L17" s="122">
        <f t="shared" si="2"/>
        <v>600000</v>
      </c>
      <c r="M17" s="123"/>
      <c r="N17" s="164" t="s">
        <v>1120</v>
      </c>
      <c r="O17" s="17">
        <v>60.0</v>
      </c>
      <c r="P17" s="17">
        <v>0.0</v>
      </c>
      <c r="Q17" s="17">
        <v>20.0</v>
      </c>
      <c r="R17" s="17">
        <v>90.0</v>
      </c>
      <c r="S17" s="17">
        <v>60.0</v>
      </c>
      <c r="T17" s="17">
        <v>30.0</v>
      </c>
      <c r="U17" s="171">
        <f t="shared" si="1"/>
        <v>260</v>
      </c>
      <c r="V17" s="17" t="s">
        <v>453</v>
      </c>
      <c r="W17" s="17" t="s">
        <v>1183</v>
      </c>
      <c r="X17" s="133" t="s">
        <v>1184</v>
      </c>
      <c r="Y17" s="134" t="str">
        <f>HYPERLINK("https://drive.google.com/file/d/1HnoNYxrQIte-ywj4uU__TFHAUAZLzr2m/view?usp=drivesdk","GC-FID_Dwi Safitri_125")</f>
        <v>GC-FID_Dwi Safitri_125</v>
      </c>
      <c r="Z17" s="17" t="s">
        <v>1185</v>
      </c>
    </row>
    <row r="18">
      <c r="A18" s="201">
        <v>45716.0</v>
      </c>
      <c r="B18" s="201">
        <v>45719.0</v>
      </c>
      <c r="C18" s="168">
        <v>140.0</v>
      </c>
      <c r="D18" s="136" t="s">
        <v>1130</v>
      </c>
      <c r="E18" s="136" t="s">
        <v>1131</v>
      </c>
      <c r="F18" s="136" t="s">
        <v>1132</v>
      </c>
      <c r="G18" s="155" t="s">
        <v>621</v>
      </c>
      <c r="H18" s="155" t="s">
        <v>1119</v>
      </c>
      <c r="I18" s="155" t="s">
        <v>716</v>
      </c>
      <c r="J18" s="208">
        <v>4.0</v>
      </c>
      <c r="K18" s="122">
        <v>60000.0</v>
      </c>
      <c r="L18" s="122">
        <f t="shared" si="2"/>
        <v>240000</v>
      </c>
      <c r="M18" s="123"/>
      <c r="N18" s="164" t="s">
        <v>1120</v>
      </c>
      <c r="O18" s="17">
        <v>60.0</v>
      </c>
      <c r="P18" s="17">
        <v>0.0</v>
      </c>
      <c r="Q18" s="17">
        <v>20.0</v>
      </c>
      <c r="R18" s="17">
        <v>60.0</v>
      </c>
      <c r="S18" s="17">
        <v>40.0</v>
      </c>
      <c r="T18" s="17">
        <v>30.0</v>
      </c>
      <c r="U18" s="171">
        <f t="shared" si="1"/>
        <v>210</v>
      </c>
      <c r="V18" s="17" t="s">
        <v>453</v>
      </c>
      <c r="W18" s="17" t="s">
        <v>1186</v>
      </c>
      <c r="X18" s="133" t="s">
        <v>1187</v>
      </c>
      <c r="Y18" s="134" t="str">
        <f>HYPERLINK("https://drive.google.com/file/d/1wmDtI2G2sR6a1xKx9msJlSD7cI3G8Agu/view?usp=drivesdk","GC-FID_Hana Prasita Larasati_140")</f>
        <v>GC-FID_Hana Prasita Larasati_140</v>
      </c>
      <c r="Z18" s="17" t="s">
        <v>1188</v>
      </c>
    </row>
    <row r="19">
      <c r="A19" s="201">
        <v>45721.0</v>
      </c>
      <c r="B19" s="201">
        <v>45722.0</v>
      </c>
      <c r="C19" s="168">
        <v>149.0</v>
      </c>
      <c r="D19" s="136" t="s">
        <v>1143</v>
      </c>
      <c r="E19" s="136" t="s">
        <v>872</v>
      </c>
      <c r="F19" s="136" t="s">
        <v>799</v>
      </c>
      <c r="G19" s="155" t="s">
        <v>621</v>
      </c>
      <c r="H19" s="155" t="s">
        <v>1119</v>
      </c>
      <c r="I19" s="155" t="s">
        <v>716</v>
      </c>
      <c r="J19" s="17">
        <v>10.0</v>
      </c>
      <c r="K19" s="122">
        <v>60000.0</v>
      </c>
      <c r="L19" s="122">
        <f t="shared" si="2"/>
        <v>600000</v>
      </c>
      <c r="M19" s="123"/>
      <c r="N19" s="169" t="s">
        <v>1145</v>
      </c>
      <c r="O19" s="17">
        <v>60.0</v>
      </c>
      <c r="P19" s="17">
        <v>0.0</v>
      </c>
      <c r="Q19" s="17">
        <v>30.0</v>
      </c>
      <c r="R19" s="17">
        <v>180.0</v>
      </c>
      <c r="S19" s="17">
        <v>100.0</v>
      </c>
      <c r="T19" s="17">
        <v>30.0</v>
      </c>
      <c r="U19" s="171">
        <f t="shared" si="1"/>
        <v>400</v>
      </c>
      <c r="V19" s="17" t="s">
        <v>453</v>
      </c>
      <c r="W19" s="17" t="s">
        <v>1189</v>
      </c>
      <c r="X19" s="133" t="s">
        <v>1190</v>
      </c>
      <c r="Y19" s="134" t="str">
        <f>HYPERLINK("https://drive.google.com/file/d/1Yc4KURsHgUz3JITFHVXpUBFl5PW6uhv_/view?usp=drivesdk","GC-FID_Vito Bintang Saputra _149")</f>
        <v>GC-FID_Vito Bintang Saputra _149</v>
      </c>
      <c r="Z19" s="17" t="s">
        <v>1191</v>
      </c>
    </row>
    <row r="20">
      <c r="A20" s="201">
        <v>45722.0</v>
      </c>
      <c r="B20" s="201">
        <v>45723.0</v>
      </c>
      <c r="C20" s="168">
        <v>151.0</v>
      </c>
      <c r="D20" s="136" t="s">
        <v>1116</v>
      </c>
      <c r="E20" s="136" t="s">
        <v>1192</v>
      </c>
      <c r="F20" s="136" t="s">
        <v>1118</v>
      </c>
      <c r="G20" s="155" t="s">
        <v>621</v>
      </c>
      <c r="H20" s="155" t="s">
        <v>1119</v>
      </c>
      <c r="I20" s="155" t="s">
        <v>716</v>
      </c>
      <c r="J20" s="156">
        <v>9.0</v>
      </c>
      <c r="K20" s="122">
        <v>60000.0</v>
      </c>
      <c r="L20" s="122">
        <f t="shared" si="2"/>
        <v>540000</v>
      </c>
      <c r="M20" s="123"/>
      <c r="N20" s="164" t="s">
        <v>1120</v>
      </c>
      <c r="O20" s="17">
        <v>60.0</v>
      </c>
      <c r="P20" s="17">
        <v>0.0</v>
      </c>
      <c r="Q20" s="17">
        <v>20.0</v>
      </c>
      <c r="R20" s="17">
        <v>135.0</v>
      </c>
      <c r="S20" s="17">
        <v>90.0</v>
      </c>
      <c r="T20" s="17">
        <v>30.0</v>
      </c>
      <c r="U20" s="171">
        <f t="shared" si="1"/>
        <v>335</v>
      </c>
      <c r="V20" s="17" t="s">
        <v>453</v>
      </c>
      <c r="W20" s="17" t="s">
        <v>1193</v>
      </c>
      <c r="X20" s="133" t="s">
        <v>1194</v>
      </c>
      <c r="Y20" s="134" t="str">
        <f>HYPERLINK("https://drive.google.com/file/d/1-AROhlRHjzIii4IjzmzRbWg10XJlpLp0/view?usp=drivesdk","GC-FID_Hana Prasita Larasati _151")</f>
        <v>GC-FID_Hana Prasita Larasati _151</v>
      </c>
      <c r="Z20" s="17" t="s">
        <v>1191</v>
      </c>
    </row>
    <row r="21">
      <c r="A21" s="201">
        <v>45729.0</v>
      </c>
      <c r="B21" s="201">
        <v>45729.0</v>
      </c>
      <c r="C21" s="168">
        <v>161.0</v>
      </c>
      <c r="D21" s="136" t="s">
        <v>1116</v>
      </c>
      <c r="E21" s="136" t="s">
        <v>1192</v>
      </c>
      <c r="F21" s="136" t="s">
        <v>1118</v>
      </c>
      <c r="G21" s="155" t="s">
        <v>621</v>
      </c>
      <c r="H21" s="155" t="s">
        <v>1119</v>
      </c>
      <c r="I21" s="155" t="s">
        <v>716</v>
      </c>
      <c r="J21" s="156">
        <v>3.0</v>
      </c>
      <c r="K21" s="122">
        <v>60000.0</v>
      </c>
      <c r="L21" s="122">
        <f t="shared" si="2"/>
        <v>180000</v>
      </c>
      <c r="M21" s="123"/>
      <c r="N21" s="164" t="s">
        <v>1120</v>
      </c>
      <c r="O21" s="17">
        <v>60.0</v>
      </c>
      <c r="P21" s="17">
        <v>0.0</v>
      </c>
      <c r="Q21" s="17">
        <v>20.0</v>
      </c>
      <c r="R21" s="17">
        <v>45.0</v>
      </c>
      <c r="S21" s="17">
        <v>30.0</v>
      </c>
      <c r="T21" s="17">
        <v>30.0</v>
      </c>
      <c r="U21" s="171">
        <f t="shared" si="1"/>
        <v>185</v>
      </c>
      <c r="V21" s="17" t="s">
        <v>453</v>
      </c>
      <c r="W21" s="17" t="s">
        <v>1195</v>
      </c>
      <c r="X21" s="133" t="s">
        <v>1196</v>
      </c>
      <c r="Y21" s="134" t="str">
        <f>HYPERLINK("https://drive.google.com/file/d/1nM8kOtA8O5M2x4vVPRefXRrll9VQcgzo/view?usp=drivesdk","GC-FID_Hana Prasita Larasati _161")</f>
        <v>GC-FID_Hana Prasita Larasati _161</v>
      </c>
      <c r="Z21" s="17" t="s">
        <v>1197</v>
      </c>
    </row>
    <row r="22">
      <c r="A22" s="201">
        <v>45729.0</v>
      </c>
      <c r="B22" s="201">
        <v>45730.0</v>
      </c>
      <c r="C22" s="168">
        <v>163.0</v>
      </c>
      <c r="D22" s="136" t="s">
        <v>1143</v>
      </c>
      <c r="E22" s="136" t="s">
        <v>872</v>
      </c>
      <c r="F22" s="136" t="s">
        <v>799</v>
      </c>
      <c r="G22" s="155" t="s">
        <v>621</v>
      </c>
      <c r="H22" s="155" t="s">
        <v>1119</v>
      </c>
      <c r="I22" s="155" t="s">
        <v>716</v>
      </c>
      <c r="J22" s="156">
        <v>3.0</v>
      </c>
      <c r="K22" s="122">
        <v>60000.0</v>
      </c>
      <c r="L22" s="122">
        <f t="shared" si="2"/>
        <v>180000</v>
      </c>
      <c r="M22" s="123"/>
      <c r="N22" s="169" t="s">
        <v>1145</v>
      </c>
      <c r="O22" s="17">
        <v>60.0</v>
      </c>
      <c r="P22" s="17">
        <v>0.0</v>
      </c>
      <c r="Q22" s="17">
        <v>20.0</v>
      </c>
      <c r="R22" s="171">
        <f>18*J22</f>
        <v>54</v>
      </c>
      <c r="S22" s="17">
        <v>30.0</v>
      </c>
      <c r="T22" s="17">
        <v>30.0</v>
      </c>
      <c r="U22" s="171">
        <f t="shared" si="1"/>
        <v>194</v>
      </c>
      <c r="V22" s="17" t="s">
        <v>453</v>
      </c>
      <c r="W22" s="17" t="s">
        <v>1198</v>
      </c>
      <c r="X22" s="133" t="s">
        <v>1199</v>
      </c>
      <c r="Y22" s="134" t="str">
        <f>HYPERLINK("https://drive.google.com/file/d/16bdqrhiSukCo0L1eCqQomZUwXzp1EVS-/view?usp=drivesdk","GC-FID_Vito Bintang Saputra _163")</f>
        <v>GC-FID_Vito Bintang Saputra _163</v>
      </c>
      <c r="Z22" s="17" t="s">
        <v>1197</v>
      </c>
    </row>
    <row r="23">
      <c r="A23" s="201">
        <v>45729.0</v>
      </c>
      <c r="B23" s="201">
        <v>45730.0</v>
      </c>
      <c r="C23" s="168">
        <v>162.0</v>
      </c>
      <c r="D23" s="136" t="s">
        <v>1136</v>
      </c>
      <c r="E23" s="136" t="s">
        <v>1137</v>
      </c>
      <c r="F23" s="136" t="s">
        <v>799</v>
      </c>
      <c r="G23" s="155" t="s">
        <v>621</v>
      </c>
      <c r="H23" s="155" t="s">
        <v>1119</v>
      </c>
      <c r="I23" s="155" t="s">
        <v>716</v>
      </c>
      <c r="J23" s="156">
        <v>4.0</v>
      </c>
      <c r="K23" s="122">
        <v>60000.0</v>
      </c>
      <c r="L23" s="122">
        <f t="shared" si="2"/>
        <v>240000</v>
      </c>
      <c r="M23" s="123"/>
      <c r="N23" s="169" t="s">
        <v>1139</v>
      </c>
      <c r="O23" s="17">
        <v>60.0</v>
      </c>
      <c r="P23" s="17">
        <v>0.0</v>
      </c>
      <c r="Q23" s="17">
        <v>20.0</v>
      </c>
      <c r="R23" s="171">
        <f>16*J23</f>
        <v>64</v>
      </c>
      <c r="S23" s="17">
        <v>30.0</v>
      </c>
      <c r="T23" s="17">
        <v>30.0</v>
      </c>
      <c r="U23" s="171">
        <f t="shared" si="1"/>
        <v>204</v>
      </c>
      <c r="V23" s="17" t="s">
        <v>453</v>
      </c>
      <c r="W23" s="17" t="s">
        <v>1200</v>
      </c>
      <c r="X23" s="133" t="s">
        <v>1201</v>
      </c>
      <c r="Y23" s="134" t="str">
        <f>HYPERLINK("https://drive.google.com/file/d/1O9gSc17UhUjajlUxdqfT-S-tcMXc7TRS/view?usp=drivesdk","GC-FID_Nur Rohmah Al Fiyani_162")</f>
        <v>GC-FID_Nur Rohmah Al Fiyani_162</v>
      </c>
      <c r="Z23" s="17" t="s">
        <v>1197</v>
      </c>
    </row>
    <row r="24">
      <c r="A24" s="201">
        <v>45736.0</v>
      </c>
      <c r="B24" s="201">
        <v>45737.0</v>
      </c>
      <c r="C24" s="168">
        <v>175.0</v>
      </c>
      <c r="D24" s="136" t="s">
        <v>1143</v>
      </c>
      <c r="E24" s="136" t="s">
        <v>872</v>
      </c>
      <c r="F24" s="136" t="s">
        <v>799</v>
      </c>
      <c r="G24" s="155" t="s">
        <v>621</v>
      </c>
      <c r="H24" s="155" t="s">
        <v>1119</v>
      </c>
      <c r="I24" s="155" t="s">
        <v>716</v>
      </c>
      <c r="J24" s="156">
        <v>5.0</v>
      </c>
      <c r="K24" s="122">
        <v>60000.0</v>
      </c>
      <c r="L24" s="122">
        <f t="shared" si="2"/>
        <v>300000</v>
      </c>
      <c r="M24" s="123"/>
      <c r="N24" s="169" t="s">
        <v>1145</v>
      </c>
      <c r="O24" s="17">
        <v>60.0</v>
      </c>
      <c r="P24" s="17">
        <v>0.0</v>
      </c>
      <c r="Q24" s="17">
        <v>20.0</v>
      </c>
      <c r="R24" s="171">
        <f t="shared" ref="R24:R25" si="3">18*J24</f>
        <v>90</v>
      </c>
      <c r="S24" s="17">
        <v>30.0</v>
      </c>
      <c r="T24" s="17">
        <v>30.0</v>
      </c>
      <c r="U24" s="171">
        <f t="shared" si="1"/>
        <v>230</v>
      </c>
      <c r="V24" s="17" t="s">
        <v>453</v>
      </c>
      <c r="W24" s="17" t="s">
        <v>1202</v>
      </c>
      <c r="X24" s="133" t="s">
        <v>1203</v>
      </c>
      <c r="Y24" s="134" t="str">
        <f>HYPERLINK("https://drive.google.com/file/d/12YCv5tqMntVhewBJG8tzbQqD8gjSLK13/view?usp=drivesdk","GC-FID_Vito Bintang Saputra _175")</f>
        <v>GC-FID_Vito Bintang Saputra _175</v>
      </c>
      <c r="Z24" s="17" t="s">
        <v>1204</v>
      </c>
    </row>
    <row r="25">
      <c r="A25" s="201">
        <v>45737.0</v>
      </c>
      <c r="B25" s="201">
        <v>45740.0</v>
      </c>
      <c r="C25" s="168">
        <v>178.0</v>
      </c>
      <c r="D25" s="136" t="s">
        <v>1143</v>
      </c>
      <c r="E25" s="136" t="s">
        <v>872</v>
      </c>
      <c r="F25" s="136" t="s">
        <v>799</v>
      </c>
      <c r="G25" s="155" t="s">
        <v>621</v>
      </c>
      <c r="H25" s="155" t="s">
        <v>1119</v>
      </c>
      <c r="I25" s="155" t="s">
        <v>716</v>
      </c>
      <c r="J25" s="156">
        <v>2.0</v>
      </c>
      <c r="K25" s="122">
        <v>60000.0</v>
      </c>
      <c r="L25" s="122">
        <f t="shared" si="2"/>
        <v>120000</v>
      </c>
      <c r="M25" s="123"/>
      <c r="N25" s="169" t="s">
        <v>1145</v>
      </c>
      <c r="O25" s="17">
        <v>60.0</v>
      </c>
      <c r="P25" s="17">
        <v>0.0</v>
      </c>
      <c r="Q25" s="17">
        <v>20.0</v>
      </c>
      <c r="R25" s="171">
        <f t="shared" si="3"/>
        <v>36</v>
      </c>
      <c r="S25" s="17">
        <v>30.0</v>
      </c>
      <c r="T25" s="17">
        <v>30.0</v>
      </c>
      <c r="U25" s="171">
        <f t="shared" si="1"/>
        <v>176</v>
      </c>
      <c r="V25" s="17" t="s">
        <v>453</v>
      </c>
      <c r="W25" s="17" t="s">
        <v>1205</v>
      </c>
      <c r="X25" s="133" t="s">
        <v>1206</v>
      </c>
      <c r="Y25" s="134" t="str">
        <f>HYPERLINK("https://drive.google.com/file/d/1DXu8l-S9kje15PxyBIDBoJqsysgtRhne/view?usp=drivesdk","GC-FID_Vito Bintang Saputra _178")</f>
        <v>GC-FID_Vito Bintang Saputra _178</v>
      </c>
      <c r="Z25" s="17" t="s">
        <v>1207</v>
      </c>
    </row>
    <row r="26">
      <c r="A26" s="201">
        <v>45737.0</v>
      </c>
      <c r="B26" s="201">
        <v>45740.0</v>
      </c>
      <c r="C26" s="168">
        <v>179.0</v>
      </c>
      <c r="D26" s="136" t="s">
        <v>1136</v>
      </c>
      <c r="E26" s="136" t="s">
        <v>1137</v>
      </c>
      <c r="F26" s="136" t="s">
        <v>799</v>
      </c>
      <c r="G26" s="155" t="s">
        <v>621</v>
      </c>
      <c r="H26" s="155" t="s">
        <v>1119</v>
      </c>
      <c r="I26" s="155" t="s">
        <v>716</v>
      </c>
      <c r="J26" s="156">
        <v>3.0</v>
      </c>
      <c r="K26" s="122">
        <v>60000.0</v>
      </c>
      <c r="L26" s="122">
        <f t="shared" si="2"/>
        <v>180000</v>
      </c>
      <c r="M26" s="123"/>
      <c r="N26" s="169" t="s">
        <v>1139</v>
      </c>
      <c r="O26" s="17">
        <v>60.0</v>
      </c>
      <c r="P26" s="17">
        <v>0.0</v>
      </c>
      <c r="Q26" s="17">
        <v>20.0</v>
      </c>
      <c r="R26" s="171">
        <f t="shared" ref="R26:R51" si="4">16*J26</f>
        <v>48</v>
      </c>
      <c r="S26" s="17">
        <v>30.0</v>
      </c>
      <c r="T26" s="17">
        <v>30.0</v>
      </c>
      <c r="U26" s="171">
        <f t="shared" si="1"/>
        <v>188</v>
      </c>
      <c r="V26" s="17" t="s">
        <v>453</v>
      </c>
      <c r="W26" s="17" t="s">
        <v>1208</v>
      </c>
      <c r="X26" s="133" t="s">
        <v>1209</v>
      </c>
      <c r="Y26" s="134" t="str">
        <f>HYPERLINK("https://drive.google.com/file/d/1ISSAO3eiuvwDkDnvWi_iSAxkd0i5ugS_/view?usp=drivesdk","GC-FID_Nur Rohmah Al Fiyani_179")</f>
        <v>GC-FID_Nur Rohmah Al Fiyani_179</v>
      </c>
      <c r="Z26" s="17" t="s">
        <v>1207</v>
      </c>
    </row>
    <row r="27">
      <c r="A27" s="201">
        <v>45740.0</v>
      </c>
      <c r="B27" s="201">
        <v>45741.0</v>
      </c>
      <c r="C27" s="168">
        <v>183.0</v>
      </c>
      <c r="D27" s="136" t="s">
        <v>1116</v>
      </c>
      <c r="E27" s="136" t="s">
        <v>1192</v>
      </c>
      <c r="F27" s="136" t="s">
        <v>1118</v>
      </c>
      <c r="G27" s="155" t="s">
        <v>621</v>
      </c>
      <c r="H27" s="155" t="s">
        <v>1119</v>
      </c>
      <c r="I27" s="155" t="s">
        <v>716</v>
      </c>
      <c r="J27" s="156">
        <v>12.0</v>
      </c>
      <c r="K27" s="122">
        <v>60000.0</v>
      </c>
      <c r="L27" s="122">
        <f t="shared" si="2"/>
        <v>720000</v>
      </c>
      <c r="M27" s="123"/>
      <c r="N27" s="164" t="s">
        <v>1120</v>
      </c>
      <c r="O27" s="17">
        <v>60.0</v>
      </c>
      <c r="P27" s="17">
        <v>0.0</v>
      </c>
      <c r="Q27" s="17">
        <v>20.0</v>
      </c>
      <c r="R27" s="171">
        <f t="shared" si="4"/>
        <v>192</v>
      </c>
      <c r="S27" s="17">
        <v>30.0</v>
      </c>
      <c r="T27" s="17">
        <v>30.0</v>
      </c>
      <c r="U27" s="171">
        <f t="shared" si="1"/>
        <v>332</v>
      </c>
      <c r="V27" s="17" t="s">
        <v>453</v>
      </c>
      <c r="W27" s="17" t="s">
        <v>1210</v>
      </c>
      <c r="X27" s="133" t="s">
        <v>1211</v>
      </c>
      <c r="Y27" s="134" t="str">
        <f>HYPERLINK("https://drive.google.com/file/d/1LpSBvogH5BQMrU6OZ1VCMgyR-IAT1zIf/view?usp=drivesdk","GC-FID_Hana Prasita Larasati _183")</f>
        <v>GC-FID_Hana Prasita Larasati _183</v>
      </c>
      <c r="Z27" s="17" t="s">
        <v>1212</v>
      </c>
    </row>
    <row r="28">
      <c r="A28" s="201">
        <v>45757.0</v>
      </c>
      <c r="B28" s="201">
        <v>45761.0</v>
      </c>
      <c r="C28" s="168">
        <v>191.0</v>
      </c>
      <c r="D28" s="136" t="s">
        <v>1116</v>
      </c>
      <c r="E28" s="136" t="s">
        <v>1192</v>
      </c>
      <c r="F28" s="136" t="s">
        <v>1118</v>
      </c>
      <c r="G28" s="155" t="s">
        <v>621</v>
      </c>
      <c r="H28" s="155" t="s">
        <v>1119</v>
      </c>
      <c r="I28" s="155" t="s">
        <v>716</v>
      </c>
      <c r="J28" s="156">
        <v>6.0</v>
      </c>
      <c r="K28" s="122">
        <v>60000.0</v>
      </c>
      <c r="L28" s="122">
        <f t="shared" si="2"/>
        <v>360000</v>
      </c>
      <c r="M28" s="123"/>
      <c r="N28" s="164" t="s">
        <v>1120</v>
      </c>
      <c r="O28" s="17">
        <v>60.0</v>
      </c>
      <c r="P28" s="17">
        <v>0.0</v>
      </c>
      <c r="Q28" s="17">
        <v>20.0</v>
      </c>
      <c r="R28" s="171">
        <f t="shared" si="4"/>
        <v>96</v>
      </c>
      <c r="S28" s="17">
        <v>30.0</v>
      </c>
      <c r="T28" s="17">
        <v>30.0</v>
      </c>
      <c r="U28" s="171">
        <f t="shared" si="1"/>
        <v>236</v>
      </c>
      <c r="V28" s="17" t="s">
        <v>453</v>
      </c>
      <c r="W28" s="17" t="s">
        <v>1213</v>
      </c>
      <c r="X28" s="133" t="s">
        <v>1214</v>
      </c>
      <c r="Y28" s="134" t="str">
        <f>HYPERLINK("https://drive.google.com/file/d/162a4YTcuB9tMi8y8WoT3V_DQS3x17XLl/view?usp=drivesdk","GC-FID_Hana Prasita Larasati _191")</f>
        <v>GC-FID_Hana Prasita Larasati _191</v>
      </c>
      <c r="Z28" s="17" t="s">
        <v>1215</v>
      </c>
    </row>
    <row r="29">
      <c r="A29" s="201">
        <v>45761.0</v>
      </c>
      <c r="B29" s="201">
        <v>45763.0</v>
      </c>
      <c r="C29" s="168">
        <v>195.0</v>
      </c>
      <c r="D29" s="17" t="s">
        <v>1216</v>
      </c>
      <c r="E29" s="17" t="s">
        <v>1150</v>
      </c>
      <c r="F29" s="136" t="s">
        <v>1118</v>
      </c>
      <c r="G29" s="155" t="s">
        <v>621</v>
      </c>
      <c r="H29" s="155" t="s">
        <v>1119</v>
      </c>
      <c r="I29" s="155" t="s">
        <v>716</v>
      </c>
      <c r="J29" s="156">
        <v>4.0</v>
      </c>
      <c r="K29" s="122">
        <v>60000.0</v>
      </c>
      <c r="L29" s="122">
        <f t="shared" si="2"/>
        <v>240000</v>
      </c>
      <c r="M29" s="123"/>
      <c r="N29" s="164" t="s">
        <v>1120</v>
      </c>
      <c r="O29" s="17">
        <v>60.0</v>
      </c>
      <c r="P29" s="17">
        <v>0.0</v>
      </c>
      <c r="Q29" s="17">
        <v>20.0</v>
      </c>
      <c r="R29" s="171">
        <f t="shared" si="4"/>
        <v>64</v>
      </c>
      <c r="S29" s="17">
        <v>30.0</v>
      </c>
      <c r="T29" s="17">
        <v>30.0</v>
      </c>
      <c r="U29" s="171">
        <f t="shared" si="1"/>
        <v>204</v>
      </c>
      <c r="V29" s="17" t="s">
        <v>453</v>
      </c>
      <c r="W29" s="17" t="s">
        <v>1217</v>
      </c>
      <c r="X29" s="133" t="s">
        <v>1218</v>
      </c>
      <c r="Y29" s="134" t="str">
        <f>HYPERLINK("https://drive.google.com/file/d/1oyB8dgZbnYjZhFNUQe7j5CnXpps5eGuE/view?usp=drivesdk","GC-FID_Dwi Safitri _195")</f>
        <v>GC-FID_Dwi Safitri _195</v>
      </c>
      <c r="Z29" s="17" t="s">
        <v>1219</v>
      </c>
    </row>
    <row r="30">
      <c r="A30" s="201">
        <v>45763.0</v>
      </c>
      <c r="B30" s="201">
        <v>45764.0</v>
      </c>
      <c r="C30" s="168">
        <v>206.0</v>
      </c>
      <c r="D30" s="136" t="s">
        <v>1116</v>
      </c>
      <c r="E30" s="136" t="s">
        <v>1117</v>
      </c>
      <c r="F30" s="136" t="s">
        <v>1220</v>
      </c>
      <c r="G30" s="155" t="s">
        <v>621</v>
      </c>
      <c r="H30" s="155" t="s">
        <v>1119</v>
      </c>
      <c r="I30" s="155" t="s">
        <v>716</v>
      </c>
      <c r="J30" s="156">
        <v>6.0</v>
      </c>
      <c r="K30" s="122">
        <v>60000.0</v>
      </c>
      <c r="L30" s="122">
        <f t="shared" si="2"/>
        <v>360000</v>
      </c>
      <c r="M30" s="123"/>
      <c r="N30" s="164" t="s">
        <v>1120</v>
      </c>
      <c r="O30" s="17">
        <v>60.0</v>
      </c>
      <c r="P30" s="17">
        <v>0.0</v>
      </c>
      <c r="Q30" s="17">
        <v>20.0</v>
      </c>
      <c r="R30" s="171">
        <f t="shared" si="4"/>
        <v>96</v>
      </c>
      <c r="S30" s="17">
        <v>30.0</v>
      </c>
      <c r="T30" s="17">
        <v>30.0</v>
      </c>
      <c r="U30" s="171">
        <f t="shared" si="1"/>
        <v>236</v>
      </c>
      <c r="V30" s="17" t="s">
        <v>453</v>
      </c>
      <c r="W30" s="17" t="s">
        <v>1221</v>
      </c>
      <c r="X30" s="133" t="s">
        <v>1222</v>
      </c>
      <c r="Y30" s="134" t="str">
        <f>HYPERLINK("https://drive.google.com/file/d/11SrLctOIz7xNPhIfU4TGMHTbZ4Grxo6V/view?usp=drivesdk","GC-FID_Hana Prasita Larasati _206")</f>
        <v>GC-FID_Hana Prasita Larasati _206</v>
      </c>
      <c r="Z30" s="17" t="s">
        <v>1223</v>
      </c>
    </row>
    <row r="31">
      <c r="A31" s="201">
        <v>45764.0</v>
      </c>
      <c r="B31" s="201">
        <v>45768.0</v>
      </c>
      <c r="C31" s="168">
        <v>209.0</v>
      </c>
      <c r="D31" s="17" t="s">
        <v>1216</v>
      </c>
      <c r="E31" s="17" t="s">
        <v>1150</v>
      </c>
      <c r="F31" s="136" t="s">
        <v>1118</v>
      </c>
      <c r="G31" s="155" t="s">
        <v>621</v>
      </c>
      <c r="H31" s="155" t="s">
        <v>1119</v>
      </c>
      <c r="I31" s="155" t="s">
        <v>716</v>
      </c>
      <c r="J31" s="156">
        <v>2.0</v>
      </c>
      <c r="K31" s="122">
        <v>60000.0</v>
      </c>
      <c r="L31" s="122">
        <f t="shared" si="2"/>
        <v>120000</v>
      </c>
      <c r="M31" s="123"/>
      <c r="N31" s="164" t="s">
        <v>1120</v>
      </c>
      <c r="O31" s="17">
        <v>60.0</v>
      </c>
      <c r="P31" s="17">
        <v>0.0</v>
      </c>
      <c r="Q31" s="17">
        <v>20.0</v>
      </c>
      <c r="R31" s="171">
        <f t="shared" si="4"/>
        <v>32</v>
      </c>
      <c r="S31" s="17">
        <v>30.0</v>
      </c>
      <c r="T31" s="17">
        <v>30.0</v>
      </c>
      <c r="U31" s="171">
        <f t="shared" si="1"/>
        <v>172</v>
      </c>
      <c r="V31" s="17" t="s">
        <v>453</v>
      </c>
      <c r="W31" s="17" t="s">
        <v>1224</v>
      </c>
      <c r="X31" s="133" t="s">
        <v>1225</v>
      </c>
      <c r="Y31" s="134" t="str">
        <f>HYPERLINK("https://drive.google.com/file/d/1nccbRcVp72U2qv6bAtaFBmaxHoo7NULU/view?usp=drivesdk","GC-FID_Dwi Safitri _209")</f>
        <v>GC-FID_Dwi Safitri _209</v>
      </c>
      <c r="Z31" s="17" t="s">
        <v>1226</v>
      </c>
    </row>
    <row r="32">
      <c r="A32" s="201">
        <v>45768.0</v>
      </c>
      <c r="B32" s="201">
        <v>45769.0</v>
      </c>
      <c r="C32" s="168">
        <v>214.0</v>
      </c>
      <c r="D32" s="136" t="s">
        <v>1116</v>
      </c>
      <c r="E32" s="136" t="s">
        <v>1117</v>
      </c>
      <c r="F32" s="136" t="s">
        <v>1220</v>
      </c>
      <c r="G32" s="155" t="s">
        <v>621</v>
      </c>
      <c r="H32" s="155" t="s">
        <v>1119</v>
      </c>
      <c r="I32" s="155" t="s">
        <v>716</v>
      </c>
      <c r="J32" s="156">
        <v>6.0</v>
      </c>
      <c r="K32" s="122">
        <v>60000.0</v>
      </c>
      <c r="L32" s="122">
        <f t="shared" si="2"/>
        <v>360000</v>
      </c>
      <c r="M32" s="123"/>
      <c r="N32" s="164" t="s">
        <v>1120</v>
      </c>
      <c r="O32" s="17">
        <v>60.0</v>
      </c>
      <c r="P32" s="17">
        <v>0.0</v>
      </c>
      <c r="Q32" s="17">
        <v>20.0</v>
      </c>
      <c r="R32" s="171">
        <f t="shared" si="4"/>
        <v>96</v>
      </c>
      <c r="S32" s="17">
        <v>30.0</v>
      </c>
      <c r="T32" s="17">
        <v>30.0</v>
      </c>
      <c r="U32" s="171">
        <f t="shared" si="1"/>
        <v>236</v>
      </c>
      <c r="V32" s="17" t="s">
        <v>453</v>
      </c>
      <c r="W32" s="17" t="s">
        <v>1227</v>
      </c>
      <c r="X32" s="133" t="s">
        <v>1228</v>
      </c>
      <c r="Y32" s="134" t="str">
        <f>HYPERLINK("https://drive.google.com/file/d/19QGFn9iJGeY3Jvl-yN3xav2v1aRfLVoQ/view?usp=drivesdk","GC-FID_Hana Prasita Larasati _214")</f>
        <v>GC-FID_Hana Prasita Larasati _214</v>
      </c>
      <c r="Z32" s="17" t="s">
        <v>1229</v>
      </c>
    </row>
    <row r="33">
      <c r="A33" s="201">
        <v>45763.0</v>
      </c>
      <c r="B33" s="201">
        <v>45770.0</v>
      </c>
      <c r="C33" s="168">
        <v>204.0</v>
      </c>
      <c r="D33" s="136" t="s">
        <v>1143</v>
      </c>
      <c r="E33" s="136" t="s">
        <v>872</v>
      </c>
      <c r="F33" s="136" t="s">
        <v>799</v>
      </c>
      <c r="G33" s="155" t="s">
        <v>621</v>
      </c>
      <c r="H33" s="155" t="s">
        <v>1119</v>
      </c>
      <c r="I33" s="155" t="s">
        <v>716</v>
      </c>
      <c r="J33" s="156">
        <v>12.0</v>
      </c>
      <c r="K33" s="122">
        <v>60000.0</v>
      </c>
      <c r="L33" s="122">
        <f t="shared" si="2"/>
        <v>720000</v>
      </c>
      <c r="M33" s="123"/>
      <c r="N33" s="169" t="s">
        <v>1145</v>
      </c>
      <c r="O33" s="17">
        <v>60.0</v>
      </c>
      <c r="P33" s="17">
        <v>0.0</v>
      </c>
      <c r="Q33" s="17">
        <v>20.0</v>
      </c>
      <c r="R33" s="171">
        <f t="shared" si="4"/>
        <v>192</v>
      </c>
      <c r="S33" s="17">
        <v>30.0</v>
      </c>
      <c r="T33" s="17">
        <v>30.0</v>
      </c>
      <c r="U33" s="171">
        <f t="shared" si="1"/>
        <v>332</v>
      </c>
      <c r="V33" s="17" t="s">
        <v>453</v>
      </c>
      <c r="W33" s="17" t="s">
        <v>1230</v>
      </c>
      <c r="X33" s="133" t="s">
        <v>1231</v>
      </c>
      <c r="Y33" s="134" t="str">
        <f>HYPERLINK("https://drive.google.com/file/d/1Q54XXDpdRcZ_erprehXqefkmD7lWjS81/view?usp=drivesdk","GC-FID_Vito Bintang Saputra _204")</f>
        <v>GC-FID_Vito Bintang Saputra _204</v>
      </c>
      <c r="Z33" s="17" t="s">
        <v>1229</v>
      </c>
    </row>
    <row r="34">
      <c r="A34" s="201">
        <v>45784.0</v>
      </c>
      <c r="B34" s="201">
        <v>45784.0</v>
      </c>
      <c r="C34" s="168">
        <v>247.0</v>
      </c>
      <c r="D34" s="136" t="s">
        <v>1116</v>
      </c>
      <c r="E34" s="136" t="s">
        <v>1117</v>
      </c>
      <c r="F34" s="136" t="s">
        <v>1220</v>
      </c>
      <c r="G34" s="155" t="s">
        <v>621</v>
      </c>
      <c r="H34" s="155" t="s">
        <v>1119</v>
      </c>
      <c r="I34" s="155" t="s">
        <v>716</v>
      </c>
      <c r="J34" s="156">
        <v>2.0</v>
      </c>
      <c r="K34" s="122">
        <v>60000.0</v>
      </c>
      <c r="L34" s="122">
        <f t="shared" si="2"/>
        <v>120000</v>
      </c>
      <c r="M34" s="123"/>
      <c r="N34" s="169" t="s">
        <v>1145</v>
      </c>
      <c r="O34" s="17">
        <v>60.0</v>
      </c>
      <c r="P34" s="17">
        <v>0.0</v>
      </c>
      <c r="Q34" s="17">
        <v>20.0</v>
      </c>
      <c r="R34" s="171">
        <f t="shared" si="4"/>
        <v>32</v>
      </c>
      <c r="S34" s="17">
        <v>30.0</v>
      </c>
      <c r="T34" s="17">
        <v>30.0</v>
      </c>
      <c r="U34" s="171">
        <f t="shared" si="1"/>
        <v>172</v>
      </c>
      <c r="V34" s="17" t="s">
        <v>453</v>
      </c>
      <c r="W34" s="17" t="s">
        <v>1232</v>
      </c>
      <c r="X34" s="133" t="s">
        <v>1233</v>
      </c>
      <c r="Y34" s="134" t="str">
        <f>HYPERLINK("https://drive.google.com/file/d/1zy4j-AOmzsysgw7n-t9VkPeoPhag5YMn/view?usp=drivesdk","GC-FID_Hana Prasita Larasati _247")</f>
        <v>GC-FID_Hana Prasita Larasati _247</v>
      </c>
      <c r="Z34" s="17" t="s">
        <v>1234</v>
      </c>
    </row>
    <row r="35">
      <c r="A35" s="201">
        <v>45782.0</v>
      </c>
      <c r="B35" s="201">
        <v>45784.0</v>
      </c>
      <c r="C35" s="168">
        <v>246.0</v>
      </c>
      <c r="D35" s="154" t="s">
        <v>1136</v>
      </c>
      <c r="E35" s="154" t="s">
        <v>1137</v>
      </c>
      <c r="F35" s="136" t="s">
        <v>799</v>
      </c>
      <c r="G35" s="155" t="s">
        <v>621</v>
      </c>
      <c r="H35" s="155" t="s">
        <v>1119</v>
      </c>
      <c r="I35" s="208" t="s">
        <v>777</v>
      </c>
      <c r="J35" s="156">
        <v>6.0</v>
      </c>
      <c r="K35" s="122">
        <v>60000.0</v>
      </c>
      <c r="L35" s="122">
        <f t="shared" si="2"/>
        <v>360000</v>
      </c>
      <c r="M35" s="123"/>
      <c r="N35" s="169" t="s">
        <v>1235</v>
      </c>
      <c r="O35" s="17">
        <v>60.0</v>
      </c>
      <c r="P35" s="17">
        <v>0.0</v>
      </c>
      <c r="Q35" s="17">
        <v>20.0</v>
      </c>
      <c r="R35" s="171">
        <f t="shared" si="4"/>
        <v>96</v>
      </c>
      <c r="S35" s="17">
        <v>30.0</v>
      </c>
      <c r="T35" s="17">
        <v>30.0</v>
      </c>
      <c r="U35" s="171">
        <f t="shared" si="1"/>
        <v>236</v>
      </c>
      <c r="V35" s="17" t="s">
        <v>453</v>
      </c>
      <c r="W35" s="17" t="s">
        <v>1236</v>
      </c>
      <c r="X35" s="133" t="s">
        <v>1237</v>
      </c>
      <c r="Y35" s="134" t="str">
        <f>HYPERLINK("https://drive.google.com/file/d/1901SScCOoa56VqTRZf6ZgXVAETqX4sdk/view?usp=drivesdk","GC-FID_Nur Rohmah Al Fiyani_246")</f>
        <v>GC-FID_Nur Rohmah Al Fiyani_246</v>
      </c>
      <c r="Z35" s="17" t="s">
        <v>1234</v>
      </c>
    </row>
    <row r="36">
      <c r="A36" s="201">
        <v>45784.0</v>
      </c>
      <c r="B36" s="201">
        <v>45784.0</v>
      </c>
      <c r="C36" s="168">
        <v>248.0</v>
      </c>
      <c r="D36" s="136" t="s">
        <v>1116</v>
      </c>
      <c r="E36" s="136" t="s">
        <v>1117</v>
      </c>
      <c r="F36" s="136" t="s">
        <v>1220</v>
      </c>
      <c r="G36" s="155" t="s">
        <v>621</v>
      </c>
      <c r="H36" s="155" t="s">
        <v>1119</v>
      </c>
      <c r="I36" s="155" t="s">
        <v>716</v>
      </c>
      <c r="J36" s="156">
        <v>4.0</v>
      </c>
      <c r="K36" s="122">
        <v>60000.0</v>
      </c>
      <c r="L36" s="122">
        <f t="shared" si="2"/>
        <v>240000</v>
      </c>
      <c r="M36" s="123"/>
      <c r="N36" s="169" t="s">
        <v>1145</v>
      </c>
      <c r="O36" s="17">
        <v>60.0</v>
      </c>
      <c r="P36" s="17">
        <v>0.0</v>
      </c>
      <c r="Q36" s="17">
        <v>20.0</v>
      </c>
      <c r="R36" s="171">
        <f t="shared" si="4"/>
        <v>64</v>
      </c>
      <c r="S36" s="17">
        <v>30.0</v>
      </c>
      <c r="T36" s="17">
        <v>30.0</v>
      </c>
      <c r="U36" s="171">
        <f t="shared" si="1"/>
        <v>204</v>
      </c>
      <c r="V36" s="17" t="s">
        <v>453</v>
      </c>
      <c r="W36" s="17" t="s">
        <v>1238</v>
      </c>
      <c r="X36" s="133" t="s">
        <v>1239</v>
      </c>
      <c r="Y36" s="134" t="str">
        <f>HYPERLINK("https://drive.google.com/file/d/1nExAMJlksoWWfezkQBvdmqRXwa8wO-uf/view?usp=drivesdk","GC-FID_Hana Prasita Larasati _248")</f>
        <v>GC-FID_Hana Prasita Larasati _248</v>
      </c>
      <c r="Z36" s="17" t="s">
        <v>1240</v>
      </c>
    </row>
    <row r="37">
      <c r="A37" s="201">
        <v>45783.0</v>
      </c>
      <c r="B37" s="201">
        <v>45784.0</v>
      </c>
      <c r="C37" s="168">
        <v>252.0</v>
      </c>
      <c r="D37" s="17" t="s">
        <v>1216</v>
      </c>
      <c r="E37" s="17" t="s">
        <v>1150</v>
      </c>
      <c r="F37" s="136" t="s">
        <v>1220</v>
      </c>
      <c r="G37" s="155" t="s">
        <v>621</v>
      </c>
      <c r="H37" s="155" t="s">
        <v>1119</v>
      </c>
      <c r="I37" s="208" t="s">
        <v>777</v>
      </c>
      <c r="J37" s="156">
        <v>8.0</v>
      </c>
      <c r="K37" s="122">
        <v>60000.0</v>
      </c>
      <c r="L37" s="122">
        <f t="shared" si="2"/>
        <v>480000</v>
      </c>
      <c r="M37" s="123"/>
      <c r="N37" s="164" t="s">
        <v>1120</v>
      </c>
      <c r="O37" s="17">
        <v>60.0</v>
      </c>
      <c r="P37" s="17">
        <v>0.0</v>
      </c>
      <c r="Q37" s="17">
        <v>20.0</v>
      </c>
      <c r="R37" s="171">
        <f t="shared" si="4"/>
        <v>128</v>
      </c>
      <c r="S37" s="17">
        <v>30.0</v>
      </c>
      <c r="T37" s="17">
        <v>30.0</v>
      </c>
      <c r="U37" s="171">
        <f t="shared" si="1"/>
        <v>268</v>
      </c>
      <c r="V37" s="17" t="s">
        <v>453</v>
      </c>
      <c r="W37" s="17" t="s">
        <v>1241</v>
      </c>
      <c r="X37" s="133" t="s">
        <v>1242</v>
      </c>
      <c r="Y37" s="134" t="str">
        <f>HYPERLINK("https://drive.google.com/file/d/15_6zJAL6_pqYP9ajJ8R0HcKkB1iclAVs/view?usp=drivesdk","GC-FID_Dwi Safitri _252")</f>
        <v>GC-FID_Dwi Safitri _252</v>
      </c>
      <c r="Z37" s="17" t="s">
        <v>1243</v>
      </c>
    </row>
    <row r="38">
      <c r="A38" s="201">
        <v>45796.0</v>
      </c>
      <c r="B38" s="201">
        <v>45798.0</v>
      </c>
      <c r="C38" s="168">
        <v>288.0</v>
      </c>
      <c r="D38" s="154" t="s">
        <v>1136</v>
      </c>
      <c r="E38" s="154" t="s">
        <v>1137</v>
      </c>
      <c r="F38" s="136" t="s">
        <v>799</v>
      </c>
      <c r="G38" s="155" t="s">
        <v>621</v>
      </c>
      <c r="H38" s="155" t="s">
        <v>1119</v>
      </c>
      <c r="I38" s="208" t="s">
        <v>777</v>
      </c>
      <c r="J38" s="156">
        <v>9.0</v>
      </c>
      <c r="K38" s="122">
        <v>60000.0</v>
      </c>
      <c r="L38" s="122">
        <f t="shared" si="2"/>
        <v>540000</v>
      </c>
      <c r="M38" s="123"/>
      <c r="N38" s="169" t="s">
        <v>1244</v>
      </c>
      <c r="O38" s="17">
        <v>60.0</v>
      </c>
      <c r="P38" s="17">
        <v>0.0</v>
      </c>
      <c r="Q38" s="17">
        <v>20.0</v>
      </c>
      <c r="R38" s="171">
        <f t="shared" si="4"/>
        <v>144</v>
      </c>
      <c r="S38" s="17">
        <v>30.0</v>
      </c>
      <c r="T38" s="17">
        <v>30.0</v>
      </c>
      <c r="U38" s="171">
        <f t="shared" si="1"/>
        <v>284</v>
      </c>
      <c r="V38" s="17" t="s">
        <v>453</v>
      </c>
      <c r="W38" s="17" t="s">
        <v>1245</v>
      </c>
      <c r="X38" s="133" t="s">
        <v>1246</v>
      </c>
      <c r="Y38" s="134" t="str">
        <f>HYPERLINK("https://drive.google.com/file/d/1taXOMzptrgWJ6cCH-ydFLkiqfjm5tBAi/view?usp=drivesdk","GC-FID_Nur Rohmah Al Fiyani_288")</f>
        <v>GC-FID_Nur Rohmah Al Fiyani_288</v>
      </c>
      <c r="Z38" s="17" t="s">
        <v>1247</v>
      </c>
    </row>
    <row r="39">
      <c r="A39" s="201">
        <v>45798.0</v>
      </c>
      <c r="B39" s="201">
        <v>45798.0</v>
      </c>
      <c r="C39" s="168">
        <v>304.0</v>
      </c>
      <c r="D39" s="154" t="s">
        <v>1248</v>
      </c>
      <c r="E39" s="154" t="s">
        <v>1249</v>
      </c>
      <c r="F39" s="136" t="s">
        <v>1220</v>
      </c>
      <c r="G39" s="155" t="s">
        <v>621</v>
      </c>
      <c r="H39" s="155" t="s">
        <v>1119</v>
      </c>
      <c r="I39" s="208" t="s">
        <v>777</v>
      </c>
      <c r="J39" s="156">
        <v>2.0</v>
      </c>
      <c r="K39" s="122">
        <v>60000.0</v>
      </c>
      <c r="L39" s="122">
        <f t="shared" si="2"/>
        <v>120000</v>
      </c>
      <c r="M39" s="123"/>
      <c r="N39" s="169" t="s">
        <v>1250</v>
      </c>
      <c r="O39" s="17">
        <v>60.0</v>
      </c>
      <c r="P39" s="17">
        <v>0.0</v>
      </c>
      <c r="Q39" s="17">
        <v>20.0</v>
      </c>
      <c r="R39" s="171">
        <f t="shared" si="4"/>
        <v>32</v>
      </c>
      <c r="S39" s="17">
        <v>30.0</v>
      </c>
      <c r="T39" s="17">
        <v>30.0</v>
      </c>
      <c r="U39" s="171">
        <f t="shared" si="1"/>
        <v>172</v>
      </c>
      <c r="V39" s="17" t="s">
        <v>453</v>
      </c>
      <c r="W39" s="17" t="s">
        <v>1251</v>
      </c>
      <c r="X39" s="133" t="s">
        <v>1252</v>
      </c>
      <c r="Y39" s="134" t="str">
        <f>HYPERLINK("https://drive.google.com/file/d/1R_17JrE1swVvE4jUfcS0cspXgjLVHtuT/view?usp=drivesdk","GC-FID_Tiza Wikansari_304")</f>
        <v>GC-FID_Tiza Wikansari_304</v>
      </c>
      <c r="Z39" s="17" t="s">
        <v>1247</v>
      </c>
    </row>
    <row r="40">
      <c r="A40" s="201">
        <v>45798.0</v>
      </c>
      <c r="B40" s="201">
        <v>45798.0</v>
      </c>
      <c r="C40" s="209" t="s">
        <v>1253</v>
      </c>
      <c r="D40" s="136" t="s">
        <v>1116</v>
      </c>
      <c r="E40" s="136" t="s">
        <v>1117</v>
      </c>
      <c r="F40" s="136" t="s">
        <v>1220</v>
      </c>
      <c r="G40" s="155" t="s">
        <v>621</v>
      </c>
      <c r="H40" s="155" t="s">
        <v>1119</v>
      </c>
      <c r="I40" s="208" t="s">
        <v>777</v>
      </c>
      <c r="J40" s="17">
        <v>1.0</v>
      </c>
      <c r="K40" s="122">
        <v>60000.0</v>
      </c>
      <c r="L40" s="122">
        <f t="shared" si="2"/>
        <v>60000</v>
      </c>
      <c r="M40" s="123"/>
      <c r="N40" s="169" t="s">
        <v>1120</v>
      </c>
      <c r="O40" s="17">
        <v>60.0</v>
      </c>
      <c r="P40" s="17">
        <v>0.0</v>
      </c>
      <c r="Q40" s="17">
        <v>20.0</v>
      </c>
      <c r="R40" s="171">
        <f t="shared" si="4"/>
        <v>16</v>
      </c>
      <c r="S40" s="17">
        <v>30.0</v>
      </c>
      <c r="T40" s="17">
        <v>30.0</v>
      </c>
      <c r="U40" s="171">
        <f t="shared" si="1"/>
        <v>156</v>
      </c>
      <c r="V40" s="17" t="s">
        <v>453</v>
      </c>
      <c r="W40" s="17" t="s">
        <v>1254</v>
      </c>
      <c r="X40" s="133" t="s">
        <v>1255</v>
      </c>
      <c r="Y40" s="134" t="str">
        <f>HYPERLINK("https://drive.google.com/file/d/1mFgR82e63q21Vj0ZuhdYwpfZgrA8tmcX/view?usp=drivesdk","GC-FID_Hana Prasita Larasati _305")</f>
        <v>GC-FID_Hana Prasita Larasati _305</v>
      </c>
      <c r="Z40" s="17" t="s">
        <v>1247</v>
      </c>
    </row>
    <row r="41">
      <c r="A41" s="201">
        <v>45803.0</v>
      </c>
      <c r="B41" s="201">
        <v>45805.0</v>
      </c>
      <c r="C41" s="168">
        <v>320.0</v>
      </c>
      <c r="D41" s="154" t="s">
        <v>1149</v>
      </c>
      <c r="E41" s="154" t="s">
        <v>1150</v>
      </c>
      <c r="F41" s="154" t="s">
        <v>1132</v>
      </c>
      <c r="G41" s="208" t="s">
        <v>621</v>
      </c>
      <c r="H41" s="155" t="s">
        <v>1119</v>
      </c>
      <c r="I41" s="17" t="s">
        <v>777</v>
      </c>
      <c r="J41" s="17">
        <v>6.0</v>
      </c>
      <c r="K41" s="122">
        <v>60000.0</v>
      </c>
      <c r="L41" s="122">
        <f t="shared" si="2"/>
        <v>360000</v>
      </c>
      <c r="M41" s="123"/>
      <c r="N41" s="169" t="s">
        <v>1139</v>
      </c>
      <c r="O41" s="17">
        <v>60.0</v>
      </c>
      <c r="P41" s="17">
        <v>0.0</v>
      </c>
      <c r="Q41" s="17">
        <v>20.0</v>
      </c>
      <c r="R41" s="171">
        <f t="shared" si="4"/>
        <v>96</v>
      </c>
      <c r="S41" s="17">
        <v>30.0</v>
      </c>
      <c r="T41" s="17">
        <v>30.0</v>
      </c>
      <c r="U41" s="171">
        <f t="shared" si="1"/>
        <v>236</v>
      </c>
      <c r="V41" s="17" t="s">
        <v>453</v>
      </c>
      <c r="W41" s="17" t="s">
        <v>1256</v>
      </c>
      <c r="X41" s="133" t="s">
        <v>1257</v>
      </c>
      <c r="Y41" s="134" t="str">
        <f>HYPERLINK("https://drive.google.com/file/d/1s45YVYm2KGq_fWJ5EGsdnKgehWRlZJ1k/view?usp=drivesdk","GC-FID_Dwi Safitri_320")</f>
        <v>GC-FID_Dwi Safitri_320</v>
      </c>
      <c r="Z41" s="17" t="s">
        <v>1258</v>
      </c>
    </row>
    <row r="42">
      <c r="A42" s="201">
        <v>45805.0</v>
      </c>
      <c r="B42" s="201">
        <v>45805.0</v>
      </c>
      <c r="C42" s="168">
        <v>336.0</v>
      </c>
      <c r="D42" s="154" t="s">
        <v>1136</v>
      </c>
      <c r="E42" s="154" t="s">
        <v>1137</v>
      </c>
      <c r="F42" s="154" t="s">
        <v>799</v>
      </c>
      <c r="G42" s="208" t="s">
        <v>621</v>
      </c>
      <c r="H42" s="208" t="s">
        <v>1119</v>
      </c>
      <c r="I42" s="17" t="s">
        <v>777</v>
      </c>
      <c r="J42" s="17">
        <v>5.0</v>
      </c>
      <c r="K42" s="122">
        <v>60000.0</v>
      </c>
      <c r="L42" s="122">
        <f t="shared" si="2"/>
        <v>300000</v>
      </c>
      <c r="M42" s="123"/>
      <c r="N42" s="169" t="s">
        <v>1235</v>
      </c>
      <c r="O42" s="17">
        <v>60.0</v>
      </c>
      <c r="P42" s="17">
        <v>0.0</v>
      </c>
      <c r="Q42" s="17">
        <v>20.0</v>
      </c>
      <c r="R42" s="171">
        <f t="shared" si="4"/>
        <v>80</v>
      </c>
      <c r="S42" s="17">
        <v>30.0</v>
      </c>
      <c r="T42" s="17">
        <v>30.0</v>
      </c>
      <c r="U42" s="171">
        <f t="shared" si="1"/>
        <v>220</v>
      </c>
      <c r="V42" s="17" t="s">
        <v>453</v>
      </c>
      <c r="W42" s="17" t="s">
        <v>1259</v>
      </c>
      <c r="X42" s="133" t="s">
        <v>1260</v>
      </c>
      <c r="Y42" s="134" t="str">
        <f>HYPERLINK("https://drive.google.com/file/d/19G5Ff4MzghVUOF-nrDNIHz-wfk_gKZGR/view?usp=drivesdk","GC-FID_Nur Rohmah Al Fiyani_336")</f>
        <v>GC-FID_Nur Rohmah Al Fiyani_336</v>
      </c>
      <c r="Z42" s="17" t="s">
        <v>1261</v>
      </c>
    </row>
    <row r="43">
      <c r="A43" s="201">
        <v>45805.0</v>
      </c>
      <c r="B43" s="201">
        <v>45810.0</v>
      </c>
      <c r="C43" s="168">
        <v>338.0</v>
      </c>
      <c r="D43" s="154" t="s">
        <v>1262</v>
      </c>
      <c r="E43" s="154" t="s">
        <v>1263</v>
      </c>
      <c r="F43" s="136" t="s">
        <v>1220</v>
      </c>
      <c r="G43" s="208" t="s">
        <v>621</v>
      </c>
      <c r="H43" s="208" t="s">
        <v>1119</v>
      </c>
      <c r="I43" s="17" t="s">
        <v>777</v>
      </c>
      <c r="J43" s="17">
        <v>4.0</v>
      </c>
      <c r="K43" s="122">
        <v>60000.0</v>
      </c>
      <c r="L43" s="122">
        <f t="shared" si="2"/>
        <v>240000</v>
      </c>
      <c r="M43" s="123"/>
      <c r="N43" s="169" t="s">
        <v>1151</v>
      </c>
      <c r="O43" s="17">
        <v>60.0</v>
      </c>
      <c r="P43" s="17">
        <v>0.0</v>
      </c>
      <c r="Q43" s="17">
        <v>20.0</v>
      </c>
      <c r="R43" s="171">
        <f t="shared" si="4"/>
        <v>64</v>
      </c>
      <c r="S43" s="17">
        <v>30.0</v>
      </c>
      <c r="T43" s="17">
        <v>30.0</v>
      </c>
      <c r="U43" s="171">
        <f t="shared" si="1"/>
        <v>204</v>
      </c>
      <c r="V43" s="17" t="s">
        <v>453</v>
      </c>
      <c r="W43" s="17" t="s">
        <v>1264</v>
      </c>
      <c r="X43" s="133" t="s">
        <v>1265</v>
      </c>
      <c r="Y43" s="134" t="str">
        <f>HYPERLINK("https://drive.google.com/file/d/11VWVeOMNrRIzqKD0VaxPJfbYL9LQSfFC/view?usp=drivesdk","GC-FID_Tri Wahyu Novita_338")</f>
        <v>GC-FID_Tri Wahyu Novita_338</v>
      </c>
      <c r="Z43" s="17" t="s">
        <v>1266</v>
      </c>
    </row>
    <row r="44">
      <c r="A44" s="201">
        <v>45805.0</v>
      </c>
      <c r="B44" s="201">
        <v>45810.0</v>
      </c>
      <c r="C44" s="168">
        <v>343.0</v>
      </c>
      <c r="D44" s="154" t="s">
        <v>1248</v>
      </c>
      <c r="E44" s="154" t="s">
        <v>1249</v>
      </c>
      <c r="F44" s="136" t="s">
        <v>1220</v>
      </c>
      <c r="G44" s="208" t="s">
        <v>541</v>
      </c>
      <c r="H44" s="208" t="s">
        <v>1119</v>
      </c>
      <c r="I44" s="17" t="s">
        <v>777</v>
      </c>
      <c r="J44" s="17">
        <v>3.0</v>
      </c>
      <c r="K44" s="122">
        <v>60000.0</v>
      </c>
      <c r="L44" s="122">
        <f t="shared" si="2"/>
        <v>180000</v>
      </c>
      <c r="M44" s="123"/>
      <c r="N44" s="169" t="s">
        <v>1267</v>
      </c>
      <c r="O44" s="17">
        <v>60.0</v>
      </c>
      <c r="P44" s="17">
        <v>0.0</v>
      </c>
      <c r="Q44" s="17">
        <v>20.0</v>
      </c>
      <c r="R44" s="171">
        <f t="shared" si="4"/>
        <v>48</v>
      </c>
      <c r="S44" s="17">
        <v>30.0</v>
      </c>
      <c r="T44" s="17">
        <v>30.0</v>
      </c>
      <c r="U44" s="171">
        <f t="shared" si="1"/>
        <v>188</v>
      </c>
      <c r="V44" s="17" t="s">
        <v>453</v>
      </c>
      <c r="W44" s="17" t="s">
        <v>1268</v>
      </c>
      <c r="X44" s="133" t="s">
        <v>1269</v>
      </c>
      <c r="Y44" s="134" t="str">
        <f>HYPERLINK("https://drive.google.com/file/d/1kH95HXwHX4LM5XoP1-5SMBgVnvETL-jr/view?usp=drivesdk","GC-FID_Tiza Wikansari_343")</f>
        <v>GC-FID_Tiza Wikansari_343</v>
      </c>
      <c r="Z44" s="17" t="s">
        <v>1270</v>
      </c>
    </row>
    <row r="45">
      <c r="A45" s="201">
        <v>45810.0</v>
      </c>
      <c r="B45" s="201">
        <v>45810.0</v>
      </c>
      <c r="C45" s="168">
        <v>354.0</v>
      </c>
      <c r="D45" s="154" t="s">
        <v>1136</v>
      </c>
      <c r="E45" s="154" t="s">
        <v>1137</v>
      </c>
      <c r="F45" s="154" t="s">
        <v>799</v>
      </c>
      <c r="G45" s="208" t="s">
        <v>621</v>
      </c>
      <c r="H45" s="208" t="s">
        <v>1119</v>
      </c>
      <c r="I45" s="17" t="s">
        <v>777</v>
      </c>
      <c r="J45" s="17">
        <v>2.0</v>
      </c>
      <c r="K45" s="122">
        <v>60000.0</v>
      </c>
      <c r="L45" s="122">
        <f t="shared" si="2"/>
        <v>120000</v>
      </c>
      <c r="M45" s="123"/>
      <c r="N45" s="169" t="s">
        <v>1271</v>
      </c>
      <c r="O45" s="17">
        <v>60.0</v>
      </c>
      <c r="P45" s="17">
        <v>0.0</v>
      </c>
      <c r="Q45" s="17">
        <v>20.0</v>
      </c>
      <c r="R45" s="171">
        <f t="shared" si="4"/>
        <v>32</v>
      </c>
      <c r="S45" s="17">
        <v>30.0</v>
      </c>
      <c r="T45" s="17">
        <v>30.0</v>
      </c>
      <c r="U45" s="171">
        <f t="shared" si="1"/>
        <v>172</v>
      </c>
      <c r="V45" s="17" t="s">
        <v>453</v>
      </c>
      <c r="W45" s="17" t="s">
        <v>1272</v>
      </c>
      <c r="X45" s="133" t="s">
        <v>1273</v>
      </c>
      <c r="Y45" s="134" t="str">
        <f>HYPERLINK("https://drive.google.com/file/d/1PxBkyUmVax3TeR50D57UexHc35M6O7tp/view?usp=drivesdk","GC-FID_Nur Rohmah Al Fiyani_354")</f>
        <v>GC-FID_Nur Rohmah Al Fiyani_354</v>
      </c>
      <c r="Z45" s="17" t="s">
        <v>1270</v>
      </c>
    </row>
    <row r="46">
      <c r="A46" s="201">
        <v>45819.0</v>
      </c>
      <c r="B46" s="201">
        <v>45819.0</v>
      </c>
      <c r="C46" s="168">
        <v>380.0</v>
      </c>
      <c r="D46" s="136" t="s">
        <v>1274</v>
      </c>
      <c r="E46" s="136" t="s">
        <v>872</v>
      </c>
      <c r="F46" s="136" t="s">
        <v>734</v>
      </c>
      <c r="G46" s="208" t="s">
        <v>621</v>
      </c>
      <c r="H46" s="208" t="s">
        <v>1119</v>
      </c>
      <c r="I46" s="17" t="s">
        <v>777</v>
      </c>
      <c r="J46" s="17">
        <v>15.0</v>
      </c>
      <c r="K46" s="122">
        <v>60000.0</v>
      </c>
      <c r="L46" s="122">
        <f t="shared" si="2"/>
        <v>900000</v>
      </c>
      <c r="M46" s="123"/>
      <c r="N46" s="169" t="s">
        <v>1271</v>
      </c>
      <c r="O46" s="17">
        <v>60.0</v>
      </c>
      <c r="P46" s="17">
        <v>0.0</v>
      </c>
      <c r="Q46" s="17">
        <v>20.0</v>
      </c>
      <c r="R46" s="171">
        <f t="shared" si="4"/>
        <v>240</v>
      </c>
      <c r="S46" s="17">
        <v>30.0</v>
      </c>
      <c r="T46" s="17">
        <v>30.0</v>
      </c>
      <c r="U46" s="171">
        <f t="shared" si="1"/>
        <v>380</v>
      </c>
      <c r="V46" s="17" t="s">
        <v>453</v>
      </c>
      <c r="W46" s="17" t="s">
        <v>1275</v>
      </c>
      <c r="X46" s="133" t="s">
        <v>1276</v>
      </c>
      <c r="Y46" s="134" t="str">
        <f>HYPERLINK("https://drive.google.com/file/d/1EZHqFwVbuhaHdhj7QaKOz8Ro5rC_XgaF/view?usp=drivesdk","GC-FID_Vito bintang saputra _380")</f>
        <v>GC-FID_Vito bintang saputra _380</v>
      </c>
      <c r="Z46" s="17" t="s">
        <v>1277</v>
      </c>
    </row>
    <row r="47">
      <c r="A47" s="201">
        <v>45819.0</v>
      </c>
      <c r="B47" s="201">
        <v>45819.0</v>
      </c>
      <c r="C47" s="168">
        <v>382.0</v>
      </c>
      <c r="D47" s="136" t="s">
        <v>1278</v>
      </c>
      <c r="E47" s="136" t="s">
        <v>1263</v>
      </c>
      <c r="F47" s="136" t="s">
        <v>1279</v>
      </c>
      <c r="G47" s="208" t="s">
        <v>621</v>
      </c>
      <c r="H47" s="208" t="s">
        <v>1119</v>
      </c>
      <c r="I47" s="17" t="s">
        <v>777</v>
      </c>
      <c r="J47" s="17">
        <v>5.0</v>
      </c>
      <c r="K47" s="122">
        <v>60000.0</v>
      </c>
      <c r="L47" s="122">
        <f t="shared" si="2"/>
        <v>300000</v>
      </c>
      <c r="M47" s="123"/>
      <c r="N47" s="169" t="s">
        <v>1151</v>
      </c>
      <c r="O47" s="17">
        <v>60.0</v>
      </c>
      <c r="P47" s="17">
        <v>0.0</v>
      </c>
      <c r="Q47" s="17">
        <v>20.0</v>
      </c>
      <c r="R47" s="171">
        <f t="shared" si="4"/>
        <v>80</v>
      </c>
      <c r="S47" s="17">
        <v>30.0</v>
      </c>
      <c r="T47" s="17">
        <v>30.0</v>
      </c>
      <c r="U47" s="171">
        <f t="shared" si="1"/>
        <v>220</v>
      </c>
      <c r="V47" s="17" t="s">
        <v>453</v>
      </c>
      <c r="W47" s="17" t="s">
        <v>1280</v>
      </c>
      <c r="X47" s="133" t="s">
        <v>1281</v>
      </c>
      <c r="Y47" s="134" t="str">
        <f>HYPERLINK("https://drive.google.com/file/d/1lYn76jsbqAG7l5wmnRpuJa5BJknc74Sr/view?usp=drivesdk","GC-FID_Tri Wahyu Novita _382")</f>
        <v>GC-FID_Tri Wahyu Novita _382</v>
      </c>
      <c r="Z47" s="17" t="s">
        <v>1277</v>
      </c>
    </row>
    <row r="48">
      <c r="A48" s="201">
        <v>45820.0</v>
      </c>
      <c r="B48" s="201">
        <v>45821.0</v>
      </c>
      <c r="C48" s="168">
        <v>386.0</v>
      </c>
      <c r="D48" s="154" t="s">
        <v>1149</v>
      </c>
      <c r="E48" s="154" t="s">
        <v>1150</v>
      </c>
      <c r="F48" s="136" t="s">
        <v>1279</v>
      </c>
      <c r="G48" s="208" t="s">
        <v>621</v>
      </c>
      <c r="H48" s="208" t="s">
        <v>1119</v>
      </c>
      <c r="I48" s="17" t="s">
        <v>777</v>
      </c>
      <c r="J48" s="17">
        <v>4.0</v>
      </c>
      <c r="K48" s="122">
        <v>60000.0</v>
      </c>
      <c r="L48" s="122">
        <f t="shared" si="2"/>
        <v>240000</v>
      </c>
      <c r="M48" s="123"/>
      <c r="N48" s="169" t="s">
        <v>1151</v>
      </c>
      <c r="O48" s="17">
        <v>60.0</v>
      </c>
      <c r="P48" s="17">
        <v>0.0</v>
      </c>
      <c r="Q48" s="17">
        <v>20.0</v>
      </c>
      <c r="R48" s="171">
        <f t="shared" si="4"/>
        <v>64</v>
      </c>
      <c r="S48" s="17">
        <v>30.0</v>
      </c>
      <c r="T48" s="17">
        <v>30.0</v>
      </c>
      <c r="U48" s="171">
        <f t="shared" si="1"/>
        <v>204</v>
      </c>
      <c r="V48" s="17" t="s">
        <v>453</v>
      </c>
      <c r="W48" s="17" t="s">
        <v>1282</v>
      </c>
      <c r="X48" s="133" t="s">
        <v>1283</v>
      </c>
      <c r="Y48" s="134" t="str">
        <f>HYPERLINK("https://drive.google.com/file/d/1mUEpB_WHg-_DhcsXQavTRYFhmGecAqcY/view?usp=drivesdk","GC-FID_Dwi Safitri_386")</f>
        <v>GC-FID_Dwi Safitri_386</v>
      </c>
      <c r="Z48" s="17" t="s">
        <v>1284</v>
      </c>
    </row>
    <row r="49">
      <c r="A49" s="201">
        <v>45821.0</v>
      </c>
      <c r="B49" s="201">
        <v>45821.0</v>
      </c>
      <c r="C49" s="168">
        <v>393.0</v>
      </c>
      <c r="D49" s="154" t="s">
        <v>1136</v>
      </c>
      <c r="E49" s="154" t="s">
        <v>1137</v>
      </c>
      <c r="F49" s="154" t="s">
        <v>799</v>
      </c>
      <c r="G49" s="208" t="s">
        <v>621</v>
      </c>
      <c r="H49" s="208" t="s">
        <v>1119</v>
      </c>
      <c r="I49" s="17" t="s">
        <v>777</v>
      </c>
      <c r="J49" s="17">
        <v>12.0</v>
      </c>
      <c r="K49" s="122">
        <v>60000.0</v>
      </c>
      <c r="L49" s="122">
        <f t="shared" si="2"/>
        <v>720000</v>
      </c>
      <c r="M49" s="123"/>
      <c r="N49" s="169" t="s">
        <v>1244</v>
      </c>
      <c r="O49" s="17">
        <v>60.0</v>
      </c>
      <c r="P49" s="17">
        <v>0.0</v>
      </c>
      <c r="Q49" s="17">
        <v>20.0</v>
      </c>
      <c r="R49" s="171">
        <f t="shared" si="4"/>
        <v>192</v>
      </c>
      <c r="S49" s="17">
        <v>30.0</v>
      </c>
      <c r="T49" s="17">
        <v>30.0</v>
      </c>
      <c r="U49" s="171">
        <f t="shared" si="1"/>
        <v>332</v>
      </c>
      <c r="V49" s="17" t="s">
        <v>453</v>
      </c>
      <c r="W49" s="17" t="s">
        <v>1285</v>
      </c>
      <c r="X49" s="133" t="s">
        <v>1286</v>
      </c>
      <c r="Y49" s="134" t="str">
        <f>HYPERLINK("https://drive.google.com/file/d/1sl-SO6MZJg9RgRY8nbmr_h8U-x6gQek3/view?usp=drivesdk","GC-FID_Nur Rohmah Al Fiyani_393")</f>
        <v>GC-FID_Nur Rohmah Al Fiyani_393</v>
      </c>
      <c r="Z49" s="17" t="s">
        <v>1284</v>
      </c>
    </row>
    <row r="50">
      <c r="A50" s="201">
        <v>45821.0</v>
      </c>
      <c r="B50" s="201">
        <v>45821.0</v>
      </c>
      <c r="C50" s="168">
        <v>396.0</v>
      </c>
      <c r="D50" s="136" t="s">
        <v>1116</v>
      </c>
      <c r="E50" s="136" t="s">
        <v>1117</v>
      </c>
      <c r="F50" s="136" t="s">
        <v>1220</v>
      </c>
      <c r="G50" s="155" t="s">
        <v>621</v>
      </c>
      <c r="H50" s="155" t="s">
        <v>1119</v>
      </c>
      <c r="I50" s="208" t="s">
        <v>777</v>
      </c>
      <c r="J50" s="17">
        <v>6.0</v>
      </c>
      <c r="K50" s="122">
        <v>60000.0</v>
      </c>
      <c r="L50" s="122">
        <f t="shared" si="2"/>
        <v>360000</v>
      </c>
      <c r="M50" s="123"/>
      <c r="N50" s="169" t="s">
        <v>1151</v>
      </c>
      <c r="O50" s="17">
        <v>60.0</v>
      </c>
      <c r="P50" s="17">
        <v>0.0</v>
      </c>
      <c r="Q50" s="17">
        <v>20.0</v>
      </c>
      <c r="R50" s="171">
        <f t="shared" si="4"/>
        <v>96</v>
      </c>
      <c r="S50" s="17">
        <v>30.0</v>
      </c>
      <c r="T50" s="17">
        <v>30.0</v>
      </c>
      <c r="U50" s="171">
        <f t="shared" si="1"/>
        <v>236</v>
      </c>
      <c r="V50" s="17" t="s">
        <v>453</v>
      </c>
      <c r="W50" s="17" t="s">
        <v>1287</v>
      </c>
      <c r="X50" s="133" t="s">
        <v>1288</v>
      </c>
      <c r="Y50" s="134" t="str">
        <f>HYPERLINK("https://drive.google.com/file/d/1nDMpqjcU_fQRiHw5lSzpQX4lhOzJ-QLx/view?usp=drivesdk","GC-FID_Hana Prasita Larasati _396")</f>
        <v>GC-FID_Hana Prasita Larasati _396</v>
      </c>
      <c r="Z50" s="17" t="s">
        <v>1284</v>
      </c>
    </row>
    <row r="51">
      <c r="A51" s="201">
        <v>45824.0</v>
      </c>
      <c r="B51" s="201">
        <v>45824.0</v>
      </c>
      <c r="C51" s="168">
        <v>400.0</v>
      </c>
      <c r="D51" s="136" t="s">
        <v>1143</v>
      </c>
      <c r="E51" s="136" t="s">
        <v>872</v>
      </c>
      <c r="F51" s="136" t="s">
        <v>799</v>
      </c>
      <c r="G51" s="155" t="s">
        <v>621</v>
      </c>
      <c r="H51" s="155" t="s">
        <v>1119</v>
      </c>
      <c r="I51" s="208" t="s">
        <v>777</v>
      </c>
      <c r="J51" s="17">
        <v>7.0</v>
      </c>
      <c r="K51" s="122">
        <v>60000.0</v>
      </c>
      <c r="L51" s="122">
        <f t="shared" si="2"/>
        <v>420000</v>
      </c>
      <c r="M51" s="123"/>
      <c r="N51" s="169" t="s">
        <v>1244</v>
      </c>
      <c r="O51" s="17">
        <v>60.0</v>
      </c>
      <c r="P51" s="17">
        <v>0.0</v>
      </c>
      <c r="Q51" s="17">
        <v>20.0</v>
      </c>
      <c r="R51" s="171">
        <f t="shared" si="4"/>
        <v>112</v>
      </c>
      <c r="S51" s="17">
        <v>30.0</v>
      </c>
      <c r="T51" s="17">
        <v>30.0</v>
      </c>
      <c r="U51" s="171">
        <f t="shared" si="1"/>
        <v>252</v>
      </c>
      <c r="V51" s="17" t="s">
        <v>453</v>
      </c>
      <c r="W51" s="17" t="s">
        <v>1289</v>
      </c>
      <c r="X51" s="133" t="s">
        <v>1290</v>
      </c>
      <c r="Y51" s="134" t="str">
        <f>HYPERLINK("https://drive.google.com/file/d/1XSRZ0WREM_bEHhi2SLTL4oQiqp9XHsO8/view?usp=drivesdk","GC-FID_Vito Bintang Saputra _400")</f>
        <v>GC-FID_Vito Bintang Saputra _400</v>
      </c>
      <c r="Z51" s="17" t="s">
        <v>1291</v>
      </c>
    </row>
    <row r="52">
      <c r="A52" s="201">
        <v>45833.0</v>
      </c>
      <c r="B52" s="201">
        <v>45839.0</v>
      </c>
      <c r="C52" s="168">
        <v>441.0</v>
      </c>
      <c r="D52" s="136" t="s">
        <v>1116</v>
      </c>
      <c r="E52" s="136" t="s">
        <v>1117</v>
      </c>
      <c r="F52" s="136" t="s">
        <v>1220</v>
      </c>
      <c r="G52" s="155" t="s">
        <v>621</v>
      </c>
      <c r="H52" s="155" t="s">
        <v>1119</v>
      </c>
      <c r="I52" s="208" t="s">
        <v>777</v>
      </c>
      <c r="J52" s="17">
        <v>2.0</v>
      </c>
      <c r="K52" s="122">
        <v>60000.0</v>
      </c>
      <c r="L52" s="122">
        <f t="shared" si="2"/>
        <v>120000</v>
      </c>
      <c r="M52" s="123"/>
      <c r="N52" s="169" t="s">
        <v>1151</v>
      </c>
      <c r="O52" s="17">
        <v>60.0</v>
      </c>
      <c r="P52" s="17">
        <v>0.0</v>
      </c>
      <c r="Q52" s="17">
        <v>20.0</v>
      </c>
      <c r="R52" s="171">
        <f>15*J52</f>
        <v>30</v>
      </c>
      <c r="S52" s="17">
        <v>30.0</v>
      </c>
      <c r="T52" s="17">
        <v>30.0</v>
      </c>
      <c r="U52" s="171">
        <f t="shared" si="1"/>
        <v>170</v>
      </c>
      <c r="V52" s="17" t="s">
        <v>453</v>
      </c>
      <c r="W52" s="17" t="s">
        <v>1292</v>
      </c>
      <c r="X52" s="133" t="s">
        <v>1293</v>
      </c>
      <c r="Y52" s="134" t="str">
        <f>HYPERLINK("https://drive.google.com/file/d/1AtEbek0sSJFtYqJpTVlEhw4EC7_KYtq9/view?usp=drivesdk","GC-FID_Hana Prasita Larasati _441")</f>
        <v>GC-FID_Hana Prasita Larasati _441</v>
      </c>
      <c r="Z52" s="17" t="s">
        <v>1294</v>
      </c>
    </row>
    <row r="53">
      <c r="A53" s="201">
        <v>45833.0</v>
      </c>
      <c r="B53" s="201">
        <v>45840.0</v>
      </c>
      <c r="C53" s="168">
        <v>443.0</v>
      </c>
      <c r="D53" s="154" t="s">
        <v>1248</v>
      </c>
      <c r="E53" s="154" t="s">
        <v>1249</v>
      </c>
      <c r="F53" s="136" t="s">
        <v>1220</v>
      </c>
      <c r="G53" s="208" t="s">
        <v>541</v>
      </c>
      <c r="H53" s="208" t="s">
        <v>1119</v>
      </c>
      <c r="I53" s="17" t="s">
        <v>777</v>
      </c>
      <c r="J53" s="17">
        <v>5.0</v>
      </c>
      <c r="K53" s="122">
        <v>60000.0</v>
      </c>
      <c r="L53" s="122">
        <f t="shared" si="2"/>
        <v>300000</v>
      </c>
      <c r="M53" s="123"/>
      <c r="N53" s="169" t="s">
        <v>1267</v>
      </c>
      <c r="O53" s="17">
        <v>60.0</v>
      </c>
      <c r="P53" s="17">
        <v>0.0</v>
      </c>
      <c r="Q53" s="17">
        <v>20.0</v>
      </c>
      <c r="R53" s="171">
        <f t="shared" ref="R53:R54" si="5">31*J53</f>
        <v>155</v>
      </c>
      <c r="S53" s="17">
        <v>30.0</v>
      </c>
      <c r="T53" s="17">
        <v>30.0</v>
      </c>
      <c r="U53" s="171">
        <f t="shared" si="1"/>
        <v>295</v>
      </c>
      <c r="V53" s="17" t="s">
        <v>453</v>
      </c>
      <c r="W53" s="17" t="s">
        <v>1295</v>
      </c>
      <c r="X53" s="133" t="s">
        <v>1296</v>
      </c>
      <c r="Y53" s="134" t="str">
        <f>HYPERLINK("https://drive.google.com/file/d/1fcaon6SAjnOEDwejVwioXnEwbNhFZotV/view?usp=drivesdk","GC-FID_Tiza Wikansari_443")</f>
        <v>GC-FID_Tiza Wikansari_443</v>
      </c>
      <c r="Z53" s="17" t="s">
        <v>1297</v>
      </c>
    </row>
    <row r="54">
      <c r="A54" s="201">
        <v>45833.0</v>
      </c>
      <c r="B54" s="201">
        <v>45840.0</v>
      </c>
      <c r="C54" s="168">
        <v>444.0</v>
      </c>
      <c r="D54" s="154" t="s">
        <v>1248</v>
      </c>
      <c r="E54" s="154" t="s">
        <v>1249</v>
      </c>
      <c r="F54" s="136" t="s">
        <v>1220</v>
      </c>
      <c r="G54" s="208" t="s">
        <v>541</v>
      </c>
      <c r="H54" s="208" t="s">
        <v>1119</v>
      </c>
      <c r="I54" s="17" t="s">
        <v>777</v>
      </c>
      <c r="J54" s="17">
        <v>5.0</v>
      </c>
      <c r="K54" s="122">
        <v>60000.0</v>
      </c>
      <c r="L54" s="122">
        <f t="shared" si="2"/>
        <v>300000</v>
      </c>
      <c r="M54" s="123"/>
      <c r="N54" s="169" t="s">
        <v>1267</v>
      </c>
      <c r="O54" s="17">
        <v>60.0</v>
      </c>
      <c r="P54" s="17">
        <v>0.0</v>
      </c>
      <c r="Q54" s="17">
        <v>20.0</v>
      </c>
      <c r="R54" s="171">
        <f t="shared" si="5"/>
        <v>155</v>
      </c>
      <c r="S54" s="17">
        <v>30.0</v>
      </c>
      <c r="T54" s="17">
        <v>30.0</v>
      </c>
      <c r="U54" s="171">
        <f t="shared" si="1"/>
        <v>295</v>
      </c>
      <c r="V54" s="17" t="s">
        <v>453</v>
      </c>
      <c r="W54" s="17" t="s">
        <v>1298</v>
      </c>
      <c r="X54" s="133" t="s">
        <v>1299</v>
      </c>
      <c r="Y54" s="134" t="str">
        <f>HYPERLINK("https://drive.google.com/file/d/1b6a-_3VZ_AQ26zWg1FaSuzpe9HKy9eU6/view?usp=drivesdk","GC-FID_Tiza Wikansari_444")</f>
        <v>GC-FID_Tiza Wikansari_444</v>
      </c>
      <c r="Z54" s="17" t="s">
        <v>1297</v>
      </c>
    </row>
    <row r="55">
      <c r="A55" s="201">
        <v>45839.0</v>
      </c>
      <c r="B55" s="201">
        <v>45839.0</v>
      </c>
      <c r="C55" s="168">
        <v>452.0</v>
      </c>
      <c r="D55" s="136" t="s">
        <v>1116</v>
      </c>
      <c r="E55" s="136" t="s">
        <v>1117</v>
      </c>
      <c r="F55" s="136" t="s">
        <v>1220</v>
      </c>
      <c r="G55" s="155" t="s">
        <v>621</v>
      </c>
      <c r="H55" s="155" t="s">
        <v>1119</v>
      </c>
      <c r="I55" s="208" t="s">
        <v>777</v>
      </c>
      <c r="J55" s="17">
        <v>7.0</v>
      </c>
      <c r="K55" s="122">
        <v>60000.0</v>
      </c>
      <c r="L55" s="122">
        <f t="shared" si="2"/>
        <v>420000</v>
      </c>
      <c r="M55" s="123"/>
      <c r="N55" s="169" t="s">
        <v>1151</v>
      </c>
      <c r="O55" s="17">
        <v>60.0</v>
      </c>
      <c r="P55" s="17">
        <v>0.0</v>
      </c>
      <c r="Q55" s="17">
        <v>20.0</v>
      </c>
      <c r="R55" s="171">
        <f>15*J55</f>
        <v>105</v>
      </c>
      <c r="S55" s="17">
        <v>30.0</v>
      </c>
      <c r="T55" s="17">
        <v>30.0</v>
      </c>
      <c r="U55" s="171">
        <f t="shared" si="1"/>
        <v>245</v>
      </c>
      <c r="V55" s="17" t="s">
        <v>453</v>
      </c>
      <c r="W55" s="17" t="s">
        <v>1300</v>
      </c>
      <c r="X55" s="133" t="s">
        <v>1301</v>
      </c>
      <c r="Y55" s="134" t="str">
        <f>HYPERLINK("https://drive.google.com/file/d/1FSukRsEg8HYsa2_JoTgIc9ZpFN4JnKhh/view?usp=drivesdk","GC-FID_Hana Prasita Larasati _452")</f>
        <v>GC-FID_Hana Prasita Larasati _452</v>
      </c>
      <c r="Z55" s="17" t="s">
        <v>1297</v>
      </c>
    </row>
    <row r="56">
      <c r="A56" s="201">
        <v>45853.0</v>
      </c>
      <c r="B56" s="201">
        <v>45853.0</v>
      </c>
      <c r="C56" s="168">
        <v>481.0</v>
      </c>
      <c r="D56" s="154" t="s">
        <v>1248</v>
      </c>
      <c r="E56" s="154" t="s">
        <v>1249</v>
      </c>
      <c r="F56" s="136" t="s">
        <v>1220</v>
      </c>
      <c r="G56" s="208" t="s">
        <v>541</v>
      </c>
      <c r="H56" s="208" t="s">
        <v>1119</v>
      </c>
      <c r="I56" s="17" t="s">
        <v>777</v>
      </c>
      <c r="J56" s="17">
        <v>3.0</v>
      </c>
      <c r="K56" s="122">
        <v>60000.0</v>
      </c>
      <c r="L56" s="122">
        <f t="shared" si="2"/>
        <v>180000</v>
      </c>
      <c r="M56" s="123"/>
      <c r="N56" s="169" t="s">
        <v>1267</v>
      </c>
      <c r="O56" s="17">
        <v>60.0</v>
      </c>
      <c r="P56" s="17">
        <v>0.0</v>
      </c>
      <c r="Q56" s="17">
        <v>20.0</v>
      </c>
      <c r="R56" s="171">
        <f>28*J56</f>
        <v>84</v>
      </c>
      <c r="S56" s="17">
        <v>30.0</v>
      </c>
      <c r="T56" s="17">
        <v>30.0</v>
      </c>
      <c r="U56" s="171">
        <f t="shared" si="1"/>
        <v>224</v>
      </c>
      <c r="V56" s="17" t="s">
        <v>453</v>
      </c>
      <c r="W56" s="17" t="s">
        <v>1302</v>
      </c>
      <c r="X56" s="133" t="s">
        <v>1303</v>
      </c>
      <c r="Y56" s="134" t="str">
        <f>HYPERLINK("https://drive.google.com/file/d/15KCI_0ezleLzR88vu-d26TR-YaVr8MLW/view?usp=drivesdk","GC-FID_Tiza Wikansari_481")</f>
        <v>GC-FID_Tiza Wikansari_481</v>
      </c>
      <c r="Z56" s="17" t="s">
        <v>1304</v>
      </c>
    </row>
    <row r="57">
      <c r="A57" s="201">
        <v>45853.0</v>
      </c>
      <c r="B57" s="201">
        <v>45854.0</v>
      </c>
      <c r="C57" s="168">
        <v>482.0</v>
      </c>
      <c r="D57" s="154" t="s">
        <v>1262</v>
      </c>
      <c r="E57" s="154" t="s">
        <v>1263</v>
      </c>
      <c r="F57" s="136" t="s">
        <v>1220</v>
      </c>
      <c r="G57" s="208" t="s">
        <v>621</v>
      </c>
      <c r="H57" s="208" t="s">
        <v>1119</v>
      </c>
      <c r="I57" s="17" t="s">
        <v>777</v>
      </c>
      <c r="J57" s="17">
        <v>6.0</v>
      </c>
      <c r="K57" s="122">
        <v>60000.0</v>
      </c>
      <c r="L57" s="122">
        <f t="shared" si="2"/>
        <v>360000</v>
      </c>
      <c r="M57" s="123"/>
      <c r="N57" s="169" t="s">
        <v>1151</v>
      </c>
      <c r="O57" s="17">
        <v>60.0</v>
      </c>
      <c r="P57" s="17">
        <v>0.0</v>
      </c>
      <c r="Q57" s="17">
        <v>20.0</v>
      </c>
      <c r="R57" s="171">
        <f>12*J57</f>
        <v>72</v>
      </c>
      <c r="S57" s="17">
        <v>30.0</v>
      </c>
      <c r="T57" s="17">
        <v>30.0</v>
      </c>
      <c r="U57" s="171">
        <f t="shared" si="1"/>
        <v>212</v>
      </c>
      <c r="V57" s="17" t="s">
        <v>453</v>
      </c>
      <c r="W57" s="17" t="s">
        <v>1305</v>
      </c>
      <c r="X57" s="133" t="s">
        <v>1306</v>
      </c>
      <c r="Y57" s="134" t="str">
        <f>HYPERLINK("https://drive.google.com/file/d/1F2NNuP6xTb2YOLn1OseJdCAkR-ZITFUy/view?usp=drivesdk","GC-FID_Tri Wahyu Novita_482")</f>
        <v>GC-FID_Tri Wahyu Novita_482</v>
      </c>
      <c r="Z57" s="17" t="s">
        <v>1304</v>
      </c>
    </row>
    <row r="58">
      <c r="A58" s="201">
        <v>45861.0</v>
      </c>
      <c r="B58" s="201">
        <v>45861.0</v>
      </c>
      <c r="C58" s="168">
        <v>493.0</v>
      </c>
      <c r="D58" s="154" t="s">
        <v>1248</v>
      </c>
      <c r="E58" s="154" t="s">
        <v>1249</v>
      </c>
      <c r="F58" s="136" t="s">
        <v>1220</v>
      </c>
      <c r="G58" s="208" t="s">
        <v>541</v>
      </c>
      <c r="H58" s="208" t="s">
        <v>1119</v>
      </c>
      <c r="I58" s="17" t="s">
        <v>777</v>
      </c>
      <c r="J58" s="17">
        <v>6.0</v>
      </c>
      <c r="K58" s="122">
        <v>60000.0</v>
      </c>
      <c r="L58" s="122">
        <f t="shared" si="2"/>
        <v>360000</v>
      </c>
      <c r="M58" s="123"/>
      <c r="N58" s="169" t="s">
        <v>1267</v>
      </c>
      <c r="O58" s="17">
        <v>60.0</v>
      </c>
      <c r="P58" s="17">
        <v>0.0</v>
      </c>
      <c r="Q58" s="17">
        <v>20.0</v>
      </c>
      <c r="R58" s="171">
        <f t="shared" ref="R58:R62" si="6">28*J58</f>
        <v>168</v>
      </c>
      <c r="S58" s="17">
        <v>30.0</v>
      </c>
      <c r="T58" s="17">
        <v>30.0</v>
      </c>
      <c r="U58" s="171">
        <f t="shared" si="1"/>
        <v>308</v>
      </c>
      <c r="V58" s="17" t="s">
        <v>453</v>
      </c>
      <c r="W58" s="17" t="s">
        <v>1307</v>
      </c>
      <c r="X58" s="133" t="s">
        <v>1308</v>
      </c>
      <c r="Y58" s="134" t="str">
        <f>HYPERLINK("https://drive.google.com/file/d/1gJ7vC-Q7cEmv3NY2U1Kzem8qddZ6O3Ev/view?usp=drivesdk","GC-FID_Tiza Wikansari_493")</f>
        <v>GC-FID_Tiza Wikansari_493</v>
      </c>
      <c r="Z58" s="17" t="s">
        <v>1309</v>
      </c>
    </row>
    <row r="59">
      <c r="A59" s="201">
        <v>45863.0</v>
      </c>
      <c r="B59" s="201">
        <v>45866.0</v>
      </c>
      <c r="C59" s="168">
        <v>502.0</v>
      </c>
      <c r="D59" s="154" t="s">
        <v>1248</v>
      </c>
      <c r="E59" s="154" t="s">
        <v>1249</v>
      </c>
      <c r="F59" s="136" t="s">
        <v>1220</v>
      </c>
      <c r="G59" s="208" t="s">
        <v>541</v>
      </c>
      <c r="H59" s="208" t="s">
        <v>1119</v>
      </c>
      <c r="I59" s="17" t="s">
        <v>777</v>
      </c>
      <c r="J59" s="17">
        <v>3.0</v>
      </c>
      <c r="K59" s="122">
        <v>60000.0</v>
      </c>
      <c r="L59" s="122">
        <f t="shared" si="2"/>
        <v>180000</v>
      </c>
      <c r="M59" s="123"/>
      <c r="N59" s="169" t="s">
        <v>1310</v>
      </c>
      <c r="O59" s="17">
        <v>60.0</v>
      </c>
      <c r="P59" s="17">
        <v>0.0</v>
      </c>
      <c r="Q59" s="17">
        <v>20.0</v>
      </c>
      <c r="R59" s="171">
        <f t="shared" si="6"/>
        <v>84</v>
      </c>
      <c r="S59" s="17">
        <v>30.0</v>
      </c>
      <c r="T59" s="17">
        <v>30.0</v>
      </c>
      <c r="U59" s="171">
        <f t="shared" si="1"/>
        <v>224</v>
      </c>
      <c r="V59" s="17" t="s">
        <v>453</v>
      </c>
      <c r="W59" s="17" t="s">
        <v>1311</v>
      </c>
      <c r="X59" s="133" t="s">
        <v>1312</v>
      </c>
      <c r="Y59" s="134" t="str">
        <f>HYPERLINK("https://drive.google.com/file/d/1OSMepCywNnnE_OaJd0FCtJB62LMG1yvt/view?usp=drivesdk","GC-FID_Tiza Wikansari_502")</f>
        <v>GC-FID_Tiza Wikansari_502</v>
      </c>
      <c r="Z59" s="17" t="s">
        <v>1313</v>
      </c>
    </row>
    <row r="60">
      <c r="A60" s="201">
        <v>45866.0</v>
      </c>
      <c r="B60" s="201">
        <v>45866.0</v>
      </c>
      <c r="C60" s="168">
        <v>505.0</v>
      </c>
      <c r="D60" s="207" t="s">
        <v>1248</v>
      </c>
      <c r="E60" s="207" t="s">
        <v>1249</v>
      </c>
      <c r="F60" s="207" t="s">
        <v>1220</v>
      </c>
      <c r="G60" s="207" t="s">
        <v>541</v>
      </c>
      <c r="H60" s="207" t="s">
        <v>1119</v>
      </c>
      <c r="I60" s="136" t="s">
        <v>777</v>
      </c>
      <c r="J60" s="17">
        <v>1.0</v>
      </c>
      <c r="K60" s="122">
        <v>60000.0</v>
      </c>
      <c r="L60" s="122">
        <f t="shared" si="2"/>
        <v>60000</v>
      </c>
      <c r="M60" s="123"/>
      <c r="N60" s="169" t="s">
        <v>1314</v>
      </c>
      <c r="O60" s="17">
        <v>60.0</v>
      </c>
      <c r="P60" s="17">
        <v>0.0</v>
      </c>
      <c r="Q60" s="17">
        <v>20.0</v>
      </c>
      <c r="R60" s="171">
        <f t="shared" si="6"/>
        <v>28</v>
      </c>
      <c r="S60" s="17">
        <v>30.0</v>
      </c>
      <c r="T60" s="17">
        <v>30.0</v>
      </c>
      <c r="U60" s="171">
        <f t="shared" si="1"/>
        <v>168</v>
      </c>
      <c r="V60" s="17" t="s">
        <v>453</v>
      </c>
      <c r="W60" s="17" t="s">
        <v>1315</v>
      </c>
      <c r="X60" s="133" t="s">
        <v>1316</v>
      </c>
      <c r="Y60" s="134" t="str">
        <f>HYPERLINK("https://drive.google.com/file/d/1GSqtObn_P35XZRmjONjAh-YrUzzgvt_z/view?usp=drivesdk","GC-FID_Tiza Wikansari_505")</f>
        <v>GC-FID_Tiza Wikansari_505</v>
      </c>
      <c r="Z60" s="17" t="s">
        <v>1313</v>
      </c>
    </row>
    <row r="61">
      <c r="A61" s="149">
        <v>45874.0</v>
      </c>
      <c r="B61" s="149">
        <v>45880.0</v>
      </c>
      <c r="C61" s="17">
        <v>518.0</v>
      </c>
      <c r="D61" s="210" t="s">
        <v>1262</v>
      </c>
      <c r="E61" s="136" t="s">
        <v>1263</v>
      </c>
      <c r="F61" s="136" t="s">
        <v>1279</v>
      </c>
      <c r="G61" s="208" t="s">
        <v>621</v>
      </c>
      <c r="H61" s="208" t="s">
        <v>1119</v>
      </c>
      <c r="I61" s="17" t="s">
        <v>777</v>
      </c>
      <c r="J61" s="17">
        <v>5.0</v>
      </c>
      <c r="K61" s="122">
        <v>60000.0</v>
      </c>
      <c r="L61" s="122">
        <f t="shared" si="2"/>
        <v>300000</v>
      </c>
      <c r="M61" s="123"/>
      <c r="N61" s="169" t="s">
        <v>1151</v>
      </c>
      <c r="O61" s="17">
        <v>60.0</v>
      </c>
      <c r="P61" s="17">
        <v>0.0</v>
      </c>
      <c r="Q61" s="17">
        <v>20.0</v>
      </c>
      <c r="R61" s="171">
        <f t="shared" si="6"/>
        <v>140</v>
      </c>
      <c r="S61" s="17">
        <v>30.0</v>
      </c>
      <c r="T61" s="17">
        <v>30.0</v>
      </c>
      <c r="U61" s="171">
        <f t="shared" si="1"/>
        <v>280</v>
      </c>
      <c r="V61" s="17" t="s">
        <v>453</v>
      </c>
      <c r="W61" s="17" t="s">
        <v>1317</v>
      </c>
      <c r="X61" s="133" t="s">
        <v>1318</v>
      </c>
      <c r="Y61" s="134" t="str">
        <f>HYPERLINK("https://drive.google.com/file/d/1RJ0vKf7N63ZVYnZyax8-Y_yOEFkSV25T/view?usp=drivesdk","GC-FID_Tri Wahyu Novita_518")</f>
        <v>GC-FID_Tri Wahyu Novita_518</v>
      </c>
      <c r="Z61" s="17" t="s">
        <v>1319</v>
      </c>
    </row>
    <row r="62">
      <c r="A62" s="149">
        <v>45880.0</v>
      </c>
      <c r="B62" s="149">
        <v>45880.0</v>
      </c>
      <c r="C62" s="194">
        <v>532.0</v>
      </c>
      <c r="D62" s="207" t="s">
        <v>1248</v>
      </c>
      <c r="E62" s="207" t="s">
        <v>1249</v>
      </c>
      <c r="F62" s="207" t="s">
        <v>1220</v>
      </c>
      <c r="G62" s="207" t="s">
        <v>541</v>
      </c>
      <c r="H62" s="207" t="s">
        <v>1119</v>
      </c>
      <c r="I62" s="136" t="s">
        <v>777</v>
      </c>
      <c r="J62" s="17">
        <v>2.0</v>
      </c>
      <c r="K62" s="122">
        <v>60000.0</v>
      </c>
      <c r="L62" s="122">
        <f t="shared" si="2"/>
        <v>120000</v>
      </c>
      <c r="M62" s="123"/>
      <c r="N62" s="169" t="s">
        <v>1314</v>
      </c>
      <c r="O62" s="17">
        <v>60.0</v>
      </c>
      <c r="P62" s="17">
        <v>0.0</v>
      </c>
      <c r="Q62" s="17">
        <v>20.0</v>
      </c>
      <c r="R62" s="171">
        <f t="shared" si="6"/>
        <v>56</v>
      </c>
      <c r="S62" s="17">
        <v>30.0</v>
      </c>
      <c r="T62" s="17">
        <v>30.0</v>
      </c>
      <c r="U62" s="171">
        <f t="shared" si="1"/>
        <v>196</v>
      </c>
      <c r="V62" s="17" t="s">
        <v>453</v>
      </c>
      <c r="W62" s="17" t="s">
        <v>1320</v>
      </c>
      <c r="X62" s="133" t="s">
        <v>1321</v>
      </c>
      <c r="Y62" s="134" t="str">
        <f>HYPERLINK("https://drive.google.com/file/d/1Og7GYOsvdqR21jZlPorrenjgom1-JlAn/view?usp=drivesdk","GC-FID_Tiza Wikansari_532")</f>
        <v>GC-FID_Tiza Wikansari_532</v>
      </c>
      <c r="Z62" s="17" t="s">
        <v>1319</v>
      </c>
    </row>
    <row r="63">
      <c r="A63" s="149">
        <v>45894.0</v>
      </c>
      <c r="B63" s="149">
        <v>45897.0</v>
      </c>
      <c r="C63" s="211">
        <v>553.0</v>
      </c>
      <c r="D63" s="136" t="s">
        <v>1322</v>
      </c>
      <c r="E63" s="136" t="s">
        <v>1323</v>
      </c>
      <c r="F63" s="136" t="s">
        <v>1324</v>
      </c>
      <c r="G63" s="207" t="s">
        <v>541</v>
      </c>
      <c r="H63" s="207" t="s">
        <v>1119</v>
      </c>
      <c r="I63" s="136" t="s">
        <v>777</v>
      </c>
      <c r="J63" s="17">
        <v>4.0</v>
      </c>
      <c r="K63" s="122">
        <v>60000.0</v>
      </c>
      <c r="L63" s="122">
        <f t="shared" si="2"/>
        <v>240000</v>
      </c>
      <c r="M63" s="123"/>
      <c r="N63" s="169" t="s">
        <v>1325</v>
      </c>
      <c r="O63" s="17">
        <v>60.0</v>
      </c>
      <c r="P63" s="17">
        <v>0.0</v>
      </c>
      <c r="Q63" s="17">
        <v>20.0</v>
      </c>
      <c r="R63" s="171">
        <f t="shared" ref="R63:R65" si="7">17*J63</f>
        <v>68</v>
      </c>
      <c r="S63" s="17">
        <v>30.0</v>
      </c>
      <c r="T63" s="17">
        <v>30.0</v>
      </c>
      <c r="U63" s="171">
        <f t="shared" si="1"/>
        <v>208</v>
      </c>
      <c r="V63" s="17" t="s">
        <v>453</v>
      </c>
      <c r="W63" s="17" t="s">
        <v>1326</v>
      </c>
      <c r="X63" s="133" t="s">
        <v>1327</v>
      </c>
      <c r="Y63" s="134" t="str">
        <f>HYPERLINK("https://drive.google.com/file/d/1qzCFgU_8vHE7vE3BLNlc1fU1XLhMaYLD/view?usp=drivesdk","GC-FID_Tiza Wikansari _553")</f>
        <v>GC-FID_Tiza Wikansari _553</v>
      </c>
      <c r="Z63" s="17" t="s">
        <v>1328</v>
      </c>
    </row>
    <row r="64">
      <c r="A64" s="149">
        <v>45896.0</v>
      </c>
      <c r="B64" s="149">
        <v>45897.0</v>
      </c>
      <c r="C64" s="211">
        <v>564.0</v>
      </c>
      <c r="D64" s="136" t="s">
        <v>1322</v>
      </c>
      <c r="E64" s="136" t="s">
        <v>1323</v>
      </c>
      <c r="F64" s="136" t="s">
        <v>1132</v>
      </c>
      <c r="G64" s="207" t="s">
        <v>541</v>
      </c>
      <c r="H64" s="207" t="s">
        <v>1119</v>
      </c>
      <c r="I64" s="136" t="s">
        <v>777</v>
      </c>
      <c r="J64" s="17">
        <v>3.0</v>
      </c>
      <c r="K64" s="122">
        <v>60000.0</v>
      </c>
      <c r="L64" s="122">
        <f t="shared" si="2"/>
        <v>180000</v>
      </c>
      <c r="M64" s="123"/>
      <c r="N64" s="169" t="s">
        <v>1325</v>
      </c>
      <c r="O64" s="17">
        <v>60.0</v>
      </c>
      <c r="P64" s="17">
        <v>0.0</v>
      </c>
      <c r="Q64" s="17">
        <v>20.0</v>
      </c>
      <c r="R64" s="171">
        <f t="shared" si="7"/>
        <v>51</v>
      </c>
      <c r="S64" s="17">
        <v>30.0</v>
      </c>
      <c r="T64" s="17">
        <v>30.0</v>
      </c>
      <c r="U64" s="171">
        <f t="shared" si="1"/>
        <v>191</v>
      </c>
      <c r="V64" s="17" t="s">
        <v>453</v>
      </c>
      <c r="W64" s="17" t="s">
        <v>1329</v>
      </c>
      <c r="X64" s="133" t="s">
        <v>1330</v>
      </c>
      <c r="Y64" s="134" t="str">
        <f>HYPERLINK("https://drive.google.com/file/d/1XbGK2UH-WTeA9oxpX7gudiIlrUYk9wOU/view?usp=drivesdk","GC-FID_Tiza Wikansari _564")</f>
        <v>GC-FID_Tiza Wikansari _564</v>
      </c>
      <c r="Z64" s="17" t="s">
        <v>1328</v>
      </c>
    </row>
    <row r="65">
      <c r="A65" s="149">
        <v>45910.0</v>
      </c>
      <c r="B65" s="149">
        <v>45911.0</v>
      </c>
      <c r="C65" s="17">
        <v>586.0</v>
      </c>
      <c r="D65" s="136" t="s">
        <v>1322</v>
      </c>
      <c r="E65" s="136" t="s">
        <v>1263</v>
      </c>
      <c r="F65" s="136" t="s">
        <v>1132</v>
      </c>
      <c r="G65" s="207" t="s">
        <v>541</v>
      </c>
      <c r="H65" s="207" t="s">
        <v>1119</v>
      </c>
      <c r="I65" s="136" t="s">
        <v>777</v>
      </c>
      <c r="J65" s="17">
        <v>3.0</v>
      </c>
      <c r="K65" s="122">
        <v>60000.0</v>
      </c>
      <c r="L65" s="122">
        <f t="shared" si="2"/>
        <v>180000</v>
      </c>
      <c r="M65" s="123"/>
      <c r="N65" s="169" t="s">
        <v>1325</v>
      </c>
      <c r="O65" s="17">
        <v>60.0</v>
      </c>
      <c r="P65" s="17">
        <v>0.0</v>
      </c>
      <c r="Q65" s="17">
        <v>20.0</v>
      </c>
      <c r="R65" s="171">
        <f t="shared" si="7"/>
        <v>51</v>
      </c>
      <c r="S65" s="17">
        <v>30.0</v>
      </c>
      <c r="T65" s="17">
        <v>30.0</v>
      </c>
      <c r="U65" s="171">
        <f t="shared" si="1"/>
        <v>191</v>
      </c>
      <c r="V65" s="17" t="s">
        <v>453</v>
      </c>
      <c r="W65" s="17" t="s">
        <v>1331</v>
      </c>
      <c r="X65" s="133" t="s">
        <v>1332</v>
      </c>
      <c r="Y65" s="134" t="str">
        <f>HYPERLINK("https://drive.google.com/file/d/19t0NJwSlZk1z3q7AXEvTX1rlw1UNc9M9/view?usp=drivesdk","GC-FID_Tiza Wikansari _586")</f>
        <v>GC-FID_Tiza Wikansari _586</v>
      </c>
      <c r="Z65" s="17" t="s">
        <v>1333</v>
      </c>
    </row>
    <row r="66">
      <c r="A66" s="149">
        <v>45910.0</v>
      </c>
      <c r="B66" s="149">
        <v>45911.0</v>
      </c>
      <c r="C66" s="17">
        <v>588.0</v>
      </c>
      <c r="D66" s="178" t="s">
        <v>1334</v>
      </c>
      <c r="E66" s="178" t="s">
        <v>1335</v>
      </c>
      <c r="F66" s="178" t="s">
        <v>1336</v>
      </c>
      <c r="G66" s="207" t="s">
        <v>541</v>
      </c>
      <c r="H66" s="207" t="s">
        <v>1119</v>
      </c>
      <c r="I66" s="136" t="s">
        <v>777</v>
      </c>
      <c r="J66" s="17">
        <v>6.0</v>
      </c>
      <c r="K66" s="122">
        <v>60000.0</v>
      </c>
      <c r="L66" s="122">
        <f t="shared" si="2"/>
        <v>360000</v>
      </c>
      <c r="M66" s="123"/>
      <c r="N66" s="169" t="s">
        <v>1337</v>
      </c>
      <c r="O66" s="17">
        <v>60.0</v>
      </c>
      <c r="P66" s="17">
        <v>0.0</v>
      </c>
      <c r="Q66" s="17">
        <v>20.0</v>
      </c>
      <c r="R66" s="171">
        <f t="shared" ref="R66:R69" si="8">20*J66</f>
        <v>120</v>
      </c>
      <c r="S66" s="17">
        <v>30.0</v>
      </c>
      <c r="T66" s="17">
        <v>30.0</v>
      </c>
      <c r="U66" s="171">
        <f t="shared" si="1"/>
        <v>260</v>
      </c>
      <c r="V66" s="17" t="s">
        <v>453</v>
      </c>
      <c r="W66" s="17" t="s">
        <v>1338</v>
      </c>
      <c r="X66" s="133" t="s">
        <v>1339</v>
      </c>
      <c r="Y66" s="134" t="str">
        <f>HYPERLINK("https://drive.google.com/file/d/1lTE3KRZselNy9i6vyoYBJx2AFUb2eSHk/view?usp=drivesdk","GC-FID_Fauziyah Azhari_588")</f>
        <v>GC-FID_Fauziyah Azhari_588</v>
      </c>
      <c r="Z66" s="17" t="s">
        <v>1333</v>
      </c>
    </row>
    <row r="67">
      <c r="A67" s="149">
        <v>45909.0</v>
      </c>
      <c r="B67" s="149">
        <v>45910.0</v>
      </c>
      <c r="C67" s="17">
        <v>578.0</v>
      </c>
      <c r="D67" s="178" t="s">
        <v>1334</v>
      </c>
      <c r="E67" s="178" t="s">
        <v>1340</v>
      </c>
      <c r="F67" s="178" t="s">
        <v>1336</v>
      </c>
      <c r="G67" s="207" t="s">
        <v>541</v>
      </c>
      <c r="H67" s="207" t="s">
        <v>1119</v>
      </c>
      <c r="I67" s="136" t="s">
        <v>777</v>
      </c>
      <c r="J67" s="17">
        <v>13.0</v>
      </c>
      <c r="K67" s="122">
        <v>60000.0</v>
      </c>
      <c r="L67" s="122">
        <f t="shared" si="2"/>
        <v>780000</v>
      </c>
      <c r="M67" s="123"/>
      <c r="N67" s="169" t="s">
        <v>1337</v>
      </c>
      <c r="O67" s="17">
        <v>60.0</v>
      </c>
      <c r="P67" s="17">
        <v>0.0</v>
      </c>
      <c r="Q67" s="17">
        <v>20.0</v>
      </c>
      <c r="R67" s="171">
        <f t="shared" si="8"/>
        <v>260</v>
      </c>
      <c r="S67" s="17">
        <v>30.0</v>
      </c>
      <c r="T67" s="17">
        <v>30.0</v>
      </c>
      <c r="U67" s="171">
        <f t="shared" si="1"/>
        <v>400</v>
      </c>
      <c r="V67" s="17" t="s">
        <v>453</v>
      </c>
      <c r="W67" s="17" t="s">
        <v>1341</v>
      </c>
      <c r="X67" s="133" t="s">
        <v>1342</v>
      </c>
      <c r="Y67" s="134" t="str">
        <f>HYPERLINK("https://drive.google.com/file/d/16yBirKO8N-RxOyLiwbXGyH_pVve4Cf03/view?usp=drivesdk","GC-FID_Fauziyah Azhari_578")</f>
        <v>GC-FID_Fauziyah Azhari_578</v>
      </c>
      <c r="Z67" s="17" t="s">
        <v>1343</v>
      </c>
    </row>
    <row r="68">
      <c r="A68" s="149">
        <v>45932.0</v>
      </c>
      <c r="B68" s="149">
        <v>45943.0</v>
      </c>
      <c r="C68" s="212">
        <v>648.0</v>
      </c>
      <c r="D68" s="136" t="s">
        <v>1334</v>
      </c>
      <c r="E68" s="136" t="s">
        <v>1335</v>
      </c>
      <c r="F68" s="136" t="s">
        <v>1336</v>
      </c>
      <c r="G68" s="207" t="s">
        <v>541</v>
      </c>
      <c r="H68" s="207" t="s">
        <v>1119</v>
      </c>
      <c r="I68" s="136" t="s">
        <v>777</v>
      </c>
      <c r="J68" s="17">
        <v>5.0</v>
      </c>
      <c r="K68" s="122">
        <v>60000.0</v>
      </c>
      <c r="L68" s="122">
        <f t="shared" si="2"/>
        <v>300000</v>
      </c>
      <c r="M68" s="123"/>
      <c r="N68" s="169" t="s">
        <v>1337</v>
      </c>
      <c r="O68" s="17">
        <v>60.0</v>
      </c>
      <c r="P68" s="17">
        <v>0.0</v>
      </c>
      <c r="Q68" s="17">
        <v>20.0</v>
      </c>
      <c r="R68" s="171">
        <f t="shared" si="8"/>
        <v>100</v>
      </c>
      <c r="S68" s="17">
        <v>30.0</v>
      </c>
      <c r="T68" s="17">
        <v>30.0</v>
      </c>
      <c r="U68" s="171">
        <f t="shared" si="1"/>
        <v>240</v>
      </c>
      <c r="V68" s="17" t="s">
        <v>453</v>
      </c>
      <c r="W68" s="17" t="s">
        <v>1344</v>
      </c>
      <c r="X68" s="133" t="s">
        <v>1345</v>
      </c>
      <c r="Y68" s="134" t="str">
        <f>HYPERLINK("https://drive.google.com/file/d/1qNyrU2co3GzZ0QhxdICn94hLtBn-ZlWd/view?usp=drivesdk","GC-FID_Fauziyah Azhari_648")</f>
        <v>GC-FID_Fauziyah Azhari_648</v>
      </c>
      <c r="Z68" s="17" t="s">
        <v>1346</v>
      </c>
    </row>
    <row r="69">
      <c r="A69" s="149">
        <v>45932.0</v>
      </c>
      <c r="B69" s="149">
        <v>45943.0</v>
      </c>
      <c r="C69" s="212">
        <v>649.0</v>
      </c>
      <c r="D69" s="136" t="s">
        <v>1322</v>
      </c>
      <c r="E69" s="136" t="s">
        <v>1323</v>
      </c>
      <c r="F69" s="136" t="s">
        <v>1118</v>
      </c>
      <c r="G69" s="207" t="s">
        <v>541</v>
      </c>
      <c r="H69" s="207" t="s">
        <v>1119</v>
      </c>
      <c r="I69" s="136" t="s">
        <v>777</v>
      </c>
      <c r="J69" s="17">
        <v>2.0</v>
      </c>
      <c r="K69" s="122">
        <v>60000.0</v>
      </c>
      <c r="L69" s="122">
        <f t="shared" si="2"/>
        <v>120000</v>
      </c>
      <c r="M69" s="123"/>
      <c r="N69" s="169" t="s">
        <v>1325</v>
      </c>
      <c r="O69" s="17">
        <v>60.0</v>
      </c>
      <c r="P69" s="17">
        <v>0.0</v>
      </c>
      <c r="Q69" s="17">
        <v>20.0</v>
      </c>
      <c r="R69" s="171">
        <f t="shared" si="8"/>
        <v>40</v>
      </c>
      <c r="S69" s="17">
        <v>30.0</v>
      </c>
      <c r="T69" s="17">
        <v>30.0</v>
      </c>
      <c r="U69" s="171">
        <f t="shared" si="1"/>
        <v>180</v>
      </c>
      <c r="V69" s="17" t="s">
        <v>453</v>
      </c>
      <c r="W69" s="17" t="s">
        <v>1347</v>
      </c>
      <c r="X69" s="133" t="s">
        <v>1348</v>
      </c>
      <c r="Y69" s="134" t="str">
        <f>HYPERLINK("https://drive.google.com/file/d/1_qvmeqw5tUQi39rERUuPCT33RHe6Vo39/view?usp=drivesdk","GC-FID_Tiza Wikansari _649")</f>
        <v>GC-FID_Tiza Wikansari _649</v>
      </c>
      <c r="Z69" s="17" t="s">
        <v>1346</v>
      </c>
    </row>
    <row r="70">
      <c r="A70" s="149">
        <v>45908.0</v>
      </c>
      <c r="B70" s="149">
        <v>45944.0</v>
      </c>
      <c r="C70" s="212">
        <v>569.0</v>
      </c>
      <c r="D70" s="136" t="s">
        <v>1349</v>
      </c>
      <c r="E70" s="136" t="s">
        <v>155</v>
      </c>
      <c r="F70" s="136" t="s">
        <v>1350</v>
      </c>
      <c r="G70" s="207" t="s">
        <v>541</v>
      </c>
      <c r="H70" s="207" t="s">
        <v>1119</v>
      </c>
      <c r="I70" s="136" t="s">
        <v>777</v>
      </c>
      <c r="J70" s="17">
        <v>14.0</v>
      </c>
      <c r="K70" s="122">
        <v>100000.0</v>
      </c>
      <c r="L70" s="122">
        <f t="shared" si="2"/>
        <v>1400000</v>
      </c>
      <c r="M70" s="123"/>
      <c r="N70" s="169" t="s">
        <v>1351</v>
      </c>
      <c r="O70" s="17">
        <v>60.0</v>
      </c>
      <c r="P70" s="17">
        <v>0.0</v>
      </c>
      <c r="Q70" s="17">
        <v>20.0</v>
      </c>
      <c r="R70" s="171">
        <f t="shared" ref="R70:R76" si="9">11*J70</f>
        <v>154</v>
      </c>
      <c r="S70" s="17">
        <v>30.0</v>
      </c>
      <c r="T70" s="17">
        <v>30.0</v>
      </c>
      <c r="U70" s="171">
        <f t="shared" si="1"/>
        <v>294</v>
      </c>
      <c r="V70" s="17" t="s">
        <v>453</v>
      </c>
      <c r="W70" s="17" t="s">
        <v>1352</v>
      </c>
      <c r="X70" s="133" t="s">
        <v>1353</v>
      </c>
      <c r="Y70" s="134" t="str">
        <f>HYPERLINK("https://drive.google.com/file/d/1balHz6qKbhwFiReIenfItwyjmlq9Cq7_/view?usp=drivesdk","GC-FID_Umi Nafisah_569")</f>
        <v>GC-FID_Umi Nafisah_569</v>
      </c>
      <c r="Z70" s="17" t="s">
        <v>1354</v>
      </c>
    </row>
    <row r="71">
      <c r="A71" s="149">
        <v>45957.0</v>
      </c>
      <c r="B71" s="149">
        <v>45958.0</v>
      </c>
      <c r="C71" s="17">
        <v>715.0</v>
      </c>
      <c r="D71" s="17" t="s">
        <v>1033</v>
      </c>
      <c r="E71" s="17" t="s">
        <v>1092</v>
      </c>
      <c r="F71" s="17" t="s">
        <v>1093</v>
      </c>
      <c r="G71" s="17" t="s">
        <v>541</v>
      </c>
      <c r="H71" s="17" t="s">
        <v>1119</v>
      </c>
      <c r="I71" s="17" t="s">
        <v>777</v>
      </c>
      <c r="J71" s="17">
        <v>36.0</v>
      </c>
      <c r="K71" s="122">
        <v>60000.0</v>
      </c>
      <c r="L71" s="122">
        <f t="shared" si="2"/>
        <v>2160000</v>
      </c>
      <c r="M71" s="123"/>
      <c r="N71" s="169" t="s">
        <v>1351</v>
      </c>
      <c r="O71" s="17">
        <v>60.0</v>
      </c>
      <c r="P71" s="17">
        <v>0.0</v>
      </c>
      <c r="Q71" s="17">
        <v>20.0</v>
      </c>
      <c r="R71" s="171">
        <f t="shared" si="9"/>
        <v>396</v>
      </c>
      <c r="S71" s="17">
        <v>30.0</v>
      </c>
      <c r="T71" s="17">
        <v>30.0</v>
      </c>
      <c r="U71" s="171">
        <f t="shared" si="1"/>
        <v>536</v>
      </c>
      <c r="V71" s="17" t="s">
        <v>453</v>
      </c>
      <c r="W71" s="17" t="s">
        <v>1355</v>
      </c>
      <c r="X71" s="133" t="s">
        <v>1356</v>
      </c>
      <c r="Y71" s="134" t="str">
        <f>HYPERLINK("https://drive.google.com/file/d/1SiAEPy6sbbQrZ0MqeZAqJpLkpHObipUu/view?usp=drivesdk","GC-FID_Lia Umi Khasanah_715")</f>
        <v>GC-FID_Lia Umi Khasanah_715</v>
      </c>
      <c r="Z71" s="17" t="s">
        <v>1357</v>
      </c>
    </row>
    <row r="72">
      <c r="A72" s="149">
        <v>45952.0</v>
      </c>
      <c r="B72" s="149">
        <v>45958.0</v>
      </c>
      <c r="C72" s="17">
        <v>701.0</v>
      </c>
      <c r="D72" s="195" t="s">
        <v>1262</v>
      </c>
      <c r="E72" s="17" t="s">
        <v>1263</v>
      </c>
      <c r="F72" s="17" t="s">
        <v>1132</v>
      </c>
      <c r="G72" s="17" t="s">
        <v>541</v>
      </c>
      <c r="H72" s="17" t="s">
        <v>1119</v>
      </c>
      <c r="I72" s="17" t="s">
        <v>1051</v>
      </c>
      <c r="J72" s="17">
        <v>3.0</v>
      </c>
      <c r="K72" s="122">
        <v>60000.0</v>
      </c>
      <c r="L72" s="122">
        <f t="shared" si="2"/>
        <v>180000</v>
      </c>
      <c r="M72" s="123"/>
      <c r="N72" s="169" t="s">
        <v>1325</v>
      </c>
      <c r="O72" s="17">
        <v>60.0</v>
      </c>
      <c r="P72" s="17">
        <v>0.0</v>
      </c>
      <c r="Q72" s="17">
        <v>20.0</v>
      </c>
      <c r="R72" s="171">
        <f t="shared" si="9"/>
        <v>33</v>
      </c>
      <c r="S72" s="17">
        <v>30.0</v>
      </c>
      <c r="T72" s="17">
        <v>30.0</v>
      </c>
      <c r="U72" s="171">
        <f t="shared" si="1"/>
        <v>173</v>
      </c>
      <c r="V72" s="17" t="s">
        <v>453</v>
      </c>
      <c r="W72" s="17" t="s">
        <v>1358</v>
      </c>
      <c r="X72" s="133" t="s">
        <v>1359</v>
      </c>
      <c r="Y72" s="134" t="str">
        <f>HYPERLINK("https://drive.google.com/file/d/1GshpPM4loF1W_zpFN9xtsHn9Lcb7TtwX/view?usp=drivesdk","GC-FID_Tri Wahyu Novita_701")</f>
        <v>GC-FID_Tri Wahyu Novita_701</v>
      </c>
      <c r="Z72" s="17" t="s">
        <v>1360</v>
      </c>
    </row>
    <row r="73">
      <c r="A73" s="149">
        <v>45952.0</v>
      </c>
      <c r="B73" s="149">
        <v>45958.0</v>
      </c>
      <c r="C73" s="17">
        <v>700.0</v>
      </c>
      <c r="D73" s="17" t="s">
        <v>1248</v>
      </c>
      <c r="E73" s="17" t="s">
        <v>1249</v>
      </c>
      <c r="F73" s="17" t="s">
        <v>1132</v>
      </c>
      <c r="G73" s="17" t="s">
        <v>541</v>
      </c>
      <c r="H73" s="17" t="s">
        <v>1119</v>
      </c>
      <c r="I73" s="17" t="s">
        <v>1051</v>
      </c>
      <c r="J73" s="17">
        <v>2.0</v>
      </c>
      <c r="K73" s="122">
        <v>60000.0</v>
      </c>
      <c r="L73" s="122">
        <f t="shared" si="2"/>
        <v>120000</v>
      </c>
      <c r="M73" s="123"/>
      <c r="N73" s="169" t="s">
        <v>1325</v>
      </c>
      <c r="O73" s="17">
        <v>60.0</v>
      </c>
      <c r="P73" s="17">
        <v>0.0</v>
      </c>
      <c r="Q73" s="17">
        <v>20.0</v>
      </c>
      <c r="R73" s="171">
        <f t="shared" si="9"/>
        <v>22</v>
      </c>
      <c r="S73" s="17">
        <v>30.0</v>
      </c>
      <c r="T73" s="17">
        <v>30.0</v>
      </c>
      <c r="U73" s="171">
        <f t="shared" si="1"/>
        <v>162</v>
      </c>
      <c r="V73" s="17" t="s">
        <v>453</v>
      </c>
      <c r="W73" s="17" t="s">
        <v>1361</v>
      </c>
      <c r="X73" s="133" t="s">
        <v>1362</v>
      </c>
      <c r="Y73" s="134" t="str">
        <f>HYPERLINK("https://drive.google.com/file/d/1AH6N_s1IwZiK6-L0rZ-Pj_6mfewZuSSH/view?usp=drivesdk","GC-FID_Tiza Wikansari_700")</f>
        <v>GC-FID_Tiza Wikansari_700</v>
      </c>
      <c r="Z73" s="17" t="s">
        <v>1363</v>
      </c>
    </row>
    <row r="74">
      <c r="A74" s="149">
        <v>45958.0</v>
      </c>
      <c r="B74" s="149">
        <v>45965.0</v>
      </c>
      <c r="C74" s="17">
        <v>726.0</v>
      </c>
      <c r="D74" s="17" t="s">
        <v>1364</v>
      </c>
      <c r="E74" s="17" t="s">
        <v>1365</v>
      </c>
      <c r="F74" s="17" t="s">
        <v>1132</v>
      </c>
      <c r="G74" s="17" t="s">
        <v>541</v>
      </c>
      <c r="H74" s="17" t="s">
        <v>1119</v>
      </c>
      <c r="I74" s="17" t="s">
        <v>1366</v>
      </c>
      <c r="J74" s="17">
        <v>18.0</v>
      </c>
      <c r="K74" s="122">
        <v>60000.0</v>
      </c>
      <c r="L74" s="122">
        <f t="shared" si="2"/>
        <v>1080000</v>
      </c>
      <c r="M74" s="123"/>
      <c r="N74" s="169" t="s">
        <v>1325</v>
      </c>
      <c r="O74" s="17">
        <v>60.0</v>
      </c>
      <c r="P74" s="17">
        <v>0.0</v>
      </c>
      <c r="Q74" s="17">
        <v>20.0</v>
      </c>
      <c r="R74" s="171">
        <f t="shared" si="9"/>
        <v>198</v>
      </c>
      <c r="S74" s="17">
        <v>30.0</v>
      </c>
      <c r="T74" s="17">
        <v>30.0</v>
      </c>
      <c r="U74" s="171">
        <f t="shared" si="1"/>
        <v>338</v>
      </c>
      <c r="V74" s="17" t="s">
        <v>453</v>
      </c>
      <c r="W74" s="17" t="s">
        <v>1367</v>
      </c>
      <c r="X74" s="133" t="s">
        <v>1368</v>
      </c>
      <c r="Y74" s="134" t="str">
        <f>HYPERLINK("https://drive.google.com/file/d/1s7BHEUQJTxUhNsx8G1iQDA5Kd9B8ERAq/view?usp=drivesdk","GC-FID_Mustika Della Asti_726")</f>
        <v>GC-FID_Mustika Della Asti_726</v>
      </c>
      <c r="Z74" s="17" t="s">
        <v>1369</v>
      </c>
    </row>
    <row r="75">
      <c r="A75" s="149">
        <v>45971.0</v>
      </c>
      <c r="B75" s="149">
        <v>45973.0</v>
      </c>
      <c r="C75" s="17">
        <v>751.0</v>
      </c>
      <c r="D75" s="136" t="s">
        <v>1143</v>
      </c>
      <c r="E75" s="136" t="s">
        <v>872</v>
      </c>
      <c r="F75" s="136" t="s">
        <v>1144</v>
      </c>
      <c r="G75" s="17" t="s">
        <v>541</v>
      </c>
      <c r="H75" s="17" t="s">
        <v>1119</v>
      </c>
      <c r="I75" s="17" t="s">
        <v>777</v>
      </c>
      <c r="J75" s="17">
        <v>21.0</v>
      </c>
      <c r="K75" s="122">
        <v>60000.0</v>
      </c>
      <c r="L75" s="122">
        <f t="shared" si="2"/>
        <v>1260000</v>
      </c>
      <c r="M75" s="123"/>
      <c r="N75" s="169" t="s">
        <v>1325</v>
      </c>
      <c r="O75" s="17">
        <v>60.0</v>
      </c>
      <c r="P75" s="17">
        <v>0.0</v>
      </c>
      <c r="Q75" s="17">
        <v>20.0</v>
      </c>
      <c r="R75" s="171">
        <f t="shared" si="9"/>
        <v>231</v>
      </c>
      <c r="S75" s="17">
        <v>30.0</v>
      </c>
      <c r="T75" s="17">
        <v>30.0</v>
      </c>
      <c r="U75" s="171">
        <f t="shared" si="1"/>
        <v>371</v>
      </c>
      <c r="V75" s="17" t="s">
        <v>453</v>
      </c>
      <c r="W75" s="17" t="s">
        <v>1370</v>
      </c>
      <c r="X75" s="133" t="s">
        <v>1371</v>
      </c>
      <c r="Y75" s="134" t="str">
        <f>HYPERLINK("https://drive.google.com/file/d/1chY6MtRhu-jD3F1QaARUEGcET7an3g5U/view?usp=drivesdk","GC-FID_Vito Bintang Saputra _751")</f>
        <v>GC-FID_Vito Bintang Saputra _751</v>
      </c>
      <c r="Z75" s="17" t="s">
        <v>1372</v>
      </c>
    </row>
    <row r="76">
      <c r="A76" s="149">
        <v>45971.0</v>
      </c>
      <c r="B76" s="149">
        <v>45973.0</v>
      </c>
      <c r="C76" s="17">
        <v>753.0</v>
      </c>
      <c r="D76" s="17" t="s">
        <v>1248</v>
      </c>
      <c r="E76" s="17" t="s">
        <v>1249</v>
      </c>
      <c r="F76" s="17" t="s">
        <v>1132</v>
      </c>
      <c r="G76" s="17" t="s">
        <v>541</v>
      </c>
      <c r="H76" s="17" t="s">
        <v>1119</v>
      </c>
      <c r="I76" s="17" t="s">
        <v>777</v>
      </c>
      <c r="J76" s="17">
        <v>6.0</v>
      </c>
      <c r="K76" s="122">
        <v>60000.0</v>
      </c>
      <c r="L76" s="122">
        <f t="shared" si="2"/>
        <v>360000</v>
      </c>
      <c r="M76" s="123"/>
      <c r="N76" s="169" t="s">
        <v>1325</v>
      </c>
      <c r="O76" s="17">
        <v>60.0</v>
      </c>
      <c r="P76" s="17">
        <v>0.0</v>
      </c>
      <c r="Q76" s="17">
        <v>20.0</v>
      </c>
      <c r="R76" s="171">
        <f t="shared" si="9"/>
        <v>66</v>
      </c>
      <c r="S76" s="17">
        <v>30.0</v>
      </c>
      <c r="T76" s="17">
        <v>30.0</v>
      </c>
      <c r="U76" s="171">
        <f t="shared" si="1"/>
        <v>206</v>
      </c>
      <c r="V76" s="17" t="s">
        <v>453</v>
      </c>
      <c r="W76" s="17" t="s">
        <v>1373</v>
      </c>
      <c r="X76" s="133" t="s">
        <v>1374</v>
      </c>
      <c r="Y76" s="134" t="str">
        <f>HYPERLINK("https://drive.google.com/file/d/1YUtcQLLGcSWPU4C89Fe4m7d5fkMXcRUl/view?usp=drivesdk","GC-FID_Tiza Wikansari_753")</f>
        <v>GC-FID_Tiza Wikansari_753</v>
      </c>
      <c r="Z76" s="17" t="s">
        <v>1372</v>
      </c>
    </row>
    <row r="77">
      <c r="A77" s="149">
        <v>45978.0</v>
      </c>
      <c r="B77" s="149">
        <v>45978.0</v>
      </c>
      <c r="C77" s="212">
        <v>767.0</v>
      </c>
      <c r="D77" s="136" t="s">
        <v>871</v>
      </c>
      <c r="E77" s="136" t="s">
        <v>872</v>
      </c>
      <c r="F77" s="136" t="s">
        <v>1144</v>
      </c>
      <c r="G77" s="17" t="s">
        <v>541</v>
      </c>
      <c r="H77" s="17" t="s">
        <v>1119</v>
      </c>
      <c r="I77" s="17" t="s">
        <v>777</v>
      </c>
      <c r="J77" s="17">
        <v>8.0</v>
      </c>
      <c r="K77" s="122">
        <v>60000.0</v>
      </c>
      <c r="L77" s="122">
        <f t="shared" si="2"/>
        <v>480000</v>
      </c>
      <c r="M77" s="123"/>
      <c r="N77" s="169" t="s">
        <v>1375</v>
      </c>
      <c r="O77" s="17">
        <v>60.0</v>
      </c>
      <c r="P77" s="17">
        <v>0.0</v>
      </c>
      <c r="Q77" s="17">
        <v>20.0</v>
      </c>
      <c r="R77" s="171">
        <f>14*J77</f>
        <v>112</v>
      </c>
      <c r="S77" s="17">
        <v>30.0</v>
      </c>
      <c r="T77" s="17">
        <v>30.0</v>
      </c>
      <c r="U77" s="171">
        <f t="shared" si="1"/>
        <v>252</v>
      </c>
      <c r="V77" s="17" t="s">
        <v>453</v>
      </c>
      <c r="W77" s="17" t="s">
        <v>1376</v>
      </c>
      <c r="X77" s="133" t="s">
        <v>1377</v>
      </c>
      <c r="Y77" s="134" t="str">
        <f>HYPERLINK("https://drive.google.com/file/d/1HaIolMsxvzPOIvyodsI0GP20GAi3K16q/view?usp=drivesdk","GC-FID_Vito Bintang Saputra_767")</f>
        <v>GC-FID_Vito Bintang Saputra_767</v>
      </c>
      <c r="Z77" s="17" t="s">
        <v>1378</v>
      </c>
    </row>
    <row r="78">
      <c r="A78" s="149">
        <v>45980.0</v>
      </c>
      <c r="B78" s="149">
        <v>45982.0</v>
      </c>
      <c r="C78" s="17">
        <v>775.0</v>
      </c>
      <c r="D78" s="17" t="s">
        <v>1248</v>
      </c>
      <c r="E78" s="17" t="s">
        <v>1249</v>
      </c>
      <c r="F78" s="17" t="s">
        <v>1132</v>
      </c>
      <c r="G78" s="17" t="s">
        <v>541</v>
      </c>
      <c r="H78" s="17" t="s">
        <v>1119</v>
      </c>
      <c r="I78" s="17" t="s">
        <v>777</v>
      </c>
      <c r="J78" s="17">
        <v>4.0</v>
      </c>
      <c r="K78" s="122">
        <v>60000.0</v>
      </c>
      <c r="L78" s="122">
        <f t="shared" si="2"/>
        <v>240000</v>
      </c>
      <c r="M78" s="123"/>
      <c r="N78" s="169" t="s">
        <v>1325</v>
      </c>
      <c r="O78" s="17">
        <v>60.0</v>
      </c>
      <c r="P78" s="17">
        <v>0.0</v>
      </c>
      <c r="Q78" s="17">
        <v>20.0</v>
      </c>
      <c r="R78" s="171">
        <f>11*J78</f>
        <v>44</v>
      </c>
      <c r="S78" s="17">
        <v>30.0</v>
      </c>
      <c r="T78" s="17">
        <v>30.0</v>
      </c>
      <c r="U78" s="171">
        <f t="shared" si="1"/>
        <v>184</v>
      </c>
      <c r="V78" s="17" t="s">
        <v>453</v>
      </c>
      <c r="W78" s="17" t="s">
        <v>1379</v>
      </c>
      <c r="X78" s="133" t="s">
        <v>1380</v>
      </c>
      <c r="Y78" s="134" t="str">
        <f>HYPERLINK("https://drive.google.com/file/d/1ZHLGJCn8PJmIhuH9JkPqs6oJPk3Z9sUh/view?usp=drivesdk","GC-FID_Tiza Wikansari_775")</f>
        <v>GC-FID_Tiza Wikansari_775</v>
      </c>
      <c r="Z78" s="17" t="s">
        <v>1381</v>
      </c>
    </row>
    <row r="79">
      <c r="A79" s="151"/>
      <c r="B79" s="151"/>
      <c r="K79" s="123"/>
      <c r="L79" s="123">
        <f>sum(L9:L78)</f>
        <v>27020000</v>
      </c>
      <c r="M79" s="123"/>
      <c r="N79" s="213"/>
    </row>
    <row r="80">
      <c r="A80" s="151"/>
      <c r="B80" s="151"/>
      <c r="K80" s="123"/>
      <c r="M80" s="123"/>
      <c r="N80" s="213"/>
    </row>
    <row r="81">
      <c r="A81" s="151"/>
      <c r="B81" s="151"/>
      <c r="K81" s="123"/>
      <c r="M81" s="123"/>
      <c r="N81" s="213"/>
    </row>
    <row r="82">
      <c r="A82" s="151"/>
      <c r="B82" s="151"/>
      <c r="K82" s="123"/>
      <c r="M82" s="123"/>
      <c r="N82" s="213"/>
    </row>
    <row r="83">
      <c r="A83" s="151"/>
      <c r="B83" s="151"/>
      <c r="K83" s="123"/>
      <c r="M83" s="123"/>
      <c r="N83" s="213"/>
    </row>
    <row r="84">
      <c r="A84" s="151"/>
      <c r="B84" s="151"/>
      <c r="K84" s="123"/>
      <c r="M84" s="123"/>
      <c r="N84" s="213"/>
    </row>
    <row r="85">
      <c r="A85" s="151"/>
      <c r="B85" s="151"/>
      <c r="K85" s="123"/>
      <c r="M85" s="123"/>
      <c r="N85" s="213"/>
    </row>
    <row r="86">
      <c r="A86" s="151"/>
      <c r="B86" s="151"/>
      <c r="K86" s="123"/>
      <c r="M86" s="123"/>
      <c r="N86" s="213"/>
    </row>
    <row r="87">
      <c r="A87" s="151"/>
      <c r="B87" s="151"/>
      <c r="K87" s="123"/>
      <c r="M87" s="123"/>
      <c r="N87" s="213"/>
    </row>
    <row r="88">
      <c r="A88" s="151"/>
      <c r="B88" s="151"/>
      <c r="K88" s="123"/>
      <c r="M88" s="123"/>
      <c r="N88" s="213"/>
    </row>
    <row r="89">
      <c r="A89" s="151"/>
      <c r="B89" s="151"/>
      <c r="K89" s="123"/>
      <c r="M89" s="123"/>
      <c r="N89" s="213"/>
    </row>
    <row r="90">
      <c r="A90" s="151"/>
      <c r="B90" s="151"/>
      <c r="K90" s="123"/>
      <c r="M90" s="123"/>
      <c r="N90" s="213"/>
    </row>
    <row r="91">
      <c r="A91" s="151"/>
      <c r="B91" s="151"/>
      <c r="K91" s="123"/>
      <c r="M91" s="123"/>
      <c r="N91" s="213"/>
    </row>
    <row r="92">
      <c r="A92" s="151"/>
      <c r="B92" s="151"/>
      <c r="K92" s="123"/>
      <c r="M92" s="123"/>
      <c r="N92" s="213"/>
    </row>
    <row r="93">
      <c r="A93" s="151"/>
      <c r="B93" s="151"/>
      <c r="K93" s="123"/>
      <c r="M93" s="123"/>
      <c r="N93" s="213"/>
    </row>
    <row r="94">
      <c r="A94" s="151"/>
      <c r="B94" s="151"/>
      <c r="K94" s="123"/>
      <c r="M94" s="123"/>
      <c r="N94" s="213"/>
    </row>
    <row r="95">
      <c r="A95" s="151"/>
      <c r="B95" s="151"/>
      <c r="K95" s="123"/>
      <c r="M95" s="123"/>
      <c r="N95" s="213"/>
    </row>
    <row r="96">
      <c r="A96" s="151"/>
      <c r="B96" s="151"/>
      <c r="K96" s="123"/>
      <c r="M96" s="123"/>
      <c r="N96" s="213"/>
    </row>
    <row r="97">
      <c r="A97" s="151"/>
      <c r="B97" s="151"/>
      <c r="K97" s="123"/>
      <c r="M97" s="123"/>
      <c r="N97" s="213"/>
    </row>
    <row r="98">
      <c r="A98" s="151"/>
      <c r="B98" s="151"/>
      <c r="K98" s="123"/>
      <c r="M98" s="123"/>
      <c r="N98" s="213"/>
    </row>
    <row r="99">
      <c r="A99" s="151"/>
      <c r="B99" s="151"/>
      <c r="K99" s="123"/>
      <c r="M99" s="123"/>
      <c r="N99" s="213"/>
    </row>
    <row r="100">
      <c r="A100" s="151"/>
      <c r="B100" s="151"/>
      <c r="K100" s="123"/>
      <c r="M100" s="123"/>
      <c r="N100" s="213"/>
    </row>
    <row r="101">
      <c r="A101" s="151"/>
      <c r="B101" s="151"/>
      <c r="K101" s="123"/>
      <c r="M101" s="123"/>
      <c r="N101" s="213"/>
    </row>
    <row r="102">
      <c r="A102" s="151"/>
      <c r="B102" s="151"/>
      <c r="K102" s="123"/>
      <c r="M102" s="123"/>
      <c r="N102" s="213"/>
    </row>
    <row r="103">
      <c r="A103" s="151"/>
      <c r="B103" s="151"/>
      <c r="K103" s="123"/>
      <c r="M103" s="123"/>
      <c r="N103" s="213"/>
    </row>
    <row r="104">
      <c r="A104" s="151"/>
      <c r="B104" s="151"/>
      <c r="K104" s="123"/>
      <c r="M104" s="123"/>
      <c r="N104" s="213"/>
    </row>
    <row r="105">
      <c r="A105" s="151"/>
      <c r="B105" s="151"/>
      <c r="K105" s="123"/>
      <c r="M105" s="123"/>
      <c r="N105" s="213"/>
    </row>
    <row r="106">
      <c r="A106" s="151"/>
      <c r="B106" s="151"/>
      <c r="K106" s="123"/>
      <c r="M106" s="123"/>
      <c r="N106" s="213"/>
    </row>
    <row r="107">
      <c r="A107" s="151"/>
      <c r="B107" s="151"/>
      <c r="K107" s="123"/>
      <c r="M107" s="123"/>
      <c r="N107" s="213"/>
    </row>
    <row r="108">
      <c r="A108" s="151"/>
      <c r="B108" s="151"/>
      <c r="K108" s="123"/>
      <c r="M108" s="123"/>
      <c r="N108" s="213"/>
    </row>
    <row r="109">
      <c r="A109" s="151"/>
      <c r="B109" s="151"/>
      <c r="K109" s="123"/>
      <c r="M109" s="123"/>
      <c r="N109" s="213"/>
    </row>
    <row r="110">
      <c r="A110" s="151"/>
      <c r="B110" s="151"/>
      <c r="K110" s="123"/>
      <c r="M110" s="123"/>
      <c r="N110" s="213"/>
    </row>
    <row r="111">
      <c r="A111" s="151"/>
      <c r="B111" s="151"/>
      <c r="K111" s="123"/>
      <c r="M111" s="123"/>
      <c r="N111" s="213"/>
    </row>
    <row r="112">
      <c r="A112" s="151"/>
      <c r="B112" s="151"/>
      <c r="K112" s="123"/>
      <c r="M112" s="123"/>
      <c r="N112" s="213"/>
    </row>
    <row r="113">
      <c r="A113" s="151"/>
      <c r="B113" s="151"/>
      <c r="K113" s="123"/>
      <c r="M113" s="123"/>
      <c r="N113" s="213"/>
    </row>
    <row r="114">
      <c r="A114" s="151"/>
      <c r="B114" s="151"/>
      <c r="K114" s="123"/>
      <c r="M114" s="123"/>
      <c r="N114" s="213"/>
    </row>
    <row r="115">
      <c r="A115" s="151"/>
      <c r="B115" s="151"/>
      <c r="K115" s="123"/>
      <c r="M115" s="123"/>
      <c r="N115" s="213"/>
    </row>
    <row r="116">
      <c r="A116" s="151"/>
      <c r="B116" s="151"/>
      <c r="K116" s="123"/>
      <c r="M116" s="123"/>
      <c r="N116" s="213"/>
    </row>
    <row r="117">
      <c r="A117" s="151"/>
      <c r="B117" s="151"/>
      <c r="K117" s="123"/>
      <c r="M117" s="123"/>
      <c r="N117" s="213"/>
    </row>
    <row r="118">
      <c r="A118" s="151"/>
      <c r="B118" s="151"/>
      <c r="K118" s="123"/>
      <c r="M118" s="123"/>
      <c r="N118" s="213"/>
    </row>
    <row r="119">
      <c r="A119" s="151"/>
      <c r="B119" s="151"/>
      <c r="K119" s="123"/>
      <c r="M119" s="123"/>
      <c r="N119" s="213"/>
    </row>
    <row r="120">
      <c r="A120" s="151"/>
      <c r="B120" s="151"/>
      <c r="K120" s="123"/>
      <c r="M120" s="123"/>
      <c r="N120" s="213"/>
    </row>
    <row r="121">
      <c r="A121" s="151"/>
      <c r="B121" s="151"/>
      <c r="K121" s="123"/>
      <c r="M121" s="123"/>
      <c r="N121" s="213"/>
    </row>
    <row r="122">
      <c r="A122" s="151"/>
      <c r="B122" s="151"/>
      <c r="K122" s="123"/>
      <c r="M122" s="123"/>
      <c r="N122" s="213"/>
    </row>
    <row r="123">
      <c r="A123" s="151"/>
      <c r="B123" s="151"/>
      <c r="K123" s="123"/>
      <c r="M123" s="123"/>
      <c r="N123" s="213"/>
    </row>
    <row r="124">
      <c r="A124" s="151"/>
      <c r="B124" s="151"/>
      <c r="K124" s="123"/>
      <c r="M124" s="123"/>
      <c r="N124" s="213"/>
    </row>
    <row r="125">
      <c r="A125" s="151"/>
      <c r="B125" s="151"/>
      <c r="K125" s="123"/>
      <c r="M125" s="123"/>
      <c r="N125" s="213"/>
    </row>
    <row r="126">
      <c r="A126" s="151"/>
      <c r="B126" s="151"/>
      <c r="K126" s="123"/>
      <c r="M126" s="123"/>
      <c r="N126" s="213"/>
    </row>
    <row r="127">
      <c r="A127" s="151"/>
      <c r="B127" s="151"/>
      <c r="K127" s="123"/>
      <c r="M127" s="123"/>
      <c r="N127" s="213"/>
    </row>
    <row r="128">
      <c r="A128" s="151"/>
      <c r="B128" s="151"/>
      <c r="K128" s="123"/>
      <c r="M128" s="123"/>
      <c r="N128" s="213"/>
    </row>
    <row r="129">
      <c r="A129" s="151"/>
      <c r="B129" s="151"/>
      <c r="K129" s="123"/>
      <c r="M129" s="123"/>
      <c r="N129" s="213"/>
    </row>
    <row r="130">
      <c r="A130" s="151"/>
      <c r="B130" s="151"/>
      <c r="K130" s="123"/>
      <c r="M130" s="123"/>
      <c r="N130" s="213"/>
    </row>
    <row r="131">
      <c r="A131" s="151"/>
      <c r="B131" s="151"/>
      <c r="K131" s="123"/>
      <c r="M131" s="123"/>
      <c r="N131" s="213"/>
    </row>
    <row r="132">
      <c r="A132" s="151"/>
      <c r="B132" s="151"/>
      <c r="K132" s="123"/>
      <c r="M132" s="123"/>
      <c r="N132" s="213"/>
    </row>
    <row r="133">
      <c r="A133" s="151"/>
      <c r="B133" s="151"/>
      <c r="K133" s="123"/>
      <c r="M133" s="123"/>
      <c r="N133" s="213"/>
    </row>
    <row r="134">
      <c r="A134" s="151"/>
      <c r="B134" s="151"/>
      <c r="K134" s="123"/>
      <c r="M134" s="123"/>
      <c r="N134" s="213"/>
    </row>
    <row r="135">
      <c r="A135" s="151"/>
      <c r="B135" s="151"/>
      <c r="K135" s="123"/>
      <c r="M135" s="123"/>
      <c r="N135" s="213"/>
    </row>
    <row r="136">
      <c r="A136" s="151"/>
      <c r="B136" s="151"/>
      <c r="K136" s="123"/>
      <c r="M136" s="123"/>
      <c r="N136" s="213"/>
    </row>
    <row r="137">
      <c r="A137" s="151"/>
      <c r="B137" s="151"/>
      <c r="K137" s="123"/>
      <c r="M137" s="123"/>
      <c r="N137" s="213"/>
    </row>
    <row r="138">
      <c r="A138" s="151"/>
      <c r="B138" s="151"/>
      <c r="K138" s="123"/>
      <c r="M138" s="123"/>
      <c r="N138" s="213"/>
    </row>
    <row r="139">
      <c r="A139" s="151"/>
      <c r="B139" s="151"/>
      <c r="K139" s="123"/>
      <c r="M139" s="123"/>
      <c r="N139" s="213"/>
    </row>
    <row r="140">
      <c r="A140" s="151"/>
      <c r="B140" s="151"/>
      <c r="K140" s="123"/>
      <c r="M140" s="123"/>
      <c r="N140" s="213"/>
    </row>
    <row r="141">
      <c r="A141" s="151"/>
      <c r="B141" s="151"/>
      <c r="K141" s="123"/>
      <c r="M141" s="123"/>
      <c r="N141" s="213"/>
    </row>
    <row r="142">
      <c r="A142" s="151"/>
      <c r="B142" s="151"/>
      <c r="K142" s="123"/>
      <c r="M142" s="123"/>
      <c r="N142" s="213"/>
    </row>
    <row r="143">
      <c r="A143" s="151"/>
      <c r="B143" s="151"/>
      <c r="K143" s="123"/>
      <c r="M143" s="123"/>
      <c r="N143" s="213"/>
    </row>
    <row r="144">
      <c r="A144" s="151"/>
      <c r="B144" s="151"/>
      <c r="K144" s="123"/>
      <c r="M144" s="123"/>
      <c r="N144" s="213"/>
    </row>
    <row r="145">
      <c r="A145" s="151"/>
      <c r="B145" s="151"/>
      <c r="K145" s="123"/>
      <c r="M145" s="123"/>
      <c r="N145" s="213"/>
    </row>
    <row r="146">
      <c r="A146" s="151"/>
      <c r="B146" s="151"/>
      <c r="K146" s="123"/>
      <c r="M146" s="123"/>
      <c r="N146" s="213"/>
    </row>
    <row r="147">
      <c r="A147" s="151"/>
      <c r="B147" s="151"/>
      <c r="K147" s="123"/>
      <c r="M147" s="123"/>
      <c r="N147" s="213"/>
    </row>
    <row r="148">
      <c r="A148" s="151"/>
      <c r="B148" s="151"/>
      <c r="K148" s="123"/>
      <c r="M148" s="123"/>
      <c r="N148" s="213"/>
    </row>
    <row r="149">
      <c r="A149" s="151"/>
      <c r="B149" s="151"/>
      <c r="K149" s="123"/>
      <c r="M149" s="123"/>
      <c r="N149" s="213"/>
    </row>
    <row r="150">
      <c r="A150" s="151"/>
      <c r="B150" s="151"/>
      <c r="K150" s="123"/>
      <c r="M150" s="123"/>
      <c r="N150" s="213"/>
    </row>
    <row r="151">
      <c r="A151" s="151"/>
      <c r="B151" s="151"/>
      <c r="K151" s="123"/>
      <c r="M151" s="123"/>
      <c r="N151" s="213"/>
    </row>
    <row r="152">
      <c r="A152" s="151"/>
      <c r="B152" s="151"/>
      <c r="K152" s="123"/>
      <c r="M152" s="123"/>
      <c r="N152" s="213"/>
    </row>
    <row r="153">
      <c r="A153" s="151"/>
      <c r="B153" s="151"/>
      <c r="K153" s="123"/>
      <c r="M153" s="123"/>
      <c r="N153" s="213"/>
    </row>
    <row r="154">
      <c r="A154" s="151"/>
      <c r="B154" s="151"/>
      <c r="K154" s="123"/>
      <c r="M154" s="123"/>
      <c r="N154" s="213"/>
    </row>
    <row r="155">
      <c r="A155" s="151"/>
      <c r="B155" s="151"/>
      <c r="K155" s="123"/>
      <c r="M155" s="123"/>
      <c r="N155" s="213"/>
    </row>
    <row r="156">
      <c r="A156" s="151"/>
      <c r="B156" s="151"/>
      <c r="K156" s="123"/>
      <c r="M156" s="123"/>
      <c r="N156" s="213"/>
    </row>
    <row r="157">
      <c r="A157" s="151"/>
      <c r="B157" s="151"/>
      <c r="K157" s="123"/>
      <c r="M157" s="123"/>
      <c r="N157" s="213"/>
    </row>
    <row r="158">
      <c r="A158" s="151"/>
      <c r="B158" s="151"/>
      <c r="K158" s="123"/>
      <c r="M158" s="123"/>
      <c r="N158" s="213"/>
    </row>
    <row r="159">
      <c r="A159" s="151"/>
      <c r="B159" s="151"/>
      <c r="K159" s="123"/>
      <c r="M159" s="123"/>
      <c r="N159" s="213"/>
    </row>
    <row r="160">
      <c r="A160" s="151"/>
      <c r="B160" s="151"/>
      <c r="K160" s="123"/>
      <c r="M160" s="123"/>
      <c r="N160" s="213"/>
    </row>
    <row r="161">
      <c r="A161" s="151"/>
      <c r="B161" s="151"/>
      <c r="K161" s="123"/>
      <c r="M161" s="123"/>
      <c r="N161" s="213"/>
    </row>
    <row r="162">
      <c r="A162" s="151"/>
      <c r="B162" s="151"/>
      <c r="K162" s="123"/>
      <c r="M162" s="123"/>
      <c r="N162" s="213"/>
    </row>
    <row r="163">
      <c r="A163" s="151"/>
      <c r="B163" s="151"/>
      <c r="K163" s="123"/>
      <c r="M163" s="123"/>
      <c r="N163" s="213"/>
    </row>
    <row r="164">
      <c r="A164" s="151"/>
      <c r="B164" s="151"/>
      <c r="K164" s="123"/>
      <c r="M164" s="123"/>
      <c r="N164" s="213"/>
    </row>
    <row r="165">
      <c r="A165" s="151"/>
      <c r="B165" s="151"/>
      <c r="K165" s="123"/>
      <c r="M165" s="123"/>
      <c r="N165" s="213"/>
    </row>
    <row r="166">
      <c r="A166" s="151"/>
      <c r="B166" s="151"/>
      <c r="K166" s="123"/>
      <c r="M166" s="123"/>
      <c r="N166" s="213"/>
    </row>
    <row r="167">
      <c r="A167" s="151"/>
      <c r="B167" s="151"/>
      <c r="K167" s="123"/>
      <c r="M167" s="123"/>
      <c r="N167" s="213"/>
    </row>
    <row r="168">
      <c r="A168" s="151"/>
      <c r="B168" s="151"/>
      <c r="K168" s="123"/>
      <c r="M168" s="123"/>
      <c r="N168" s="213"/>
    </row>
    <row r="169">
      <c r="A169" s="151"/>
      <c r="B169" s="151"/>
      <c r="K169" s="123"/>
      <c r="M169" s="123"/>
      <c r="N169" s="213"/>
    </row>
    <row r="170">
      <c r="A170" s="151"/>
      <c r="B170" s="151"/>
      <c r="K170" s="123"/>
      <c r="M170" s="123"/>
      <c r="N170" s="213"/>
    </row>
    <row r="171">
      <c r="A171" s="151"/>
      <c r="B171" s="151"/>
      <c r="K171" s="123"/>
      <c r="M171" s="123"/>
      <c r="N171" s="213"/>
    </row>
    <row r="172">
      <c r="A172" s="151"/>
      <c r="B172" s="151"/>
      <c r="K172" s="123"/>
      <c r="M172" s="123"/>
      <c r="N172" s="213"/>
    </row>
    <row r="173">
      <c r="A173" s="151"/>
      <c r="B173" s="151"/>
      <c r="K173" s="123"/>
      <c r="M173" s="123"/>
      <c r="N173" s="213"/>
    </row>
    <row r="174">
      <c r="A174" s="151"/>
      <c r="B174" s="151"/>
      <c r="K174" s="123"/>
      <c r="M174" s="123"/>
      <c r="N174" s="213"/>
    </row>
    <row r="175">
      <c r="A175" s="151"/>
      <c r="B175" s="151"/>
      <c r="K175" s="123"/>
      <c r="M175" s="123"/>
      <c r="N175" s="213"/>
    </row>
    <row r="176">
      <c r="A176" s="151"/>
      <c r="B176" s="151"/>
      <c r="K176" s="123"/>
      <c r="M176" s="123"/>
      <c r="N176" s="213"/>
    </row>
    <row r="177">
      <c r="A177" s="151"/>
      <c r="B177" s="151"/>
      <c r="K177" s="123"/>
      <c r="M177" s="123"/>
      <c r="N177" s="213"/>
    </row>
    <row r="178">
      <c r="A178" s="151"/>
      <c r="B178" s="151"/>
      <c r="K178" s="123"/>
      <c r="M178" s="123"/>
      <c r="N178" s="213"/>
    </row>
    <row r="179">
      <c r="A179" s="151"/>
      <c r="B179" s="151"/>
      <c r="K179" s="123"/>
      <c r="M179" s="123"/>
      <c r="N179" s="213"/>
    </row>
    <row r="180">
      <c r="A180" s="151"/>
      <c r="B180" s="151"/>
      <c r="K180" s="123"/>
      <c r="M180" s="123"/>
      <c r="N180" s="213"/>
    </row>
    <row r="181">
      <c r="A181" s="151"/>
      <c r="B181" s="151"/>
      <c r="K181" s="123"/>
      <c r="M181" s="123"/>
      <c r="N181" s="213"/>
    </row>
    <row r="182">
      <c r="A182" s="151"/>
      <c r="B182" s="151"/>
      <c r="K182" s="123"/>
      <c r="M182" s="123"/>
      <c r="N182" s="213"/>
    </row>
    <row r="183">
      <c r="A183" s="151"/>
      <c r="B183" s="151"/>
      <c r="K183" s="123"/>
      <c r="M183" s="123"/>
      <c r="N183" s="213"/>
    </row>
    <row r="184">
      <c r="A184" s="151"/>
      <c r="B184" s="151"/>
      <c r="K184" s="123"/>
      <c r="M184" s="123"/>
      <c r="N184" s="213"/>
    </row>
    <row r="185">
      <c r="A185" s="151"/>
      <c r="B185" s="151"/>
      <c r="K185" s="123"/>
      <c r="M185" s="123"/>
      <c r="N185" s="213"/>
    </row>
    <row r="186">
      <c r="A186" s="151"/>
      <c r="B186" s="151"/>
      <c r="K186" s="123"/>
      <c r="M186" s="123"/>
      <c r="N186" s="213"/>
    </row>
    <row r="187">
      <c r="A187" s="151"/>
      <c r="B187" s="151"/>
      <c r="K187" s="123"/>
      <c r="M187" s="123"/>
      <c r="N187" s="213"/>
    </row>
    <row r="188">
      <c r="A188" s="151"/>
      <c r="B188" s="151"/>
      <c r="K188" s="123"/>
      <c r="M188" s="123"/>
      <c r="N188" s="213"/>
    </row>
    <row r="189">
      <c r="A189" s="151"/>
      <c r="B189" s="151"/>
      <c r="K189" s="123"/>
      <c r="M189" s="123"/>
      <c r="N189" s="213"/>
    </row>
    <row r="190">
      <c r="A190" s="151"/>
      <c r="B190" s="151"/>
      <c r="K190" s="123"/>
      <c r="M190" s="123"/>
      <c r="N190" s="213"/>
    </row>
    <row r="191">
      <c r="A191" s="151"/>
      <c r="B191" s="151"/>
      <c r="K191" s="123"/>
      <c r="M191" s="123"/>
      <c r="N191" s="213"/>
    </row>
    <row r="192">
      <c r="A192" s="151"/>
      <c r="B192" s="151"/>
      <c r="K192" s="123"/>
      <c r="M192" s="123"/>
      <c r="N192" s="213"/>
    </row>
    <row r="193">
      <c r="A193" s="151"/>
      <c r="B193" s="151"/>
      <c r="K193" s="123"/>
      <c r="M193" s="123"/>
      <c r="N193" s="213"/>
    </row>
    <row r="194">
      <c r="A194" s="151"/>
      <c r="B194" s="151"/>
      <c r="K194" s="123"/>
      <c r="M194" s="123"/>
      <c r="N194" s="213"/>
    </row>
    <row r="195">
      <c r="A195" s="151"/>
      <c r="B195" s="151"/>
      <c r="K195" s="123"/>
      <c r="M195" s="123"/>
      <c r="N195" s="213"/>
    </row>
    <row r="196">
      <c r="A196" s="151"/>
      <c r="B196" s="151"/>
      <c r="K196" s="123"/>
      <c r="M196" s="123"/>
      <c r="N196" s="213"/>
    </row>
    <row r="197">
      <c r="A197" s="151"/>
      <c r="B197" s="151"/>
      <c r="K197" s="123"/>
      <c r="M197" s="123"/>
      <c r="N197" s="213"/>
    </row>
    <row r="198">
      <c r="A198" s="151"/>
      <c r="B198" s="151"/>
      <c r="K198" s="123"/>
      <c r="M198" s="123"/>
      <c r="N198" s="213"/>
    </row>
    <row r="199">
      <c r="A199" s="151"/>
      <c r="B199" s="151"/>
      <c r="K199" s="123"/>
      <c r="M199" s="123"/>
      <c r="N199" s="213"/>
    </row>
    <row r="200">
      <c r="A200" s="151"/>
      <c r="B200" s="151"/>
      <c r="K200" s="123"/>
      <c r="M200" s="123"/>
      <c r="N200" s="213"/>
    </row>
    <row r="201">
      <c r="A201" s="151"/>
      <c r="B201" s="151"/>
      <c r="K201" s="123"/>
      <c r="M201" s="123"/>
      <c r="N201" s="213"/>
    </row>
    <row r="202">
      <c r="A202" s="151"/>
      <c r="B202" s="151"/>
      <c r="K202" s="123"/>
      <c r="M202" s="123"/>
      <c r="N202" s="213"/>
    </row>
    <row r="203">
      <c r="A203" s="151"/>
      <c r="B203" s="151"/>
      <c r="K203" s="123"/>
      <c r="M203" s="123"/>
      <c r="N203" s="213"/>
    </row>
    <row r="204">
      <c r="A204" s="151"/>
      <c r="B204" s="151"/>
      <c r="K204" s="123"/>
      <c r="M204" s="123"/>
      <c r="N204" s="213"/>
    </row>
    <row r="205">
      <c r="A205" s="151"/>
      <c r="B205" s="151"/>
      <c r="K205" s="123"/>
      <c r="M205" s="123"/>
      <c r="N205" s="213"/>
    </row>
    <row r="206">
      <c r="A206" s="151"/>
      <c r="B206" s="151"/>
      <c r="K206" s="123"/>
      <c r="M206" s="123"/>
      <c r="N206" s="213"/>
    </row>
    <row r="207">
      <c r="A207" s="151"/>
      <c r="B207" s="151"/>
      <c r="K207" s="123"/>
      <c r="M207" s="123"/>
      <c r="N207" s="213"/>
    </row>
    <row r="208">
      <c r="A208" s="151"/>
      <c r="B208" s="151"/>
      <c r="K208" s="123"/>
      <c r="M208" s="123"/>
      <c r="N208" s="213"/>
    </row>
    <row r="209">
      <c r="A209" s="151"/>
      <c r="B209" s="151"/>
      <c r="K209" s="123"/>
      <c r="M209" s="123"/>
      <c r="N209" s="213"/>
    </row>
    <row r="210">
      <c r="A210" s="151"/>
      <c r="B210" s="151"/>
      <c r="K210" s="123"/>
      <c r="M210" s="123"/>
      <c r="N210" s="213"/>
    </row>
    <row r="211">
      <c r="A211" s="151"/>
      <c r="B211" s="151"/>
      <c r="K211" s="123"/>
      <c r="M211" s="123"/>
      <c r="N211" s="213"/>
    </row>
    <row r="212">
      <c r="A212" s="151"/>
      <c r="B212" s="151"/>
      <c r="K212" s="123"/>
      <c r="M212" s="123"/>
      <c r="N212" s="213"/>
    </row>
    <row r="213">
      <c r="A213" s="151"/>
      <c r="B213" s="151"/>
      <c r="K213" s="123"/>
      <c r="M213" s="123"/>
      <c r="N213" s="213"/>
    </row>
    <row r="214">
      <c r="A214" s="151"/>
      <c r="B214" s="151"/>
      <c r="K214" s="123"/>
      <c r="M214" s="123"/>
      <c r="N214" s="213"/>
    </row>
    <row r="215">
      <c r="A215" s="151"/>
      <c r="B215" s="151"/>
      <c r="K215" s="123"/>
      <c r="M215" s="123"/>
      <c r="N215" s="213"/>
    </row>
    <row r="216">
      <c r="A216" s="151"/>
      <c r="B216" s="151"/>
      <c r="K216" s="123"/>
      <c r="M216" s="123"/>
      <c r="N216" s="213"/>
    </row>
    <row r="217">
      <c r="A217" s="151"/>
      <c r="B217" s="151"/>
      <c r="K217" s="123"/>
      <c r="M217" s="123"/>
      <c r="N217" s="213"/>
    </row>
    <row r="218">
      <c r="A218" s="151"/>
      <c r="B218" s="151"/>
      <c r="K218" s="123"/>
      <c r="M218" s="123"/>
      <c r="N218" s="213"/>
    </row>
    <row r="219">
      <c r="A219" s="151"/>
      <c r="B219" s="151"/>
      <c r="K219" s="123"/>
      <c r="M219" s="123"/>
      <c r="N219" s="213"/>
    </row>
    <row r="220">
      <c r="A220" s="151"/>
      <c r="B220" s="151"/>
      <c r="K220" s="123"/>
      <c r="M220" s="123"/>
      <c r="N220" s="213"/>
    </row>
    <row r="221">
      <c r="A221" s="151"/>
      <c r="B221" s="151"/>
      <c r="K221" s="123"/>
      <c r="M221" s="123"/>
      <c r="N221" s="213"/>
    </row>
    <row r="222">
      <c r="A222" s="151"/>
      <c r="B222" s="151"/>
      <c r="K222" s="123"/>
      <c r="M222" s="123"/>
      <c r="N222" s="213"/>
    </row>
    <row r="223">
      <c r="A223" s="151"/>
      <c r="B223" s="151"/>
      <c r="K223" s="123"/>
      <c r="M223" s="123"/>
      <c r="N223" s="213"/>
    </row>
    <row r="224">
      <c r="A224" s="151"/>
      <c r="B224" s="151"/>
      <c r="K224" s="123"/>
      <c r="M224" s="123"/>
      <c r="N224" s="213"/>
    </row>
    <row r="225">
      <c r="A225" s="151"/>
      <c r="B225" s="151"/>
      <c r="K225" s="123"/>
      <c r="M225" s="123"/>
      <c r="N225" s="213"/>
    </row>
    <row r="226">
      <c r="A226" s="151"/>
      <c r="B226" s="151"/>
      <c r="K226" s="123"/>
      <c r="M226" s="123"/>
      <c r="N226" s="213"/>
    </row>
    <row r="227">
      <c r="A227" s="151"/>
      <c r="B227" s="151"/>
      <c r="K227" s="123"/>
      <c r="M227" s="123"/>
      <c r="N227" s="213"/>
    </row>
    <row r="228">
      <c r="A228" s="151"/>
      <c r="B228" s="151"/>
      <c r="K228" s="123"/>
      <c r="M228" s="123"/>
      <c r="N228" s="213"/>
    </row>
    <row r="229">
      <c r="A229" s="151"/>
      <c r="B229" s="151"/>
      <c r="K229" s="123"/>
      <c r="M229" s="123"/>
      <c r="N229" s="213"/>
    </row>
    <row r="230">
      <c r="A230" s="151"/>
      <c r="B230" s="151"/>
      <c r="K230" s="123"/>
      <c r="M230" s="123"/>
      <c r="N230" s="213"/>
    </row>
    <row r="231">
      <c r="A231" s="151"/>
      <c r="B231" s="151"/>
      <c r="K231" s="123"/>
      <c r="M231" s="123"/>
      <c r="N231" s="213"/>
    </row>
    <row r="232">
      <c r="A232" s="151"/>
      <c r="B232" s="151"/>
      <c r="K232" s="123"/>
      <c r="M232" s="123"/>
      <c r="N232" s="213"/>
    </row>
    <row r="233">
      <c r="A233" s="151"/>
      <c r="B233" s="151"/>
      <c r="K233" s="123"/>
      <c r="M233" s="123"/>
      <c r="N233" s="213"/>
    </row>
    <row r="234">
      <c r="A234" s="151"/>
      <c r="B234" s="151"/>
      <c r="K234" s="123"/>
      <c r="M234" s="123"/>
      <c r="N234" s="213"/>
    </row>
    <row r="235">
      <c r="A235" s="151"/>
      <c r="B235" s="151"/>
      <c r="K235" s="123"/>
      <c r="M235" s="123"/>
      <c r="N235" s="213"/>
    </row>
    <row r="236">
      <c r="A236" s="151"/>
      <c r="B236" s="151"/>
      <c r="K236" s="123"/>
      <c r="M236" s="123"/>
      <c r="N236" s="213"/>
    </row>
    <row r="237">
      <c r="A237" s="151"/>
      <c r="B237" s="151"/>
      <c r="K237" s="123"/>
      <c r="M237" s="123"/>
      <c r="N237" s="213"/>
    </row>
    <row r="238">
      <c r="A238" s="151"/>
      <c r="B238" s="151"/>
      <c r="K238" s="123"/>
      <c r="M238" s="123"/>
      <c r="N238" s="213"/>
    </row>
    <row r="239">
      <c r="A239" s="151"/>
      <c r="B239" s="151"/>
      <c r="K239" s="123"/>
      <c r="M239" s="123"/>
      <c r="N239" s="213"/>
    </row>
    <row r="240">
      <c r="A240" s="151"/>
      <c r="B240" s="151"/>
      <c r="K240" s="123"/>
      <c r="M240" s="123"/>
      <c r="N240" s="213"/>
    </row>
    <row r="241">
      <c r="A241" s="151"/>
      <c r="B241" s="151"/>
      <c r="K241" s="123"/>
      <c r="M241" s="123"/>
      <c r="N241" s="213"/>
    </row>
    <row r="242">
      <c r="A242" s="151"/>
      <c r="B242" s="151"/>
      <c r="K242" s="123"/>
      <c r="M242" s="123"/>
      <c r="N242" s="213"/>
    </row>
    <row r="243">
      <c r="A243" s="151"/>
      <c r="B243" s="151"/>
      <c r="K243" s="123"/>
      <c r="M243" s="123"/>
      <c r="N243" s="213"/>
    </row>
    <row r="244">
      <c r="A244" s="151"/>
      <c r="B244" s="151"/>
      <c r="K244" s="123"/>
      <c r="M244" s="123"/>
      <c r="N244" s="213"/>
    </row>
    <row r="245">
      <c r="A245" s="151"/>
      <c r="B245" s="151"/>
      <c r="K245" s="123"/>
      <c r="M245" s="123"/>
      <c r="N245" s="213"/>
    </row>
    <row r="246">
      <c r="A246" s="151"/>
      <c r="B246" s="151"/>
      <c r="K246" s="123"/>
      <c r="M246" s="123"/>
      <c r="N246" s="213"/>
    </row>
    <row r="247">
      <c r="A247" s="151"/>
      <c r="B247" s="151"/>
      <c r="K247" s="123"/>
      <c r="M247" s="123"/>
      <c r="N247" s="213"/>
    </row>
    <row r="248">
      <c r="A248" s="151"/>
      <c r="B248" s="151"/>
      <c r="K248" s="123"/>
      <c r="M248" s="123"/>
      <c r="N248" s="213"/>
    </row>
    <row r="249">
      <c r="A249" s="151"/>
      <c r="B249" s="151"/>
      <c r="K249" s="123"/>
      <c r="M249" s="123"/>
      <c r="N249" s="213"/>
    </row>
    <row r="250">
      <c r="A250" s="151"/>
      <c r="B250" s="151"/>
      <c r="K250" s="123"/>
      <c r="M250" s="123"/>
      <c r="N250" s="213"/>
    </row>
    <row r="251">
      <c r="A251" s="151"/>
      <c r="B251" s="151"/>
      <c r="K251" s="123"/>
      <c r="M251" s="123"/>
      <c r="N251" s="213"/>
    </row>
    <row r="252">
      <c r="A252" s="151"/>
      <c r="B252" s="151"/>
      <c r="K252" s="123"/>
      <c r="M252" s="123"/>
      <c r="N252" s="213"/>
    </row>
    <row r="253">
      <c r="A253" s="151"/>
      <c r="B253" s="151"/>
      <c r="K253" s="123"/>
      <c r="M253" s="123"/>
      <c r="N253" s="213"/>
    </row>
    <row r="254">
      <c r="A254" s="151"/>
      <c r="B254" s="151"/>
      <c r="K254" s="123"/>
      <c r="M254" s="123"/>
      <c r="N254" s="213"/>
    </row>
    <row r="255">
      <c r="A255" s="151"/>
      <c r="B255" s="151"/>
      <c r="K255" s="123"/>
      <c r="M255" s="123"/>
      <c r="N255" s="213"/>
    </row>
    <row r="256">
      <c r="A256" s="151"/>
      <c r="B256" s="151"/>
      <c r="K256" s="123"/>
      <c r="M256" s="123"/>
      <c r="N256" s="213"/>
    </row>
    <row r="257">
      <c r="A257" s="151"/>
      <c r="B257" s="151"/>
      <c r="K257" s="123"/>
      <c r="M257" s="123"/>
      <c r="N257" s="213"/>
    </row>
    <row r="258">
      <c r="A258" s="151"/>
      <c r="B258" s="151"/>
      <c r="K258" s="123"/>
      <c r="M258" s="123"/>
      <c r="N258" s="213"/>
    </row>
    <row r="259">
      <c r="A259" s="151"/>
      <c r="B259" s="151"/>
      <c r="K259" s="123"/>
      <c r="M259" s="123"/>
      <c r="N259" s="213"/>
    </row>
    <row r="260">
      <c r="A260" s="151"/>
      <c r="B260" s="151"/>
      <c r="K260" s="123"/>
      <c r="M260" s="123"/>
      <c r="N260" s="213"/>
    </row>
    <row r="261">
      <c r="A261" s="151"/>
      <c r="B261" s="151"/>
      <c r="K261" s="123"/>
      <c r="M261" s="123"/>
      <c r="N261" s="213"/>
    </row>
    <row r="262">
      <c r="A262" s="151"/>
      <c r="B262" s="151"/>
      <c r="K262" s="123"/>
      <c r="M262" s="123"/>
      <c r="N262" s="213"/>
    </row>
    <row r="263">
      <c r="A263" s="151"/>
      <c r="B263" s="151"/>
      <c r="K263" s="123"/>
      <c r="M263" s="123"/>
      <c r="N263" s="213"/>
    </row>
    <row r="264">
      <c r="A264" s="151"/>
      <c r="B264" s="151"/>
      <c r="K264" s="123"/>
      <c r="M264" s="123"/>
      <c r="N264" s="213"/>
    </row>
    <row r="265">
      <c r="A265" s="151"/>
      <c r="B265" s="151"/>
      <c r="K265" s="123"/>
      <c r="M265" s="123"/>
      <c r="N265" s="213"/>
    </row>
    <row r="266">
      <c r="A266" s="151"/>
      <c r="B266" s="151"/>
      <c r="K266" s="123"/>
      <c r="M266" s="123"/>
      <c r="N266" s="213"/>
    </row>
    <row r="267">
      <c r="A267" s="151"/>
      <c r="B267" s="151"/>
      <c r="K267" s="123"/>
      <c r="M267" s="123"/>
      <c r="N267" s="213"/>
    </row>
    <row r="268">
      <c r="A268" s="151"/>
      <c r="B268" s="151"/>
      <c r="K268" s="123"/>
      <c r="M268" s="123"/>
      <c r="N268" s="213"/>
    </row>
    <row r="269">
      <c r="A269" s="151"/>
      <c r="B269" s="151"/>
      <c r="K269" s="123"/>
      <c r="M269" s="123"/>
      <c r="N269" s="213"/>
    </row>
    <row r="270">
      <c r="A270" s="151"/>
      <c r="B270" s="151"/>
      <c r="K270" s="123"/>
      <c r="M270" s="123"/>
      <c r="N270" s="213"/>
    </row>
    <row r="271">
      <c r="A271" s="151"/>
      <c r="B271" s="151"/>
      <c r="K271" s="123"/>
      <c r="M271" s="123"/>
      <c r="N271" s="213"/>
    </row>
    <row r="272">
      <c r="A272" s="151"/>
      <c r="B272" s="151"/>
      <c r="K272" s="123"/>
      <c r="M272" s="123"/>
      <c r="N272" s="213"/>
    </row>
    <row r="273">
      <c r="A273" s="151"/>
      <c r="B273" s="151"/>
      <c r="K273" s="123"/>
      <c r="M273" s="123"/>
      <c r="N273" s="213"/>
    </row>
    <row r="274">
      <c r="A274" s="151"/>
      <c r="B274" s="151"/>
      <c r="K274" s="123"/>
      <c r="M274" s="123"/>
      <c r="N274" s="213"/>
    </row>
    <row r="275">
      <c r="A275" s="151"/>
      <c r="B275" s="151"/>
      <c r="K275" s="123"/>
      <c r="M275" s="123"/>
      <c r="N275" s="213"/>
    </row>
    <row r="276">
      <c r="A276" s="151"/>
      <c r="B276" s="151"/>
      <c r="K276" s="123"/>
      <c r="M276" s="123"/>
      <c r="N276" s="213"/>
    </row>
    <row r="277">
      <c r="A277" s="151"/>
      <c r="B277" s="151"/>
      <c r="K277" s="123"/>
      <c r="M277" s="123"/>
      <c r="N277" s="213"/>
    </row>
    <row r="278">
      <c r="A278" s="151"/>
      <c r="B278" s="151"/>
      <c r="K278" s="123"/>
      <c r="M278" s="123"/>
      <c r="N278" s="213"/>
    </row>
    <row r="279">
      <c r="A279" s="151"/>
      <c r="B279" s="151"/>
      <c r="K279" s="123"/>
      <c r="M279" s="123"/>
      <c r="N279" s="213"/>
    </row>
    <row r="280">
      <c r="A280" s="151"/>
      <c r="B280" s="151"/>
      <c r="K280" s="123"/>
      <c r="M280" s="123"/>
      <c r="N280" s="213"/>
    </row>
    <row r="281">
      <c r="A281" s="151"/>
      <c r="B281" s="151"/>
      <c r="K281" s="123"/>
      <c r="M281" s="123"/>
      <c r="N281" s="213"/>
    </row>
    <row r="282">
      <c r="A282" s="151"/>
      <c r="B282" s="151"/>
      <c r="K282" s="123"/>
      <c r="M282" s="123"/>
      <c r="N282" s="213"/>
    </row>
    <row r="283">
      <c r="A283" s="151"/>
      <c r="B283" s="151"/>
      <c r="K283" s="123"/>
      <c r="M283" s="123"/>
      <c r="N283" s="213"/>
    </row>
    <row r="284">
      <c r="A284" s="151"/>
      <c r="B284" s="151"/>
      <c r="K284" s="123"/>
      <c r="M284" s="123"/>
      <c r="N284" s="213"/>
    </row>
    <row r="285">
      <c r="A285" s="151"/>
      <c r="B285" s="151"/>
      <c r="K285" s="123"/>
      <c r="M285" s="123"/>
      <c r="N285" s="213"/>
    </row>
    <row r="286">
      <c r="A286" s="151"/>
      <c r="B286" s="151"/>
      <c r="K286" s="123"/>
      <c r="M286" s="123"/>
      <c r="N286" s="213"/>
    </row>
    <row r="287">
      <c r="A287" s="151"/>
      <c r="B287" s="151"/>
      <c r="K287" s="123"/>
      <c r="M287" s="123"/>
      <c r="N287" s="213"/>
    </row>
    <row r="288">
      <c r="A288" s="151"/>
      <c r="B288" s="151"/>
      <c r="K288" s="123"/>
      <c r="M288" s="123"/>
      <c r="N288" s="213"/>
    </row>
    <row r="289">
      <c r="A289" s="151"/>
      <c r="B289" s="151"/>
      <c r="K289" s="123"/>
      <c r="M289" s="123"/>
      <c r="N289" s="213"/>
    </row>
    <row r="290">
      <c r="A290" s="151"/>
      <c r="B290" s="151"/>
      <c r="K290" s="123"/>
      <c r="M290" s="123"/>
      <c r="N290" s="213"/>
    </row>
    <row r="291">
      <c r="A291" s="151"/>
      <c r="B291" s="151"/>
      <c r="K291" s="123"/>
      <c r="M291" s="123"/>
      <c r="N291" s="213"/>
    </row>
    <row r="292">
      <c r="A292" s="151"/>
      <c r="B292" s="151"/>
      <c r="K292" s="123"/>
      <c r="M292" s="123"/>
      <c r="N292" s="213"/>
    </row>
    <row r="293">
      <c r="A293" s="151"/>
      <c r="B293" s="151"/>
      <c r="K293" s="123"/>
      <c r="M293" s="123"/>
      <c r="N293" s="213"/>
    </row>
    <row r="294">
      <c r="A294" s="151"/>
      <c r="B294" s="151"/>
      <c r="K294" s="123"/>
      <c r="M294" s="123"/>
      <c r="N294" s="213"/>
    </row>
    <row r="295">
      <c r="A295" s="151"/>
      <c r="B295" s="151"/>
      <c r="K295" s="123"/>
      <c r="M295" s="123"/>
      <c r="N295" s="213"/>
    </row>
    <row r="296">
      <c r="A296" s="151"/>
      <c r="B296" s="151"/>
      <c r="K296" s="123"/>
      <c r="M296" s="123"/>
      <c r="N296" s="213"/>
    </row>
    <row r="297">
      <c r="A297" s="151"/>
      <c r="B297" s="151"/>
      <c r="K297" s="123"/>
      <c r="M297" s="123"/>
      <c r="N297" s="213"/>
    </row>
    <row r="298">
      <c r="A298" s="151"/>
      <c r="B298" s="151"/>
      <c r="K298" s="123"/>
      <c r="M298" s="123"/>
      <c r="N298" s="213"/>
    </row>
    <row r="299">
      <c r="A299" s="151"/>
      <c r="B299" s="151"/>
      <c r="K299" s="123"/>
      <c r="M299" s="123"/>
      <c r="N299" s="213"/>
    </row>
    <row r="300">
      <c r="A300" s="151"/>
      <c r="B300" s="151"/>
      <c r="K300" s="123"/>
      <c r="M300" s="123"/>
      <c r="N300" s="213"/>
    </row>
    <row r="301">
      <c r="A301" s="151"/>
      <c r="B301" s="151"/>
      <c r="K301" s="123"/>
      <c r="M301" s="123"/>
      <c r="N301" s="213"/>
    </row>
    <row r="302">
      <c r="A302" s="151"/>
      <c r="B302" s="151"/>
      <c r="K302" s="123"/>
      <c r="M302" s="123"/>
      <c r="N302" s="213"/>
    </row>
    <row r="303">
      <c r="A303" s="151"/>
      <c r="B303" s="151"/>
      <c r="K303" s="123"/>
      <c r="M303" s="123"/>
      <c r="N303" s="213"/>
    </row>
    <row r="304">
      <c r="A304" s="151"/>
      <c r="B304" s="151"/>
      <c r="K304" s="123"/>
      <c r="M304" s="123"/>
      <c r="N304" s="213"/>
    </row>
    <row r="305">
      <c r="A305" s="151"/>
      <c r="B305" s="151"/>
      <c r="K305" s="123"/>
      <c r="M305" s="123"/>
      <c r="N305" s="213"/>
    </row>
    <row r="306">
      <c r="A306" s="151"/>
      <c r="B306" s="151"/>
      <c r="K306" s="123"/>
      <c r="M306" s="123"/>
      <c r="N306" s="213"/>
    </row>
    <row r="307">
      <c r="A307" s="151"/>
      <c r="B307" s="151"/>
      <c r="K307" s="123"/>
      <c r="M307" s="123"/>
      <c r="N307" s="213"/>
    </row>
    <row r="308">
      <c r="A308" s="151"/>
      <c r="B308" s="151"/>
      <c r="K308" s="123"/>
      <c r="M308" s="123"/>
      <c r="N308" s="213"/>
    </row>
    <row r="309">
      <c r="A309" s="151"/>
      <c r="B309" s="151"/>
      <c r="K309" s="123"/>
      <c r="M309" s="123"/>
      <c r="N309" s="213"/>
    </row>
    <row r="310">
      <c r="A310" s="151"/>
      <c r="B310" s="151"/>
      <c r="K310" s="123"/>
      <c r="M310" s="123"/>
      <c r="N310" s="213"/>
    </row>
    <row r="311">
      <c r="A311" s="151"/>
      <c r="B311" s="151"/>
      <c r="K311" s="123"/>
      <c r="M311" s="123"/>
      <c r="N311" s="213"/>
    </row>
    <row r="312">
      <c r="A312" s="151"/>
      <c r="B312" s="151"/>
      <c r="K312" s="123"/>
      <c r="M312" s="123"/>
      <c r="N312" s="213"/>
    </row>
    <row r="313">
      <c r="A313" s="151"/>
      <c r="B313" s="151"/>
      <c r="K313" s="123"/>
      <c r="M313" s="123"/>
      <c r="N313" s="213"/>
    </row>
    <row r="314">
      <c r="A314" s="151"/>
      <c r="B314" s="151"/>
      <c r="K314" s="123"/>
      <c r="M314" s="123"/>
      <c r="N314" s="213"/>
    </row>
    <row r="315">
      <c r="A315" s="151"/>
      <c r="B315" s="151"/>
      <c r="K315" s="123"/>
      <c r="M315" s="123"/>
      <c r="N315" s="213"/>
    </row>
    <row r="316">
      <c r="A316" s="151"/>
      <c r="B316" s="151"/>
      <c r="K316" s="123"/>
      <c r="M316" s="123"/>
      <c r="N316" s="213"/>
    </row>
    <row r="317">
      <c r="A317" s="151"/>
      <c r="B317" s="151"/>
      <c r="K317" s="123"/>
      <c r="M317" s="123"/>
      <c r="N317" s="213"/>
    </row>
    <row r="318">
      <c r="A318" s="151"/>
      <c r="B318" s="151"/>
      <c r="K318" s="123"/>
      <c r="M318" s="123"/>
      <c r="N318" s="213"/>
    </row>
    <row r="319">
      <c r="A319" s="151"/>
      <c r="B319" s="151"/>
      <c r="K319" s="123"/>
      <c r="M319" s="123"/>
      <c r="N319" s="213"/>
    </row>
    <row r="320">
      <c r="A320" s="151"/>
      <c r="B320" s="151"/>
      <c r="K320" s="123"/>
      <c r="M320" s="123"/>
      <c r="N320" s="213"/>
    </row>
    <row r="321">
      <c r="A321" s="151"/>
      <c r="B321" s="151"/>
      <c r="K321" s="123"/>
      <c r="M321" s="123"/>
      <c r="N321" s="213"/>
    </row>
    <row r="322">
      <c r="A322" s="151"/>
      <c r="B322" s="151"/>
      <c r="K322" s="123"/>
      <c r="M322" s="123"/>
      <c r="N322" s="213"/>
    </row>
    <row r="323">
      <c r="A323" s="151"/>
      <c r="B323" s="151"/>
      <c r="K323" s="123"/>
      <c r="M323" s="123"/>
      <c r="N323" s="213"/>
    </row>
    <row r="324">
      <c r="A324" s="151"/>
      <c r="B324" s="151"/>
      <c r="K324" s="123"/>
      <c r="M324" s="123"/>
      <c r="N324" s="213"/>
    </row>
    <row r="325">
      <c r="A325" s="151"/>
      <c r="B325" s="151"/>
      <c r="K325" s="123"/>
      <c r="M325" s="123"/>
      <c r="N325" s="213"/>
    </row>
    <row r="326">
      <c r="A326" s="151"/>
      <c r="B326" s="151"/>
      <c r="K326" s="123"/>
      <c r="M326" s="123"/>
      <c r="N326" s="213"/>
    </row>
    <row r="327">
      <c r="A327" s="151"/>
      <c r="B327" s="151"/>
      <c r="K327" s="123"/>
      <c r="M327" s="123"/>
      <c r="N327" s="213"/>
    </row>
    <row r="328">
      <c r="A328" s="151"/>
      <c r="B328" s="151"/>
      <c r="K328" s="123"/>
      <c r="M328" s="123"/>
      <c r="N328" s="213"/>
    </row>
    <row r="329">
      <c r="A329" s="151"/>
      <c r="B329" s="151"/>
      <c r="K329" s="123"/>
      <c r="M329" s="123"/>
      <c r="N329" s="213"/>
    </row>
    <row r="330">
      <c r="A330" s="151"/>
      <c r="B330" s="151"/>
      <c r="K330" s="123"/>
      <c r="M330" s="123"/>
      <c r="N330" s="213"/>
    </row>
    <row r="331">
      <c r="A331" s="151"/>
      <c r="B331" s="151"/>
      <c r="K331" s="123"/>
      <c r="M331" s="123"/>
      <c r="N331" s="213"/>
    </row>
    <row r="332">
      <c r="A332" s="151"/>
      <c r="B332" s="151"/>
      <c r="K332" s="123"/>
      <c r="M332" s="123"/>
      <c r="N332" s="213"/>
    </row>
    <row r="333">
      <c r="A333" s="151"/>
      <c r="B333" s="151"/>
      <c r="K333" s="123"/>
      <c r="M333" s="123"/>
      <c r="N333" s="213"/>
    </row>
    <row r="334">
      <c r="A334" s="151"/>
      <c r="B334" s="151"/>
      <c r="K334" s="123"/>
      <c r="M334" s="123"/>
      <c r="N334" s="213"/>
    </row>
    <row r="335">
      <c r="A335" s="151"/>
      <c r="B335" s="151"/>
      <c r="K335" s="123"/>
      <c r="M335" s="123"/>
      <c r="N335" s="213"/>
    </row>
    <row r="336">
      <c r="A336" s="151"/>
      <c r="B336" s="151"/>
      <c r="K336" s="123"/>
      <c r="M336" s="123"/>
      <c r="N336" s="213"/>
    </row>
    <row r="337">
      <c r="A337" s="151"/>
      <c r="B337" s="151"/>
      <c r="K337" s="123"/>
      <c r="M337" s="123"/>
      <c r="N337" s="213"/>
    </row>
    <row r="338">
      <c r="A338" s="151"/>
      <c r="B338" s="151"/>
      <c r="K338" s="123"/>
      <c r="M338" s="123"/>
      <c r="N338" s="213"/>
    </row>
    <row r="339">
      <c r="A339" s="151"/>
      <c r="B339" s="151"/>
      <c r="K339" s="123"/>
      <c r="M339" s="123"/>
      <c r="N339" s="213"/>
    </row>
    <row r="340">
      <c r="A340" s="151"/>
      <c r="B340" s="151"/>
      <c r="K340" s="123"/>
      <c r="M340" s="123"/>
      <c r="N340" s="213"/>
    </row>
    <row r="341">
      <c r="A341" s="151"/>
      <c r="B341" s="151"/>
      <c r="K341" s="123"/>
      <c r="M341" s="123"/>
      <c r="N341" s="213"/>
    </row>
    <row r="342">
      <c r="A342" s="151"/>
      <c r="B342" s="151"/>
      <c r="K342" s="123"/>
      <c r="M342" s="123"/>
      <c r="N342" s="213"/>
    </row>
    <row r="343">
      <c r="A343" s="151"/>
      <c r="B343" s="151"/>
      <c r="K343" s="123"/>
      <c r="M343" s="123"/>
      <c r="N343" s="213"/>
    </row>
    <row r="344">
      <c r="A344" s="151"/>
      <c r="B344" s="151"/>
      <c r="K344" s="123"/>
      <c r="M344" s="123"/>
      <c r="N344" s="213"/>
    </row>
    <row r="345">
      <c r="A345" s="151"/>
      <c r="B345" s="151"/>
      <c r="K345" s="123"/>
      <c r="M345" s="123"/>
      <c r="N345" s="213"/>
    </row>
    <row r="346">
      <c r="A346" s="151"/>
      <c r="B346" s="151"/>
      <c r="K346" s="123"/>
      <c r="M346" s="123"/>
      <c r="N346" s="213"/>
    </row>
    <row r="347">
      <c r="A347" s="151"/>
      <c r="B347" s="151"/>
      <c r="K347" s="123"/>
      <c r="M347" s="123"/>
      <c r="N347" s="213"/>
    </row>
    <row r="348">
      <c r="A348" s="151"/>
      <c r="B348" s="151"/>
      <c r="K348" s="123"/>
      <c r="M348" s="123"/>
      <c r="N348" s="213"/>
    </row>
    <row r="349">
      <c r="A349" s="151"/>
      <c r="B349" s="151"/>
      <c r="K349" s="123"/>
      <c r="M349" s="123"/>
      <c r="N349" s="213"/>
    </row>
    <row r="350">
      <c r="A350" s="151"/>
      <c r="B350" s="151"/>
      <c r="K350" s="123"/>
      <c r="M350" s="123"/>
      <c r="N350" s="213"/>
    </row>
    <row r="351">
      <c r="A351" s="151"/>
      <c r="B351" s="151"/>
      <c r="K351" s="123"/>
      <c r="M351" s="123"/>
      <c r="N351" s="213"/>
    </row>
    <row r="352">
      <c r="A352" s="151"/>
      <c r="B352" s="151"/>
      <c r="K352" s="123"/>
      <c r="M352" s="123"/>
      <c r="N352" s="213"/>
    </row>
    <row r="353">
      <c r="A353" s="151"/>
      <c r="B353" s="151"/>
      <c r="K353" s="123"/>
      <c r="M353" s="123"/>
      <c r="N353" s="213"/>
    </row>
    <row r="354">
      <c r="A354" s="151"/>
      <c r="B354" s="151"/>
      <c r="K354" s="123"/>
      <c r="M354" s="123"/>
      <c r="N354" s="213"/>
    </row>
    <row r="355">
      <c r="A355" s="151"/>
      <c r="B355" s="151"/>
      <c r="K355" s="123"/>
      <c r="M355" s="123"/>
      <c r="N355" s="213"/>
    </row>
    <row r="356">
      <c r="A356" s="151"/>
      <c r="B356" s="151"/>
      <c r="K356" s="123"/>
      <c r="M356" s="123"/>
      <c r="N356" s="213"/>
    </row>
    <row r="357">
      <c r="A357" s="151"/>
      <c r="B357" s="151"/>
      <c r="K357" s="123"/>
      <c r="M357" s="123"/>
      <c r="N357" s="213"/>
    </row>
    <row r="358">
      <c r="A358" s="151"/>
      <c r="B358" s="151"/>
      <c r="K358" s="123"/>
      <c r="M358" s="123"/>
      <c r="N358" s="213"/>
    </row>
    <row r="359">
      <c r="A359" s="151"/>
      <c r="B359" s="151"/>
      <c r="K359" s="123"/>
      <c r="M359" s="123"/>
      <c r="N359" s="213"/>
    </row>
    <row r="360">
      <c r="A360" s="151"/>
      <c r="B360" s="151"/>
      <c r="K360" s="123"/>
      <c r="M360" s="123"/>
      <c r="N360" s="213"/>
    </row>
    <row r="361">
      <c r="A361" s="151"/>
      <c r="B361" s="151"/>
      <c r="K361" s="123"/>
      <c r="M361" s="123"/>
      <c r="N361" s="213"/>
    </row>
    <row r="362">
      <c r="A362" s="151"/>
      <c r="B362" s="151"/>
      <c r="K362" s="123"/>
      <c r="M362" s="123"/>
      <c r="N362" s="213"/>
    </row>
    <row r="363">
      <c r="A363" s="151"/>
      <c r="B363" s="151"/>
      <c r="K363" s="123"/>
      <c r="M363" s="123"/>
      <c r="N363" s="213"/>
    </row>
    <row r="364">
      <c r="A364" s="151"/>
      <c r="B364" s="151"/>
      <c r="K364" s="123"/>
      <c r="M364" s="123"/>
      <c r="N364" s="213"/>
    </row>
    <row r="365">
      <c r="A365" s="151"/>
      <c r="B365" s="151"/>
      <c r="K365" s="123"/>
      <c r="M365" s="123"/>
      <c r="N365" s="213"/>
    </row>
    <row r="366">
      <c r="A366" s="151"/>
      <c r="B366" s="151"/>
      <c r="K366" s="123"/>
      <c r="M366" s="123"/>
      <c r="N366" s="213"/>
    </row>
    <row r="367">
      <c r="A367" s="151"/>
      <c r="B367" s="151"/>
      <c r="K367" s="123"/>
      <c r="M367" s="123"/>
      <c r="N367" s="213"/>
    </row>
    <row r="368">
      <c r="A368" s="151"/>
      <c r="B368" s="151"/>
      <c r="K368" s="123"/>
      <c r="M368" s="123"/>
      <c r="N368" s="213"/>
    </row>
    <row r="369">
      <c r="A369" s="151"/>
      <c r="B369" s="151"/>
      <c r="K369" s="123"/>
      <c r="M369" s="123"/>
      <c r="N369" s="213"/>
    </row>
    <row r="370">
      <c r="A370" s="151"/>
      <c r="B370" s="151"/>
      <c r="K370" s="123"/>
      <c r="M370" s="123"/>
      <c r="N370" s="213"/>
    </row>
    <row r="371">
      <c r="A371" s="151"/>
      <c r="B371" s="151"/>
      <c r="K371" s="123"/>
      <c r="M371" s="123"/>
      <c r="N371" s="213"/>
    </row>
    <row r="372">
      <c r="A372" s="151"/>
      <c r="B372" s="151"/>
      <c r="K372" s="123"/>
      <c r="M372" s="123"/>
      <c r="N372" s="213"/>
    </row>
    <row r="373">
      <c r="A373" s="151"/>
      <c r="B373" s="151"/>
      <c r="K373" s="123"/>
      <c r="M373" s="123"/>
      <c r="N373" s="213"/>
    </row>
    <row r="374">
      <c r="A374" s="151"/>
      <c r="B374" s="151"/>
      <c r="K374" s="123"/>
      <c r="M374" s="123"/>
      <c r="N374" s="213"/>
    </row>
    <row r="375">
      <c r="A375" s="151"/>
      <c r="B375" s="151"/>
      <c r="K375" s="123"/>
      <c r="M375" s="123"/>
      <c r="N375" s="213"/>
    </row>
    <row r="376">
      <c r="A376" s="151"/>
      <c r="B376" s="151"/>
      <c r="K376" s="123"/>
      <c r="M376" s="123"/>
      <c r="N376" s="213"/>
    </row>
    <row r="377">
      <c r="A377" s="151"/>
      <c r="B377" s="151"/>
      <c r="K377" s="123"/>
      <c r="M377" s="123"/>
      <c r="N377" s="213"/>
    </row>
    <row r="378">
      <c r="A378" s="151"/>
      <c r="B378" s="151"/>
      <c r="K378" s="123"/>
      <c r="M378" s="123"/>
      <c r="N378" s="213"/>
    </row>
    <row r="379">
      <c r="A379" s="151"/>
      <c r="B379" s="151"/>
      <c r="K379" s="123"/>
      <c r="M379" s="123"/>
      <c r="N379" s="213"/>
    </row>
    <row r="380">
      <c r="A380" s="151"/>
      <c r="B380" s="151"/>
      <c r="K380" s="123"/>
      <c r="M380" s="123"/>
      <c r="N380" s="213"/>
    </row>
    <row r="381">
      <c r="A381" s="151"/>
      <c r="B381" s="151"/>
      <c r="K381" s="123"/>
      <c r="M381" s="123"/>
      <c r="N381" s="213"/>
    </row>
    <row r="382">
      <c r="A382" s="151"/>
      <c r="B382" s="151"/>
      <c r="K382" s="123"/>
      <c r="M382" s="123"/>
      <c r="N382" s="213"/>
    </row>
    <row r="383">
      <c r="A383" s="151"/>
      <c r="B383" s="151"/>
      <c r="K383" s="123"/>
      <c r="M383" s="123"/>
      <c r="N383" s="213"/>
    </row>
    <row r="384">
      <c r="A384" s="151"/>
      <c r="B384" s="151"/>
      <c r="K384" s="123"/>
      <c r="M384" s="123"/>
      <c r="N384" s="213"/>
    </row>
    <row r="385">
      <c r="A385" s="151"/>
      <c r="B385" s="151"/>
      <c r="K385" s="123"/>
      <c r="M385" s="123"/>
      <c r="N385" s="213"/>
    </row>
    <row r="386">
      <c r="A386" s="151"/>
      <c r="B386" s="151"/>
      <c r="K386" s="123"/>
      <c r="M386" s="123"/>
      <c r="N386" s="213"/>
    </row>
    <row r="387">
      <c r="A387" s="151"/>
      <c r="B387" s="151"/>
      <c r="K387" s="123"/>
      <c r="M387" s="123"/>
      <c r="N387" s="213"/>
    </row>
    <row r="388">
      <c r="A388" s="151"/>
      <c r="B388" s="151"/>
      <c r="K388" s="123"/>
      <c r="M388" s="123"/>
      <c r="N388" s="213"/>
    </row>
    <row r="389">
      <c r="A389" s="151"/>
      <c r="B389" s="151"/>
      <c r="K389" s="123"/>
      <c r="M389" s="123"/>
      <c r="N389" s="213"/>
    </row>
    <row r="390">
      <c r="A390" s="151"/>
      <c r="B390" s="151"/>
      <c r="K390" s="123"/>
      <c r="M390" s="123"/>
      <c r="N390" s="213"/>
    </row>
    <row r="391">
      <c r="A391" s="151"/>
      <c r="B391" s="151"/>
      <c r="K391" s="123"/>
      <c r="M391" s="123"/>
      <c r="N391" s="213"/>
    </row>
    <row r="392">
      <c r="A392" s="151"/>
      <c r="B392" s="151"/>
      <c r="K392" s="123"/>
      <c r="M392" s="123"/>
      <c r="N392" s="213"/>
    </row>
    <row r="393">
      <c r="A393" s="151"/>
      <c r="B393" s="151"/>
      <c r="K393" s="123"/>
      <c r="M393" s="123"/>
      <c r="N393" s="213"/>
    </row>
    <row r="394">
      <c r="A394" s="151"/>
      <c r="B394" s="151"/>
      <c r="K394" s="123"/>
      <c r="M394" s="123"/>
      <c r="N394" s="213"/>
    </row>
    <row r="395">
      <c r="A395" s="151"/>
      <c r="B395" s="151"/>
      <c r="K395" s="123"/>
      <c r="M395" s="123"/>
      <c r="N395" s="213"/>
    </row>
    <row r="396">
      <c r="A396" s="151"/>
      <c r="B396" s="151"/>
      <c r="K396" s="123"/>
      <c r="M396" s="123"/>
      <c r="N396" s="213"/>
    </row>
    <row r="397">
      <c r="A397" s="151"/>
      <c r="B397" s="151"/>
      <c r="K397" s="123"/>
      <c r="M397" s="123"/>
      <c r="N397" s="213"/>
    </row>
    <row r="398">
      <c r="A398" s="151"/>
      <c r="B398" s="151"/>
      <c r="K398" s="123"/>
      <c r="M398" s="123"/>
      <c r="N398" s="213"/>
    </row>
    <row r="399">
      <c r="A399" s="151"/>
      <c r="B399" s="151"/>
      <c r="K399" s="123"/>
      <c r="M399" s="123"/>
      <c r="N399" s="213"/>
    </row>
    <row r="400">
      <c r="A400" s="151"/>
      <c r="B400" s="151"/>
      <c r="K400" s="123"/>
      <c r="M400" s="123"/>
      <c r="N400" s="213"/>
    </row>
    <row r="401">
      <c r="A401" s="151"/>
      <c r="B401" s="151"/>
      <c r="K401" s="123"/>
      <c r="M401" s="123"/>
      <c r="N401" s="213"/>
    </row>
    <row r="402">
      <c r="A402" s="151"/>
      <c r="B402" s="151"/>
      <c r="K402" s="123"/>
      <c r="M402" s="123"/>
      <c r="N402" s="213"/>
    </row>
    <row r="403">
      <c r="A403" s="151"/>
      <c r="B403" s="151"/>
      <c r="K403" s="123"/>
      <c r="M403" s="123"/>
      <c r="N403" s="213"/>
    </row>
    <row r="404">
      <c r="A404" s="151"/>
      <c r="B404" s="151"/>
      <c r="K404" s="123"/>
      <c r="M404" s="123"/>
      <c r="N404" s="213"/>
    </row>
    <row r="405">
      <c r="A405" s="151"/>
      <c r="B405" s="151"/>
      <c r="K405" s="123"/>
      <c r="M405" s="123"/>
      <c r="N405" s="213"/>
    </row>
    <row r="406">
      <c r="A406" s="151"/>
      <c r="B406" s="151"/>
      <c r="K406" s="123"/>
      <c r="M406" s="123"/>
      <c r="N406" s="213"/>
    </row>
    <row r="407">
      <c r="A407" s="151"/>
      <c r="B407" s="151"/>
      <c r="K407" s="123"/>
      <c r="M407" s="123"/>
      <c r="N407" s="213"/>
    </row>
    <row r="408">
      <c r="A408" s="151"/>
      <c r="B408" s="151"/>
      <c r="K408" s="123"/>
      <c r="M408" s="123"/>
      <c r="N408" s="213"/>
    </row>
    <row r="409">
      <c r="A409" s="151"/>
      <c r="B409" s="151"/>
      <c r="K409" s="123"/>
      <c r="M409" s="123"/>
      <c r="N409" s="213"/>
    </row>
    <row r="410">
      <c r="A410" s="151"/>
      <c r="B410" s="151"/>
      <c r="K410" s="123"/>
      <c r="M410" s="123"/>
      <c r="N410" s="213"/>
    </row>
    <row r="411">
      <c r="A411" s="151"/>
      <c r="B411" s="151"/>
      <c r="K411" s="123"/>
      <c r="M411" s="123"/>
      <c r="N411" s="213"/>
    </row>
    <row r="412">
      <c r="A412" s="151"/>
      <c r="B412" s="151"/>
      <c r="K412" s="123"/>
      <c r="M412" s="123"/>
      <c r="N412" s="213"/>
    </row>
    <row r="413">
      <c r="A413" s="151"/>
      <c r="B413" s="151"/>
      <c r="K413" s="123"/>
      <c r="M413" s="123"/>
      <c r="N413" s="213"/>
    </row>
    <row r="414">
      <c r="A414" s="151"/>
      <c r="B414" s="151"/>
      <c r="K414" s="123"/>
      <c r="M414" s="123"/>
      <c r="N414" s="213"/>
    </row>
    <row r="415">
      <c r="A415" s="151"/>
      <c r="B415" s="151"/>
      <c r="K415" s="123"/>
      <c r="M415" s="123"/>
      <c r="N415" s="213"/>
    </row>
    <row r="416">
      <c r="A416" s="151"/>
      <c r="B416" s="151"/>
      <c r="K416" s="123"/>
      <c r="M416" s="123"/>
      <c r="N416" s="213"/>
    </row>
    <row r="417">
      <c r="A417" s="151"/>
      <c r="B417" s="151"/>
      <c r="K417" s="123"/>
      <c r="M417" s="123"/>
      <c r="N417" s="213"/>
    </row>
    <row r="418">
      <c r="A418" s="151"/>
      <c r="B418" s="151"/>
      <c r="K418" s="123"/>
      <c r="M418" s="123"/>
      <c r="N418" s="213"/>
    </row>
    <row r="419">
      <c r="A419" s="151"/>
      <c r="B419" s="151"/>
      <c r="K419" s="123"/>
      <c r="M419" s="123"/>
      <c r="N419" s="213"/>
    </row>
    <row r="420">
      <c r="A420" s="151"/>
      <c r="B420" s="151"/>
      <c r="K420" s="123"/>
      <c r="M420" s="123"/>
      <c r="N420" s="213"/>
    </row>
    <row r="421">
      <c r="A421" s="151"/>
      <c r="B421" s="151"/>
      <c r="K421" s="123"/>
      <c r="M421" s="123"/>
      <c r="N421" s="213"/>
    </row>
    <row r="422">
      <c r="A422" s="151"/>
      <c r="B422" s="151"/>
      <c r="K422" s="123"/>
      <c r="M422" s="123"/>
      <c r="N422" s="213"/>
    </row>
    <row r="423">
      <c r="A423" s="151"/>
      <c r="B423" s="151"/>
      <c r="K423" s="123"/>
      <c r="M423" s="123"/>
      <c r="N423" s="213"/>
    </row>
    <row r="424">
      <c r="A424" s="151"/>
      <c r="B424" s="151"/>
      <c r="K424" s="123"/>
      <c r="M424" s="123"/>
      <c r="N424" s="213"/>
    </row>
    <row r="425">
      <c r="A425" s="151"/>
      <c r="B425" s="151"/>
      <c r="K425" s="123"/>
      <c r="M425" s="123"/>
      <c r="N425" s="213"/>
    </row>
    <row r="426">
      <c r="A426" s="151"/>
      <c r="B426" s="151"/>
      <c r="K426" s="123"/>
      <c r="M426" s="123"/>
      <c r="N426" s="213"/>
    </row>
    <row r="427">
      <c r="A427" s="151"/>
      <c r="B427" s="151"/>
      <c r="K427" s="123"/>
      <c r="M427" s="123"/>
      <c r="N427" s="213"/>
    </row>
    <row r="428">
      <c r="A428" s="151"/>
      <c r="B428" s="151"/>
      <c r="K428" s="123"/>
      <c r="M428" s="123"/>
      <c r="N428" s="213"/>
    </row>
    <row r="429">
      <c r="A429" s="151"/>
      <c r="B429" s="151"/>
      <c r="K429" s="123"/>
      <c r="M429" s="123"/>
      <c r="N429" s="213"/>
    </row>
    <row r="430">
      <c r="A430" s="151"/>
      <c r="B430" s="151"/>
      <c r="K430" s="123"/>
      <c r="M430" s="123"/>
      <c r="N430" s="213"/>
    </row>
    <row r="431">
      <c r="A431" s="151"/>
      <c r="B431" s="151"/>
      <c r="K431" s="123"/>
      <c r="M431" s="123"/>
      <c r="N431" s="213"/>
    </row>
    <row r="432">
      <c r="A432" s="151"/>
      <c r="B432" s="151"/>
      <c r="K432" s="123"/>
      <c r="M432" s="123"/>
      <c r="N432" s="213"/>
    </row>
    <row r="433">
      <c r="A433" s="151"/>
      <c r="B433" s="151"/>
      <c r="K433" s="123"/>
      <c r="M433" s="123"/>
      <c r="N433" s="213"/>
    </row>
    <row r="434">
      <c r="A434" s="151"/>
      <c r="B434" s="151"/>
      <c r="K434" s="123"/>
      <c r="M434" s="123"/>
      <c r="N434" s="213"/>
    </row>
    <row r="435">
      <c r="A435" s="151"/>
      <c r="B435" s="151"/>
      <c r="K435" s="123"/>
      <c r="M435" s="123"/>
      <c r="N435" s="213"/>
    </row>
    <row r="436">
      <c r="A436" s="151"/>
      <c r="B436" s="151"/>
      <c r="K436" s="123"/>
      <c r="M436" s="123"/>
      <c r="N436" s="213"/>
    </row>
    <row r="437">
      <c r="A437" s="151"/>
      <c r="B437" s="151"/>
      <c r="K437" s="123"/>
      <c r="M437" s="123"/>
      <c r="N437" s="213"/>
    </row>
    <row r="438">
      <c r="A438" s="151"/>
      <c r="B438" s="151"/>
      <c r="K438" s="123"/>
      <c r="M438" s="123"/>
      <c r="N438" s="213"/>
    </row>
    <row r="439">
      <c r="A439" s="151"/>
      <c r="B439" s="151"/>
      <c r="K439" s="123"/>
      <c r="M439" s="123"/>
      <c r="N439" s="213"/>
    </row>
    <row r="440">
      <c r="A440" s="151"/>
      <c r="B440" s="151"/>
      <c r="K440" s="123"/>
      <c r="M440" s="123"/>
      <c r="N440" s="213"/>
    </row>
    <row r="441">
      <c r="A441" s="151"/>
      <c r="B441" s="151"/>
      <c r="K441" s="123"/>
      <c r="M441" s="123"/>
      <c r="N441" s="213"/>
    </row>
    <row r="442">
      <c r="A442" s="151"/>
      <c r="B442" s="151"/>
      <c r="K442" s="123"/>
      <c r="M442" s="123"/>
      <c r="N442" s="213"/>
    </row>
    <row r="443">
      <c r="A443" s="151"/>
      <c r="B443" s="151"/>
      <c r="K443" s="123"/>
      <c r="M443" s="123"/>
      <c r="N443" s="213"/>
    </row>
    <row r="444">
      <c r="A444" s="151"/>
      <c r="B444" s="151"/>
      <c r="K444" s="123"/>
      <c r="M444" s="123"/>
      <c r="N444" s="213"/>
    </row>
    <row r="445">
      <c r="A445" s="151"/>
      <c r="B445" s="151"/>
      <c r="K445" s="123"/>
      <c r="M445" s="123"/>
      <c r="N445" s="213"/>
    </row>
    <row r="446">
      <c r="A446" s="151"/>
      <c r="B446" s="151"/>
      <c r="K446" s="123"/>
      <c r="M446" s="123"/>
      <c r="N446" s="213"/>
    </row>
    <row r="447">
      <c r="A447" s="151"/>
      <c r="B447" s="151"/>
      <c r="K447" s="123"/>
      <c r="M447" s="123"/>
      <c r="N447" s="213"/>
    </row>
    <row r="448">
      <c r="A448" s="151"/>
      <c r="B448" s="151"/>
      <c r="K448" s="123"/>
      <c r="M448" s="123"/>
      <c r="N448" s="213"/>
    </row>
    <row r="449">
      <c r="A449" s="151"/>
      <c r="B449" s="151"/>
      <c r="K449" s="123"/>
      <c r="M449" s="123"/>
      <c r="N449" s="213"/>
    </row>
    <row r="450">
      <c r="A450" s="151"/>
      <c r="B450" s="151"/>
      <c r="K450" s="123"/>
      <c r="M450" s="123"/>
      <c r="N450" s="213"/>
    </row>
    <row r="451">
      <c r="A451" s="151"/>
      <c r="B451" s="151"/>
      <c r="K451" s="123"/>
      <c r="M451" s="123"/>
      <c r="N451" s="213"/>
    </row>
    <row r="452">
      <c r="A452" s="151"/>
      <c r="B452" s="151"/>
      <c r="K452" s="123"/>
      <c r="M452" s="123"/>
      <c r="N452" s="213"/>
    </row>
    <row r="453">
      <c r="A453" s="151"/>
      <c r="B453" s="151"/>
      <c r="K453" s="123"/>
      <c r="M453" s="123"/>
      <c r="N453" s="213"/>
    </row>
    <row r="454">
      <c r="A454" s="151"/>
      <c r="B454" s="151"/>
      <c r="K454" s="123"/>
      <c r="M454" s="123"/>
      <c r="N454" s="213"/>
    </row>
    <row r="455">
      <c r="A455" s="151"/>
      <c r="B455" s="151"/>
      <c r="K455" s="123"/>
      <c r="M455" s="123"/>
      <c r="N455" s="213"/>
    </row>
    <row r="456">
      <c r="A456" s="151"/>
      <c r="B456" s="151"/>
      <c r="K456" s="123"/>
      <c r="M456" s="123"/>
      <c r="N456" s="213"/>
    </row>
    <row r="457">
      <c r="A457" s="151"/>
      <c r="B457" s="151"/>
      <c r="K457" s="123"/>
      <c r="M457" s="123"/>
      <c r="N457" s="213"/>
    </row>
    <row r="458">
      <c r="A458" s="151"/>
      <c r="B458" s="151"/>
      <c r="K458" s="123"/>
      <c r="M458" s="123"/>
      <c r="N458" s="213"/>
    </row>
    <row r="459">
      <c r="A459" s="151"/>
      <c r="B459" s="151"/>
      <c r="K459" s="123"/>
      <c r="M459" s="123"/>
      <c r="N459" s="213"/>
    </row>
    <row r="460">
      <c r="A460" s="151"/>
      <c r="B460" s="151"/>
      <c r="K460" s="123"/>
      <c r="M460" s="123"/>
      <c r="N460" s="213"/>
    </row>
    <row r="461">
      <c r="A461" s="151"/>
      <c r="B461" s="151"/>
      <c r="K461" s="123"/>
      <c r="M461" s="123"/>
      <c r="N461" s="213"/>
    </row>
    <row r="462">
      <c r="A462" s="151"/>
      <c r="B462" s="151"/>
      <c r="K462" s="123"/>
      <c r="M462" s="123"/>
      <c r="N462" s="213"/>
    </row>
    <row r="463">
      <c r="A463" s="151"/>
      <c r="B463" s="151"/>
      <c r="K463" s="123"/>
      <c r="M463" s="123"/>
      <c r="N463" s="213"/>
    </row>
    <row r="464">
      <c r="A464" s="151"/>
      <c r="B464" s="151"/>
      <c r="K464" s="123"/>
      <c r="M464" s="123"/>
      <c r="N464" s="213"/>
    </row>
    <row r="465">
      <c r="A465" s="151"/>
      <c r="B465" s="151"/>
      <c r="K465" s="123"/>
      <c r="M465" s="123"/>
      <c r="N465" s="213"/>
    </row>
    <row r="466">
      <c r="A466" s="151"/>
      <c r="B466" s="151"/>
      <c r="K466" s="123"/>
      <c r="M466" s="123"/>
      <c r="N466" s="213"/>
    </row>
    <row r="467">
      <c r="A467" s="151"/>
      <c r="B467" s="151"/>
      <c r="K467" s="123"/>
      <c r="M467" s="123"/>
      <c r="N467" s="213"/>
    </row>
    <row r="468">
      <c r="A468" s="151"/>
      <c r="B468" s="151"/>
      <c r="K468" s="123"/>
      <c r="M468" s="123"/>
      <c r="N468" s="213"/>
    </row>
    <row r="469">
      <c r="A469" s="151"/>
      <c r="B469" s="151"/>
      <c r="K469" s="123"/>
      <c r="M469" s="123"/>
      <c r="N469" s="213"/>
    </row>
    <row r="470">
      <c r="A470" s="151"/>
      <c r="B470" s="151"/>
      <c r="K470" s="123"/>
      <c r="M470" s="123"/>
      <c r="N470" s="213"/>
    </row>
    <row r="471">
      <c r="A471" s="151"/>
      <c r="B471" s="151"/>
      <c r="K471" s="123"/>
      <c r="M471" s="123"/>
      <c r="N471" s="213"/>
    </row>
    <row r="472">
      <c r="A472" s="151"/>
      <c r="B472" s="151"/>
      <c r="K472" s="123"/>
      <c r="M472" s="123"/>
      <c r="N472" s="213"/>
    </row>
    <row r="473">
      <c r="A473" s="151"/>
      <c r="B473" s="151"/>
      <c r="K473" s="123"/>
      <c r="M473" s="123"/>
      <c r="N473" s="213"/>
    </row>
    <row r="474">
      <c r="A474" s="151"/>
      <c r="B474" s="151"/>
      <c r="K474" s="123"/>
      <c r="M474" s="123"/>
      <c r="N474" s="213"/>
    </row>
    <row r="475">
      <c r="A475" s="151"/>
      <c r="B475" s="151"/>
      <c r="K475" s="123"/>
      <c r="M475" s="123"/>
      <c r="N475" s="213"/>
    </row>
    <row r="476">
      <c r="A476" s="151"/>
      <c r="B476" s="151"/>
      <c r="K476" s="123"/>
      <c r="M476" s="123"/>
      <c r="N476" s="213"/>
    </row>
    <row r="477">
      <c r="A477" s="151"/>
      <c r="B477" s="151"/>
      <c r="K477" s="123"/>
      <c r="M477" s="123"/>
      <c r="N477" s="213"/>
    </row>
    <row r="478">
      <c r="A478" s="151"/>
      <c r="B478" s="151"/>
      <c r="K478" s="123"/>
      <c r="M478" s="123"/>
      <c r="N478" s="213"/>
    </row>
    <row r="479">
      <c r="A479" s="151"/>
      <c r="B479" s="151"/>
      <c r="K479" s="123"/>
      <c r="M479" s="123"/>
      <c r="N479" s="213"/>
    </row>
    <row r="480">
      <c r="A480" s="151"/>
      <c r="B480" s="151"/>
      <c r="K480" s="123"/>
      <c r="M480" s="123"/>
      <c r="N480" s="213"/>
    </row>
    <row r="481">
      <c r="A481" s="151"/>
      <c r="B481" s="151"/>
      <c r="K481" s="123"/>
      <c r="M481" s="123"/>
      <c r="N481" s="213"/>
    </row>
    <row r="482">
      <c r="A482" s="151"/>
      <c r="B482" s="151"/>
      <c r="K482" s="123"/>
      <c r="M482" s="123"/>
      <c r="N482" s="213"/>
    </row>
    <row r="483">
      <c r="A483" s="151"/>
      <c r="B483" s="151"/>
      <c r="K483" s="123"/>
      <c r="M483" s="123"/>
      <c r="N483" s="213"/>
    </row>
    <row r="484">
      <c r="A484" s="151"/>
      <c r="B484" s="151"/>
      <c r="K484" s="123"/>
      <c r="M484" s="123"/>
      <c r="N484" s="213"/>
    </row>
    <row r="485">
      <c r="A485" s="151"/>
      <c r="B485" s="151"/>
      <c r="K485" s="123"/>
      <c r="M485" s="123"/>
      <c r="N485" s="213"/>
    </row>
    <row r="486">
      <c r="A486" s="151"/>
      <c r="B486" s="151"/>
      <c r="K486" s="123"/>
      <c r="M486" s="123"/>
      <c r="N486" s="213"/>
    </row>
    <row r="487">
      <c r="A487" s="151"/>
      <c r="B487" s="151"/>
      <c r="K487" s="123"/>
      <c r="M487" s="123"/>
      <c r="N487" s="213"/>
    </row>
    <row r="488">
      <c r="A488" s="151"/>
      <c r="B488" s="151"/>
      <c r="K488" s="123"/>
      <c r="M488" s="123"/>
      <c r="N488" s="213"/>
    </row>
    <row r="489">
      <c r="A489" s="151"/>
      <c r="B489" s="151"/>
      <c r="K489" s="123"/>
      <c r="M489" s="123"/>
      <c r="N489" s="213"/>
    </row>
    <row r="490">
      <c r="A490" s="151"/>
      <c r="B490" s="151"/>
      <c r="K490" s="123"/>
      <c r="M490" s="123"/>
      <c r="N490" s="213"/>
    </row>
    <row r="491">
      <c r="A491" s="151"/>
      <c r="B491" s="151"/>
      <c r="K491" s="123"/>
      <c r="M491" s="123"/>
      <c r="N491" s="213"/>
    </row>
    <row r="492">
      <c r="A492" s="151"/>
      <c r="B492" s="151"/>
      <c r="K492" s="123"/>
      <c r="M492" s="123"/>
      <c r="N492" s="213"/>
    </row>
    <row r="493">
      <c r="A493" s="151"/>
      <c r="B493" s="151"/>
      <c r="K493" s="123"/>
      <c r="M493" s="123"/>
      <c r="N493" s="213"/>
    </row>
    <row r="494">
      <c r="A494" s="151"/>
      <c r="B494" s="151"/>
      <c r="K494" s="123"/>
      <c r="M494" s="123"/>
      <c r="N494" s="213"/>
    </row>
    <row r="495">
      <c r="A495" s="151"/>
      <c r="B495" s="151"/>
      <c r="K495" s="123"/>
      <c r="M495" s="123"/>
      <c r="N495" s="213"/>
    </row>
    <row r="496">
      <c r="A496" s="151"/>
      <c r="B496" s="151"/>
      <c r="K496" s="123"/>
      <c r="M496" s="123"/>
      <c r="N496" s="213"/>
    </row>
    <row r="497">
      <c r="A497" s="151"/>
      <c r="B497" s="151"/>
      <c r="K497" s="123"/>
      <c r="M497" s="123"/>
      <c r="N497" s="213"/>
    </row>
    <row r="498">
      <c r="A498" s="151"/>
      <c r="B498" s="151"/>
      <c r="K498" s="123"/>
      <c r="M498" s="123"/>
      <c r="N498" s="213"/>
    </row>
    <row r="499">
      <c r="A499" s="151"/>
      <c r="B499" s="151"/>
      <c r="K499" s="123"/>
      <c r="M499" s="123"/>
      <c r="N499" s="213"/>
    </row>
    <row r="500">
      <c r="A500" s="151"/>
      <c r="B500" s="151"/>
      <c r="K500" s="123"/>
      <c r="M500" s="123"/>
      <c r="N500" s="213"/>
    </row>
    <row r="501">
      <c r="A501" s="151"/>
      <c r="B501" s="151"/>
      <c r="K501" s="123"/>
      <c r="M501" s="123"/>
      <c r="N501" s="213"/>
    </row>
    <row r="502">
      <c r="A502" s="151"/>
      <c r="B502" s="151"/>
      <c r="K502" s="123"/>
      <c r="M502" s="123"/>
      <c r="N502" s="213"/>
    </row>
    <row r="503">
      <c r="A503" s="151"/>
      <c r="B503" s="151"/>
      <c r="K503" s="123"/>
      <c r="M503" s="123"/>
      <c r="N503" s="213"/>
    </row>
    <row r="504">
      <c r="A504" s="151"/>
      <c r="B504" s="151"/>
      <c r="K504" s="123"/>
      <c r="M504" s="123"/>
      <c r="N504" s="213"/>
    </row>
    <row r="505">
      <c r="A505" s="151"/>
      <c r="B505" s="151"/>
      <c r="K505" s="123"/>
      <c r="M505" s="123"/>
      <c r="N505" s="213"/>
    </row>
    <row r="506">
      <c r="A506" s="151"/>
      <c r="B506" s="151"/>
      <c r="K506" s="123"/>
      <c r="M506" s="123"/>
      <c r="N506" s="213"/>
    </row>
    <row r="507">
      <c r="A507" s="151"/>
      <c r="B507" s="151"/>
      <c r="K507" s="123"/>
      <c r="M507" s="123"/>
      <c r="N507" s="213"/>
    </row>
    <row r="508">
      <c r="A508" s="151"/>
      <c r="B508" s="151"/>
      <c r="K508" s="123"/>
      <c r="M508" s="123"/>
      <c r="N508" s="213"/>
    </row>
    <row r="509">
      <c r="A509" s="151"/>
      <c r="B509" s="151"/>
      <c r="K509" s="123"/>
      <c r="M509" s="123"/>
      <c r="N509" s="213"/>
    </row>
    <row r="510">
      <c r="A510" s="151"/>
      <c r="B510" s="151"/>
      <c r="K510" s="123"/>
      <c r="M510" s="123"/>
      <c r="N510" s="213"/>
    </row>
    <row r="511">
      <c r="A511" s="151"/>
      <c r="B511" s="151"/>
      <c r="K511" s="123"/>
      <c r="M511" s="123"/>
      <c r="N511" s="213"/>
    </row>
    <row r="512">
      <c r="A512" s="151"/>
      <c r="B512" s="151"/>
      <c r="K512" s="123"/>
      <c r="M512" s="123"/>
      <c r="N512" s="213"/>
    </row>
    <row r="513">
      <c r="A513" s="151"/>
      <c r="B513" s="151"/>
      <c r="K513" s="123"/>
      <c r="M513" s="123"/>
      <c r="N513" s="213"/>
    </row>
    <row r="514">
      <c r="A514" s="151"/>
      <c r="B514" s="151"/>
      <c r="K514" s="123"/>
      <c r="M514" s="123"/>
      <c r="N514" s="213"/>
    </row>
    <row r="515">
      <c r="A515" s="151"/>
      <c r="B515" s="151"/>
      <c r="K515" s="123"/>
      <c r="M515" s="123"/>
      <c r="N515" s="213"/>
    </row>
    <row r="516">
      <c r="A516" s="151"/>
      <c r="B516" s="151"/>
      <c r="K516" s="123"/>
      <c r="M516" s="123"/>
      <c r="N516" s="213"/>
    </row>
    <row r="517">
      <c r="A517" s="151"/>
      <c r="B517" s="151"/>
      <c r="K517" s="123"/>
      <c r="M517" s="123"/>
      <c r="N517" s="213"/>
    </row>
    <row r="518">
      <c r="A518" s="151"/>
      <c r="B518" s="151"/>
      <c r="K518" s="123"/>
      <c r="M518" s="123"/>
      <c r="N518" s="213"/>
    </row>
    <row r="519">
      <c r="A519" s="151"/>
      <c r="B519" s="151"/>
      <c r="K519" s="123"/>
      <c r="M519" s="123"/>
      <c r="N519" s="213"/>
    </row>
    <row r="520">
      <c r="A520" s="151"/>
      <c r="B520" s="151"/>
      <c r="K520" s="123"/>
      <c r="M520" s="123"/>
      <c r="N520" s="213"/>
    </row>
    <row r="521">
      <c r="A521" s="151"/>
      <c r="B521" s="151"/>
      <c r="K521" s="123"/>
      <c r="M521" s="123"/>
      <c r="N521" s="213"/>
    </row>
    <row r="522">
      <c r="A522" s="151"/>
      <c r="B522" s="151"/>
      <c r="K522" s="123"/>
      <c r="M522" s="123"/>
      <c r="N522" s="213"/>
    </row>
    <row r="523">
      <c r="A523" s="151"/>
      <c r="B523" s="151"/>
      <c r="K523" s="123"/>
      <c r="M523" s="123"/>
      <c r="N523" s="213"/>
    </row>
    <row r="524">
      <c r="A524" s="151"/>
      <c r="B524" s="151"/>
      <c r="K524" s="123"/>
      <c r="M524" s="123"/>
      <c r="N524" s="213"/>
    </row>
    <row r="525">
      <c r="A525" s="151"/>
      <c r="B525" s="151"/>
      <c r="K525" s="123"/>
      <c r="M525" s="123"/>
      <c r="N525" s="213"/>
    </row>
    <row r="526">
      <c r="A526" s="151"/>
      <c r="B526" s="151"/>
      <c r="K526" s="123"/>
      <c r="M526" s="123"/>
      <c r="N526" s="213"/>
    </row>
    <row r="527">
      <c r="A527" s="151"/>
      <c r="B527" s="151"/>
      <c r="K527" s="123"/>
      <c r="M527" s="123"/>
      <c r="N527" s="213"/>
    </row>
    <row r="528">
      <c r="A528" s="151"/>
      <c r="B528" s="151"/>
      <c r="K528" s="123"/>
      <c r="M528" s="123"/>
      <c r="N528" s="213"/>
    </row>
    <row r="529">
      <c r="A529" s="151"/>
      <c r="B529" s="151"/>
      <c r="K529" s="123"/>
      <c r="M529" s="123"/>
      <c r="N529" s="213"/>
    </row>
    <row r="530">
      <c r="A530" s="151"/>
      <c r="B530" s="151"/>
      <c r="K530" s="123"/>
      <c r="M530" s="123"/>
      <c r="N530" s="213"/>
    </row>
    <row r="531">
      <c r="A531" s="151"/>
      <c r="B531" s="151"/>
      <c r="K531" s="123"/>
      <c r="M531" s="123"/>
      <c r="N531" s="213"/>
    </row>
    <row r="532">
      <c r="A532" s="151"/>
      <c r="B532" s="151"/>
      <c r="K532" s="123"/>
      <c r="M532" s="123"/>
      <c r="N532" s="213"/>
    </row>
    <row r="533">
      <c r="A533" s="151"/>
      <c r="B533" s="151"/>
      <c r="K533" s="123"/>
      <c r="M533" s="123"/>
      <c r="N533" s="213"/>
    </row>
    <row r="534">
      <c r="A534" s="151"/>
      <c r="B534" s="151"/>
      <c r="K534" s="123"/>
      <c r="M534" s="123"/>
      <c r="N534" s="213"/>
    </row>
    <row r="535">
      <c r="A535" s="151"/>
      <c r="B535" s="151"/>
      <c r="K535" s="123"/>
      <c r="M535" s="123"/>
      <c r="N535" s="213"/>
    </row>
    <row r="536">
      <c r="A536" s="151"/>
      <c r="B536" s="151"/>
      <c r="K536" s="123"/>
      <c r="M536" s="123"/>
      <c r="N536" s="213"/>
    </row>
    <row r="537">
      <c r="A537" s="151"/>
      <c r="B537" s="151"/>
      <c r="K537" s="123"/>
      <c r="M537" s="123"/>
      <c r="N537" s="213"/>
    </row>
    <row r="538">
      <c r="A538" s="151"/>
      <c r="B538" s="151"/>
      <c r="K538" s="123"/>
      <c r="M538" s="123"/>
      <c r="N538" s="213"/>
    </row>
    <row r="539">
      <c r="A539" s="151"/>
      <c r="B539" s="151"/>
      <c r="K539" s="123"/>
      <c r="M539" s="123"/>
      <c r="N539" s="213"/>
    </row>
    <row r="540">
      <c r="A540" s="151"/>
      <c r="B540" s="151"/>
      <c r="K540" s="123"/>
      <c r="M540" s="123"/>
      <c r="N540" s="213"/>
    </row>
    <row r="541">
      <c r="A541" s="151"/>
      <c r="B541" s="151"/>
      <c r="K541" s="123"/>
      <c r="M541" s="123"/>
      <c r="N541" s="213"/>
    </row>
    <row r="542">
      <c r="A542" s="151"/>
      <c r="B542" s="151"/>
      <c r="K542" s="123"/>
      <c r="M542" s="123"/>
      <c r="N542" s="213"/>
    </row>
    <row r="543">
      <c r="A543" s="151"/>
      <c r="B543" s="151"/>
      <c r="K543" s="123"/>
      <c r="M543" s="123"/>
      <c r="N543" s="213"/>
    </row>
    <row r="544">
      <c r="A544" s="151"/>
      <c r="B544" s="151"/>
      <c r="K544" s="123"/>
      <c r="M544" s="123"/>
      <c r="N544" s="213"/>
    </row>
    <row r="545">
      <c r="A545" s="151"/>
      <c r="B545" s="151"/>
      <c r="K545" s="123"/>
      <c r="M545" s="123"/>
      <c r="N545" s="213"/>
    </row>
    <row r="546">
      <c r="A546" s="151"/>
      <c r="B546" s="151"/>
      <c r="K546" s="123"/>
      <c r="M546" s="123"/>
      <c r="N546" s="213"/>
    </row>
    <row r="547">
      <c r="A547" s="151"/>
      <c r="B547" s="151"/>
      <c r="K547" s="123"/>
      <c r="M547" s="123"/>
      <c r="N547" s="213"/>
    </row>
    <row r="548">
      <c r="A548" s="151"/>
      <c r="B548" s="151"/>
      <c r="K548" s="123"/>
      <c r="M548" s="123"/>
      <c r="N548" s="213"/>
    </row>
    <row r="549">
      <c r="A549" s="151"/>
      <c r="B549" s="151"/>
      <c r="K549" s="123"/>
      <c r="M549" s="123"/>
      <c r="N549" s="213"/>
    </row>
    <row r="550">
      <c r="A550" s="151"/>
      <c r="B550" s="151"/>
      <c r="K550" s="123"/>
      <c r="M550" s="123"/>
      <c r="N550" s="213"/>
    </row>
    <row r="551">
      <c r="A551" s="151"/>
      <c r="B551" s="151"/>
      <c r="K551" s="123"/>
      <c r="M551" s="123"/>
      <c r="N551" s="213"/>
    </row>
    <row r="552">
      <c r="A552" s="151"/>
      <c r="B552" s="151"/>
      <c r="K552" s="123"/>
      <c r="M552" s="123"/>
      <c r="N552" s="213"/>
    </row>
    <row r="553">
      <c r="A553" s="151"/>
      <c r="B553" s="151"/>
      <c r="K553" s="123"/>
      <c r="M553" s="123"/>
      <c r="N553" s="213"/>
    </row>
    <row r="554">
      <c r="A554" s="151"/>
      <c r="B554" s="151"/>
      <c r="K554" s="123"/>
      <c r="M554" s="123"/>
      <c r="N554" s="213"/>
    </row>
    <row r="555">
      <c r="A555" s="151"/>
      <c r="B555" s="151"/>
      <c r="K555" s="123"/>
      <c r="M555" s="123"/>
      <c r="N555" s="213"/>
    </row>
    <row r="556">
      <c r="A556" s="151"/>
      <c r="B556" s="151"/>
      <c r="K556" s="123"/>
      <c r="M556" s="123"/>
      <c r="N556" s="213"/>
    </row>
    <row r="557">
      <c r="A557" s="151"/>
      <c r="B557" s="151"/>
      <c r="K557" s="123"/>
      <c r="M557" s="123"/>
      <c r="N557" s="213"/>
    </row>
    <row r="558">
      <c r="A558" s="151"/>
      <c r="B558" s="151"/>
      <c r="K558" s="123"/>
      <c r="M558" s="123"/>
      <c r="N558" s="213"/>
    </row>
    <row r="559">
      <c r="A559" s="151"/>
      <c r="B559" s="151"/>
      <c r="K559" s="123"/>
      <c r="M559" s="123"/>
      <c r="N559" s="213"/>
    </row>
    <row r="560">
      <c r="A560" s="151"/>
      <c r="B560" s="151"/>
      <c r="K560" s="123"/>
      <c r="M560" s="123"/>
      <c r="N560" s="213"/>
    </row>
    <row r="561">
      <c r="A561" s="151"/>
      <c r="B561" s="151"/>
      <c r="K561" s="123"/>
      <c r="M561" s="123"/>
      <c r="N561" s="213"/>
    </row>
    <row r="562">
      <c r="A562" s="151"/>
      <c r="B562" s="151"/>
      <c r="K562" s="123"/>
      <c r="M562" s="123"/>
      <c r="N562" s="213"/>
    </row>
    <row r="563">
      <c r="A563" s="151"/>
      <c r="B563" s="151"/>
      <c r="K563" s="123"/>
      <c r="M563" s="123"/>
      <c r="N563" s="213"/>
    </row>
    <row r="564">
      <c r="A564" s="151"/>
      <c r="B564" s="151"/>
      <c r="K564" s="123"/>
      <c r="M564" s="123"/>
      <c r="N564" s="213"/>
    </row>
    <row r="565">
      <c r="A565" s="151"/>
      <c r="B565" s="151"/>
      <c r="K565" s="123"/>
      <c r="M565" s="123"/>
      <c r="N565" s="213"/>
    </row>
    <row r="566">
      <c r="A566" s="151"/>
      <c r="B566" s="151"/>
      <c r="K566" s="123"/>
      <c r="M566" s="123"/>
      <c r="N566" s="213"/>
    </row>
    <row r="567">
      <c r="A567" s="151"/>
      <c r="B567" s="151"/>
      <c r="K567" s="123"/>
      <c r="M567" s="123"/>
      <c r="N567" s="213"/>
    </row>
    <row r="568">
      <c r="A568" s="151"/>
      <c r="B568" s="151"/>
      <c r="K568" s="123"/>
      <c r="M568" s="123"/>
      <c r="N568" s="213"/>
    </row>
    <row r="569">
      <c r="A569" s="151"/>
      <c r="B569" s="151"/>
      <c r="K569" s="123"/>
      <c r="M569" s="123"/>
      <c r="N569" s="213"/>
    </row>
    <row r="570">
      <c r="A570" s="151"/>
      <c r="B570" s="151"/>
      <c r="K570" s="123"/>
      <c r="M570" s="123"/>
      <c r="N570" s="213"/>
    </row>
    <row r="571">
      <c r="A571" s="151"/>
      <c r="B571" s="151"/>
      <c r="K571" s="123"/>
      <c r="M571" s="123"/>
      <c r="N571" s="213"/>
    </row>
    <row r="572">
      <c r="A572" s="151"/>
      <c r="B572" s="151"/>
      <c r="K572" s="123"/>
      <c r="M572" s="123"/>
      <c r="N572" s="213"/>
    </row>
    <row r="573">
      <c r="A573" s="151"/>
      <c r="B573" s="151"/>
      <c r="K573" s="123"/>
      <c r="M573" s="123"/>
      <c r="N573" s="213"/>
    </row>
    <row r="574">
      <c r="A574" s="151"/>
      <c r="B574" s="151"/>
      <c r="K574" s="123"/>
      <c r="M574" s="123"/>
      <c r="N574" s="213"/>
    </row>
    <row r="575">
      <c r="A575" s="151"/>
      <c r="B575" s="151"/>
      <c r="K575" s="123"/>
      <c r="M575" s="123"/>
      <c r="N575" s="213"/>
    </row>
    <row r="576">
      <c r="A576" s="151"/>
      <c r="B576" s="151"/>
      <c r="K576" s="123"/>
      <c r="M576" s="123"/>
      <c r="N576" s="213"/>
    </row>
    <row r="577">
      <c r="A577" s="151"/>
      <c r="B577" s="151"/>
      <c r="K577" s="123"/>
      <c r="M577" s="123"/>
      <c r="N577" s="213"/>
    </row>
    <row r="578">
      <c r="A578" s="151"/>
      <c r="B578" s="151"/>
      <c r="K578" s="123"/>
      <c r="M578" s="123"/>
      <c r="N578" s="213"/>
    </row>
    <row r="579">
      <c r="A579" s="151"/>
      <c r="B579" s="151"/>
      <c r="K579" s="123"/>
      <c r="M579" s="123"/>
      <c r="N579" s="213"/>
    </row>
    <row r="580">
      <c r="A580" s="151"/>
      <c r="B580" s="151"/>
      <c r="K580" s="123"/>
      <c r="M580" s="123"/>
      <c r="N580" s="213"/>
    </row>
    <row r="581">
      <c r="A581" s="151"/>
      <c r="B581" s="151"/>
      <c r="K581" s="123"/>
      <c r="M581" s="123"/>
      <c r="N581" s="213"/>
    </row>
    <row r="582">
      <c r="A582" s="151"/>
      <c r="B582" s="151"/>
      <c r="K582" s="123"/>
      <c r="M582" s="123"/>
      <c r="N582" s="213"/>
    </row>
    <row r="583">
      <c r="A583" s="151"/>
      <c r="B583" s="151"/>
      <c r="K583" s="123"/>
      <c r="M583" s="123"/>
      <c r="N583" s="213"/>
    </row>
    <row r="584">
      <c r="A584" s="151"/>
      <c r="B584" s="151"/>
      <c r="K584" s="123"/>
      <c r="M584" s="123"/>
      <c r="N584" s="213"/>
    </row>
    <row r="585">
      <c r="A585" s="151"/>
      <c r="B585" s="151"/>
      <c r="K585" s="123"/>
      <c r="M585" s="123"/>
      <c r="N585" s="213"/>
    </row>
    <row r="586">
      <c r="A586" s="151"/>
      <c r="B586" s="151"/>
      <c r="K586" s="123"/>
      <c r="M586" s="123"/>
      <c r="N586" s="213"/>
    </row>
    <row r="587">
      <c r="A587" s="151"/>
      <c r="B587" s="151"/>
      <c r="K587" s="123"/>
      <c r="M587" s="123"/>
      <c r="N587" s="213"/>
    </row>
    <row r="588">
      <c r="A588" s="151"/>
      <c r="B588" s="151"/>
      <c r="K588" s="123"/>
      <c r="M588" s="123"/>
      <c r="N588" s="213"/>
    </row>
    <row r="589">
      <c r="A589" s="151"/>
      <c r="B589" s="151"/>
      <c r="K589" s="123"/>
      <c r="M589" s="123"/>
      <c r="N589" s="213"/>
    </row>
    <row r="590">
      <c r="A590" s="151"/>
      <c r="B590" s="151"/>
      <c r="K590" s="123"/>
      <c r="M590" s="123"/>
      <c r="N590" s="213"/>
    </row>
    <row r="591">
      <c r="A591" s="151"/>
      <c r="B591" s="151"/>
      <c r="K591" s="123"/>
      <c r="M591" s="123"/>
      <c r="N591" s="213"/>
    </row>
    <row r="592">
      <c r="A592" s="151"/>
      <c r="B592" s="151"/>
      <c r="K592" s="123"/>
      <c r="M592" s="123"/>
      <c r="N592" s="213"/>
    </row>
    <row r="593">
      <c r="A593" s="151"/>
      <c r="B593" s="151"/>
      <c r="K593" s="123"/>
      <c r="M593" s="123"/>
      <c r="N593" s="213"/>
    </row>
    <row r="594">
      <c r="A594" s="151"/>
      <c r="B594" s="151"/>
      <c r="K594" s="123"/>
      <c r="M594" s="123"/>
      <c r="N594" s="213"/>
    </row>
    <row r="595">
      <c r="A595" s="151"/>
      <c r="B595" s="151"/>
      <c r="K595" s="123"/>
      <c r="M595" s="123"/>
      <c r="N595" s="213"/>
    </row>
    <row r="596">
      <c r="A596" s="151"/>
      <c r="B596" s="151"/>
      <c r="K596" s="123"/>
      <c r="M596" s="123"/>
      <c r="N596" s="213"/>
    </row>
    <row r="597">
      <c r="A597" s="151"/>
      <c r="B597" s="151"/>
      <c r="K597" s="123"/>
      <c r="M597" s="123"/>
      <c r="N597" s="213"/>
    </row>
    <row r="598">
      <c r="A598" s="151"/>
      <c r="B598" s="151"/>
      <c r="K598" s="123"/>
      <c r="M598" s="123"/>
      <c r="N598" s="213"/>
    </row>
    <row r="599">
      <c r="A599" s="151"/>
      <c r="B599" s="151"/>
      <c r="K599" s="123"/>
      <c r="M599" s="123"/>
      <c r="N599" s="213"/>
    </row>
    <row r="600">
      <c r="A600" s="151"/>
      <c r="B600" s="151"/>
      <c r="K600" s="123"/>
      <c r="M600" s="123"/>
      <c r="N600" s="213"/>
    </row>
    <row r="601">
      <c r="A601" s="151"/>
      <c r="B601" s="151"/>
      <c r="K601" s="123"/>
      <c r="M601" s="123"/>
      <c r="N601" s="213"/>
    </row>
    <row r="602">
      <c r="A602" s="151"/>
      <c r="B602" s="151"/>
      <c r="K602" s="123"/>
      <c r="M602" s="123"/>
      <c r="N602" s="213"/>
    </row>
    <row r="603">
      <c r="A603" s="151"/>
      <c r="B603" s="151"/>
      <c r="K603" s="123"/>
      <c r="M603" s="123"/>
      <c r="N603" s="213"/>
    </row>
    <row r="604">
      <c r="A604" s="151"/>
      <c r="B604" s="151"/>
      <c r="K604" s="123"/>
      <c r="M604" s="123"/>
      <c r="N604" s="213"/>
    </row>
    <row r="605">
      <c r="A605" s="151"/>
      <c r="B605" s="151"/>
      <c r="K605" s="123"/>
      <c r="M605" s="123"/>
      <c r="N605" s="213"/>
    </row>
    <row r="606">
      <c r="A606" s="151"/>
      <c r="B606" s="151"/>
      <c r="K606" s="123"/>
      <c r="M606" s="123"/>
      <c r="N606" s="213"/>
    </row>
    <row r="607">
      <c r="A607" s="151"/>
      <c r="B607" s="151"/>
      <c r="K607" s="123"/>
      <c r="M607" s="123"/>
      <c r="N607" s="213"/>
    </row>
    <row r="608">
      <c r="A608" s="151"/>
      <c r="B608" s="151"/>
      <c r="K608" s="123"/>
      <c r="M608" s="123"/>
      <c r="N608" s="213"/>
    </row>
    <row r="609">
      <c r="A609" s="151"/>
      <c r="B609" s="151"/>
      <c r="K609" s="123"/>
      <c r="M609" s="123"/>
      <c r="N609" s="213"/>
    </row>
    <row r="610">
      <c r="A610" s="151"/>
      <c r="B610" s="151"/>
      <c r="K610" s="123"/>
      <c r="M610" s="123"/>
      <c r="N610" s="213"/>
    </row>
    <row r="611">
      <c r="A611" s="151"/>
      <c r="B611" s="151"/>
      <c r="K611" s="123"/>
      <c r="M611" s="123"/>
      <c r="N611" s="213"/>
    </row>
    <row r="612">
      <c r="A612" s="151"/>
      <c r="B612" s="151"/>
      <c r="K612" s="123"/>
      <c r="M612" s="123"/>
      <c r="N612" s="213"/>
    </row>
    <row r="613">
      <c r="A613" s="151"/>
      <c r="B613" s="151"/>
      <c r="K613" s="123"/>
      <c r="M613" s="123"/>
      <c r="N613" s="213"/>
    </row>
    <row r="614">
      <c r="A614" s="151"/>
      <c r="B614" s="151"/>
      <c r="K614" s="123"/>
      <c r="M614" s="123"/>
      <c r="N614" s="213"/>
    </row>
    <row r="615">
      <c r="A615" s="151"/>
      <c r="B615" s="151"/>
      <c r="K615" s="123"/>
      <c r="M615" s="123"/>
      <c r="N615" s="213"/>
    </row>
    <row r="616">
      <c r="A616" s="151"/>
      <c r="B616" s="151"/>
      <c r="K616" s="123"/>
      <c r="M616" s="123"/>
      <c r="N616" s="213"/>
    </row>
    <row r="617">
      <c r="A617" s="151"/>
      <c r="B617" s="151"/>
      <c r="K617" s="123"/>
      <c r="M617" s="123"/>
      <c r="N617" s="213"/>
    </row>
    <row r="618">
      <c r="A618" s="151"/>
      <c r="B618" s="151"/>
      <c r="K618" s="123"/>
      <c r="M618" s="123"/>
      <c r="N618" s="213"/>
    </row>
    <row r="619">
      <c r="A619" s="151"/>
      <c r="B619" s="151"/>
      <c r="K619" s="123"/>
      <c r="M619" s="123"/>
      <c r="N619" s="213"/>
    </row>
    <row r="620">
      <c r="A620" s="151"/>
      <c r="B620" s="151"/>
      <c r="K620" s="123"/>
      <c r="M620" s="123"/>
      <c r="N620" s="213"/>
    </row>
    <row r="621">
      <c r="A621" s="151"/>
      <c r="B621" s="151"/>
      <c r="K621" s="123"/>
      <c r="M621" s="123"/>
      <c r="N621" s="213"/>
    </row>
    <row r="622">
      <c r="A622" s="151"/>
      <c r="B622" s="151"/>
      <c r="K622" s="123"/>
      <c r="M622" s="123"/>
      <c r="N622" s="213"/>
    </row>
    <row r="623">
      <c r="A623" s="151"/>
      <c r="B623" s="151"/>
      <c r="K623" s="123"/>
      <c r="M623" s="123"/>
      <c r="N623" s="213"/>
    </row>
    <row r="624">
      <c r="A624" s="151"/>
      <c r="B624" s="151"/>
      <c r="K624" s="123"/>
      <c r="M624" s="123"/>
      <c r="N624" s="213"/>
    </row>
    <row r="625">
      <c r="A625" s="151"/>
      <c r="B625" s="151"/>
      <c r="K625" s="123"/>
      <c r="M625" s="123"/>
      <c r="N625" s="213"/>
    </row>
    <row r="626">
      <c r="A626" s="151"/>
      <c r="B626" s="151"/>
      <c r="K626" s="123"/>
      <c r="M626" s="123"/>
      <c r="N626" s="213"/>
    </row>
    <row r="627">
      <c r="A627" s="151"/>
      <c r="B627" s="151"/>
      <c r="K627" s="123"/>
      <c r="M627" s="123"/>
      <c r="N627" s="213"/>
    </row>
    <row r="628">
      <c r="A628" s="151"/>
      <c r="B628" s="151"/>
      <c r="K628" s="123"/>
      <c r="M628" s="123"/>
      <c r="N628" s="213"/>
    </row>
    <row r="629">
      <c r="A629" s="151"/>
      <c r="B629" s="151"/>
      <c r="K629" s="123"/>
      <c r="M629" s="123"/>
      <c r="N629" s="213"/>
    </row>
    <row r="630">
      <c r="A630" s="151"/>
      <c r="B630" s="151"/>
      <c r="K630" s="123"/>
      <c r="M630" s="123"/>
      <c r="N630" s="213"/>
    </row>
    <row r="631">
      <c r="A631" s="151"/>
      <c r="B631" s="151"/>
      <c r="K631" s="123"/>
      <c r="M631" s="123"/>
      <c r="N631" s="213"/>
    </row>
    <row r="632">
      <c r="A632" s="151"/>
      <c r="B632" s="151"/>
      <c r="K632" s="123"/>
      <c r="M632" s="123"/>
      <c r="N632" s="213"/>
    </row>
    <row r="633">
      <c r="A633" s="151"/>
      <c r="B633" s="151"/>
      <c r="K633" s="123"/>
      <c r="M633" s="123"/>
      <c r="N633" s="213"/>
    </row>
    <row r="634">
      <c r="A634" s="151"/>
      <c r="B634" s="151"/>
      <c r="K634" s="123"/>
      <c r="M634" s="123"/>
      <c r="N634" s="213"/>
    </row>
    <row r="635">
      <c r="A635" s="151"/>
      <c r="B635" s="151"/>
      <c r="K635" s="123"/>
      <c r="M635" s="123"/>
      <c r="N635" s="213"/>
    </row>
    <row r="636">
      <c r="A636" s="151"/>
      <c r="B636" s="151"/>
      <c r="K636" s="123"/>
      <c r="M636" s="123"/>
      <c r="N636" s="213"/>
    </row>
    <row r="637">
      <c r="A637" s="151"/>
      <c r="B637" s="151"/>
      <c r="K637" s="123"/>
      <c r="M637" s="123"/>
      <c r="N637" s="213"/>
    </row>
    <row r="638">
      <c r="A638" s="151"/>
      <c r="B638" s="151"/>
      <c r="K638" s="123"/>
      <c r="M638" s="123"/>
      <c r="N638" s="213"/>
    </row>
    <row r="639">
      <c r="A639" s="151"/>
      <c r="B639" s="151"/>
      <c r="K639" s="123"/>
      <c r="M639" s="123"/>
      <c r="N639" s="213"/>
    </row>
    <row r="640">
      <c r="A640" s="151"/>
      <c r="B640" s="151"/>
      <c r="K640" s="123"/>
      <c r="M640" s="123"/>
      <c r="N640" s="213"/>
    </row>
    <row r="641">
      <c r="A641" s="151"/>
      <c r="B641" s="151"/>
      <c r="K641" s="123"/>
      <c r="M641" s="123"/>
      <c r="N641" s="213"/>
    </row>
    <row r="642">
      <c r="A642" s="151"/>
      <c r="B642" s="151"/>
      <c r="K642" s="123"/>
      <c r="M642" s="123"/>
      <c r="N642" s="213"/>
    </row>
    <row r="643">
      <c r="A643" s="151"/>
      <c r="B643" s="151"/>
      <c r="K643" s="123"/>
      <c r="M643" s="123"/>
      <c r="N643" s="213"/>
    </row>
    <row r="644">
      <c r="A644" s="151"/>
      <c r="B644" s="151"/>
      <c r="K644" s="123"/>
      <c r="M644" s="123"/>
      <c r="N644" s="213"/>
    </row>
    <row r="645">
      <c r="A645" s="151"/>
      <c r="B645" s="151"/>
      <c r="K645" s="123"/>
      <c r="M645" s="123"/>
      <c r="N645" s="213"/>
    </row>
    <row r="646">
      <c r="A646" s="151"/>
      <c r="B646" s="151"/>
      <c r="K646" s="123"/>
      <c r="M646" s="123"/>
      <c r="N646" s="213"/>
    </row>
    <row r="647">
      <c r="A647" s="151"/>
      <c r="B647" s="151"/>
      <c r="K647" s="123"/>
      <c r="M647" s="123"/>
      <c r="N647" s="213"/>
    </row>
    <row r="648">
      <c r="A648" s="151"/>
      <c r="B648" s="151"/>
      <c r="K648" s="123"/>
      <c r="M648" s="123"/>
      <c r="N648" s="213"/>
    </row>
    <row r="649">
      <c r="A649" s="151"/>
      <c r="B649" s="151"/>
      <c r="K649" s="123"/>
      <c r="M649" s="123"/>
      <c r="N649" s="213"/>
    </row>
    <row r="650">
      <c r="A650" s="151"/>
      <c r="B650" s="151"/>
      <c r="K650" s="123"/>
      <c r="M650" s="123"/>
      <c r="N650" s="213"/>
    </row>
    <row r="651">
      <c r="A651" s="151"/>
      <c r="B651" s="151"/>
      <c r="K651" s="123"/>
      <c r="M651" s="123"/>
      <c r="N651" s="213"/>
    </row>
    <row r="652">
      <c r="A652" s="151"/>
      <c r="B652" s="151"/>
      <c r="K652" s="123"/>
      <c r="M652" s="123"/>
      <c r="N652" s="213"/>
    </row>
    <row r="653">
      <c r="A653" s="151"/>
      <c r="B653" s="151"/>
      <c r="K653" s="123"/>
      <c r="M653" s="123"/>
      <c r="N653" s="213"/>
    </row>
    <row r="654">
      <c r="A654" s="151"/>
      <c r="B654" s="151"/>
      <c r="K654" s="123"/>
      <c r="M654" s="123"/>
      <c r="N654" s="213"/>
    </row>
    <row r="655">
      <c r="A655" s="151"/>
      <c r="B655" s="151"/>
      <c r="K655" s="123"/>
      <c r="M655" s="123"/>
      <c r="N655" s="213"/>
    </row>
    <row r="656">
      <c r="A656" s="151"/>
      <c r="B656" s="151"/>
      <c r="K656" s="123"/>
      <c r="M656" s="123"/>
      <c r="N656" s="213"/>
    </row>
    <row r="657">
      <c r="A657" s="151"/>
      <c r="B657" s="151"/>
      <c r="K657" s="123"/>
      <c r="M657" s="123"/>
      <c r="N657" s="213"/>
    </row>
    <row r="658">
      <c r="A658" s="151"/>
      <c r="B658" s="151"/>
      <c r="K658" s="123"/>
      <c r="M658" s="123"/>
      <c r="N658" s="213"/>
    </row>
    <row r="659">
      <c r="A659" s="151"/>
      <c r="B659" s="151"/>
      <c r="K659" s="123"/>
      <c r="M659" s="123"/>
      <c r="N659" s="213"/>
    </row>
    <row r="660">
      <c r="A660" s="151"/>
      <c r="B660" s="151"/>
      <c r="K660" s="123"/>
      <c r="M660" s="123"/>
      <c r="N660" s="213"/>
    </row>
    <row r="661">
      <c r="A661" s="151"/>
      <c r="B661" s="151"/>
      <c r="K661" s="123"/>
      <c r="M661" s="123"/>
      <c r="N661" s="213"/>
    </row>
    <row r="662">
      <c r="A662" s="151"/>
      <c r="B662" s="151"/>
      <c r="K662" s="123"/>
      <c r="M662" s="123"/>
      <c r="N662" s="213"/>
    </row>
    <row r="663">
      <c r="A663" s="151"/>
      <c r="B663" s="151"/>
      <c r="K663" s="123"/>
      <c r="M663" s="123"/>
      <c r="N663" s="213"/>
    </row>
    <row r="664">
      <c r="A664" s="151"/>
      <c r="B664" s="151"/>
      <c r="K664" s="123"/>
      <c r="M664" s="123"/>
      <c r="N664" s="213"/>
    </row>
    <row r="665">
      <c r="A665" s="151"/>
      <c r="B665" s="151"/>
      <c r="K665" s="123"/>
      <c r="M665" s="123"/>
      <c r="N665" s="213"/>
    </row>
    <row r="666">
      <c r="A666" s="151"/>
      <c r="B666" s="151"/>
      <c r="K666" s="123"/>
      <c r="M666" s="123"/>
      <c r="N666" s="213"/>
    </row>
    <row r="667">
      <c r="A667" s="151"/>
      <c r="B667" s="151"/>
      <c r="K667" s="123"/>
      <c r="M667" s="123"/>
      <c r="N667" s="213"/>
    </row>
    <row r="668">
      <c r="A668" s="151"/>
      <c r="B668" s="151"/>
      <c r="K668" s="123"/>
      <c r="M668" s="123"/>
      <c r="N668" s="213"/>
    </row>
    <row r="669">
      <c r="A669" s="151"/>
      <c r="B669" s="151"/>
      <c r="K669" s="123"/>
      <c r="M669" s="123"/>
      <c r="N669" s="213"/>
    </row>
    <row r="670">
      <c r="A670" s="151"/>
      <c r="B670" s="151"/>
      <c r="K670" s="123"/>
      <c r="M670" s="123"/>
      <c r="N670" s="213"/>
    </row>
    <row r="671">
      <c r="A671" s="151"/>
      <c r="B671" s="151"/>
      <c r="K671" s="123"/>
      <c r="M671" s="123"/>
      <c r="N671" s="213"/>
    </row>
    <row r="672">
      <c r="A672" s="151"/>
      <c r="B672" s="151"/>
      <c r="K672" s="123"/>
      <c r="M672" s="123"/>
      <c r="N672" s="213"/>
    </row>
    <row r="673">
      <c r="A673" s="151"/>
      <c r="B673" s="151"/>
      <c r="K673" s="123"/>
      <c r="M673" s="123"/>
      <c r="N673" s="213"/>
    </row>
    <row r="674">
      <c r="A674" s="151"/>
      <c r="B674" s="151"/>
      <c r="K674" s="123"/>
      <c r="M674" s="123"/>
      <c r="N674" s="213"/>
    </row>
    <row r="675">
      <c r="A675" s="151"/>
      <c r="B675" s="151"/>
      <c r="K675" s="123"/>
      <c r="M675" s="123"/>
      <c r="N675" s="213"/>
    </row>
    <row r="676">
      <c r="A676" s="151"/>
      <c r="B676" s="151"/>
      <c r="K676" s="123"/>
      <c r="M676" s="123"/>
      <c r="N676" s="213"/>
    </row>
    <row r="677">
      <c r="A677" s="151"/>
      <c r="B677" s="151"/>
      <c r="K677" s="123"/>
      <c r="M677" s="123"/>
      <c r="N677" s="213"/>
    </row>
    <row r="678">
      <c r="A678" s="151"/>
      <c r="B678" s="151"/>
      <c r="K678" s="123"/>
      <c r="M678" s="123"/>
      <c r="N678" s="213"/>
    </row>
    <row r="679">
      <c r="A679" s="151"/>
      <c r="B679" s="151"/>
      <c r="K679" s="123"/>
      <c r="M679" s="123"/>
      <c r="N679" s="213"/>
    </row>
    <row r="680">
      <c r="A680" s="151"/>
      <c r="B680" s="151"/>
      <c r="K680" s="123"/>
      <c r="M680" s="123"/>
      <c r="N680" s="213"/>
    </row>
    <row r="681">
      <c r="A681" s="151"/>
      <c r="B681" s="151"/>
      <c r="K681" s="123"/>
      <c r="M681" s="123"/>
      <c r="N681" s="213"/>
    </row>
    <row r="682">
      <c r="A682" s="151"/>
      <c r="B682" s="151"/>
      <c r="K682" s="123"/>
      <c r="M682" s="123"/>
      <c r="N682" s="213"/>
    </row>
    <row r="683">
      <c r="A683" s="151"/>
      <c r="B683" s="151"/>
      <c r="K683" s="123"/>
      <c r="M683" s="123"/>
      <c r="N683" s="213"/>
    </row>
    <row r="684">
      <c r="A684" s="151"/>
      <c r="B684" s="151"/>
      <c r="K684" s="123"/>
      <c r="M684" s="123"/>
      <c r="N684" s="213"/>
    </row>
    <row r="685">
      <c r="A685" s="151"/>
      <c r="B685" s="151"/>
      <c r="K685" s="123"/>
      <c r="M685" s="123"/>
      <c r="N685" s="213"/>
    </row>
    <row r="686">
      <c r="A686" s="151"/>
      <c r="B686" s="151"/>
      <c r="K686" s="123"/>
      <c r="M686" s="123"/>
      <c r="N686" s="213"/>
    </row>
    <row r="687">
      <c r="A687" s="151"/>
      <c r="B687" s="151"/>
      <c r="K687" s="123"/>
      <c r="M687" s="123"/>
      <c r="N687" s="213"/>
    </row>
    <row r="688">
      <c r="A688" s="151"/>
      <c r="B688" s="151"/>
      <c r="K688" s="123"/>
      <c r="M688" s="123"/>
      <c r="N688" s="213"/>
    </row>
    <row r="689">
      <c r="A689" s="151"/>
      <c r="B689" s="151"/>
      <c r="K689" s="123"/>
      <c r="M689" s="123"/>
      <c r="N689" s="213"/>
    </row>
    <row r="690">
      <c r="A690" s="151"/>
      <c r="B690" s="151"/>
      <c r="K690" s="123"/>
      <c r="M690" s="123"/>
      <c r="N690" s="213"/>
    </row>
    <row r="691">
      <c r="A691" s="151"/>
      <c r="B691" s="151"/>
      <c r="K691" s="123"/>
      <c r="M691" s="123"/>
      <c r="N691" s="213"/>
    </row>
    <row r="692">
      <c r="A692" s="151"/>
      <c r="B692" s="151"/>
      <c r="K692" s="123"/>
      <c r="M692" s="123"/>
      <c r="N692" s="213"/>
    </row>
    <row r="693">
      <c r="A693" s="151"/>
      <c r="B693" s="151"/>
      <c r="K693" s="123"/>
      <c r="M693" s="123"/>
      <c r="N693" s="213"/>
    </row>
    <row r="694">
      <c r="A694" s="151"/>
      <c r="B694" s="151"/>
      <c r="K694" s="123"/>
      <c r="M694" s="123"/>
      <c r="N694" s="213"/>
    </row>
    <row r="695">
      <c r="A695" s="151"/>
      <c r="B695" s="151"/>
      <c r="K695" s="123"/>
      <c r="M695" s="123"/>
      <c r="N695" s="213"/>
    </row>
    <row r="696">
      <c r="A696" s="151"/>
      <c r="B696" s="151"/>
      <c r="K696" s="123"/>
      <c r="M696" s="123"/>
      <c r="N696" s="213"/>
    </row>
    <row r="697">
      <c r="A697" s="151"/>
      <c r="B697" s="151"/>
      <c r="K697" s="123"/>
      <c r="M697" s="123"/>
      <c r="N697" s="213"/>
    </row>
    <row r="698">
      <c r="A698" s="151"/>
      <c r="B698" s="151"/>
      <c r="K698" s="123"/>
      <c r="M698" s="123"/>
      <c r="N698" s="213"/>
    </row>
    <row r="699">
      <c r="A699" s="151"/>
      <c r="B699" s="151"/>
      <c r="K699" s="123"/>
      <c r="M699" s="123"/>
      <c r="N699" s="213"/>
    </row>
    <row r="700">
      <c r="A700" s="151"/>
      <c r="B700" s="151"/>
      <c r="K700" s="123"/>
      <c r="M700" s="123"/>
      <c r="N700" s="213"/>
    </row>
    <row r="701">
      <c r="A701" s="151"/>
      <c r="B701" s="151"/>
      <c r="K701" s="123"/>
      <c r="M701" s="123"/>
      <c r="N701" s="213"/>
    </row>
    <row r="702">
      <c r="A702" s="151"/>
      <c r="B702" s="151"/>
      <c r="K702" s="123"/>
      <c r="M702" s="123"/>
      <c r="N702" s="213"/>
    </row>
    <row r="703">
      <c r="A703" s="151"/>
      <c r="B703" s="151"/>
      <c r="K703" s="123"/>
      <c r="M703" s="123"/>
      <c r="N703" s="213"/>
    </row>
    <row r="704">
      <c r="A704" s="151"/>
      <c r="B704" s="151"/>
      <c r="K704" s="123"/>
      <c r="M704" s="123"/>
      <c r="N704" s="213"/>
    </row>
    <row r="705">
      <c r="A705" s="151"/>
      <c r="B705" s="151"/>
      <c r="K705" s="123"/>
      <c r="M705" s="123"/>
      <c r="N705" s="213"/>
    </row>
    <row r="706">
      <c r="A706" s="151"/>
      <c r="B706" s="151"/>
      <c r="K706" s="123"/>
      <c r="M706" s="123"/>
      <c r="N706" s="213"/>
    </row>
    <row r="707">
      <c r="A707" s="151"/>
      <c r="B707" s="151"/>
      <c r="K707" s="123"/>
      <c r="M707" s="123"/>
      <c r="N707" s="213"/>
    </row>
    <row r="708">
      <c r="A708" s="151"/>
      <c r="B708" s="151"/>
      <c r="K708" s="123"/>
      <c r="M708" s="123"/>
      <c r="N708" s="213"/>
    </row>
    <row r="709">
      <c r="A709" s="151"/>
      <c r="B709" s="151"/>
      <c r="K709" s="123"/>
      <c r="M709" s="123"/>
      <c r="N709" s="213"/>
    </row>
    <row r="710">
      <c r="A710" s="151"/>
      <c r="B710" s="151"/>
      <c r="K710" s="123"/>
      <c r="M710" s="123"/>
      <c r="N710" s="213"/>
    </row>
    <row r="711">
      <c r="A711" s="151"/>
      <c r="B711" s="151"/>
      <c r="K711" s="123"/>
      <c r="M711" s="123"/>
      <c r="N711" s="213"/>
    </row>
    <row r="712">
      <c r="A712" s="151"/>
      <c r="B712" s="151"/>
      <c r="K712" s="123"/>
      <c r="M712" s="123"/>
      <c r="N712" s="213"/>
    </row>
    <row r="713">
      <c r="A713" s="151"/>
      <c r="B713" s="151"/>
      <c r="K713" s="123"/>
      <c r="M713" s="123"/>
      <c r="N713" s="213"/>
    </row>
    <row r="714">
      <c r="A714" s="151"/>
      <c r="B714" s="151"/>
      <c r="K714" s="123"/>
      <c r="M714" s="123"/>
      <c r="N714" s="213"/>
    </row>
    <row r="715">
      <c r="A715" s="151"/>
      <c r="B715" s="151"/>
      <c r="K715" s="123"/>
      <c r="M715" s="123"/>
      <c r="N715" s="213"/>
    </row>
    <row r="716">
      <c r="A716" s="151"/>
      <c r="B716" s="151"/>
      <c r="K716" s="123"/>
      <c r="M716" s="123"/>
      <c r="N716" s="213"/>
    </row>
    <row r="717">
      <c r="A717" s="151"/>
      <c r="B717" s="151"/>
      <c r="K717" s="123"/>
      <c r="M717" s="123"/>
      <c r="N717" s="213"/>
    </row>
    <row r="718">
      <c r="A718" s="151"/>
      <c r="B718" s="151"/>
      <c r="K718" s="123"/>
      <c r="M718" s="123"/>
      <c r="N718" s="213"/>
    </row>
    <row r="719">
      <c r="A719" s="151"/>
      <c r="B719" s="151"/>
      <c r="K719" s="123"/>
      <c r="M719" s="123"/>
      <c r="N719" s="213"/>
    </row>
    <row r="720">
      <c r="A720" s="151"/>
      <c r="B720" s="151"/>
      <c r="K720" s="123"/>
      <c r="M720" s="123"/>
      <c r="N720" s="213"/>
    </row>
    <row r="721">
      <c r="A721" s="151"/>
      <c r="B721" s="151"/>
      <c r="K721" s="123"/>
      <c r="M721" s="123"/>
      <c r="N721" s="213"/>
    </row>
    <row r="722">
      <c r="A722" s="151"/>
      <c r="B722" s="151"/>
      <c r="K722" s="123"/>
      <c r="M722" s="123"/>
      <c r="N722" s="213"/>
    </row>
    <row r="723">
      <c r="A723" s="151"/>
      <c r="B723" s="151"/>
      <c r="K723" s="123"/>
      <c r="M723" s="123"/>
      <c r="N723" s="213"/>
    </row>
    <row r="724">
      <c r="A724" s="151"/>
      <c r="B724" s="151"/>
      <c r="K724" s="123"/>
      <c r="M724" s="123"/>
      <c r="N724" s="213"/>
    </row>
    <row r="725">
      <c r="A725" s="151"/>
      <c r="B725" s="151"/>
      <c r="K725" s="123"/>
      <c r="M725" s="123"/>
      <c r="N725" s="213"/>
    </row>
    <row r="726">
      <c r="A726" s="151"/>
      <c r="B726" s="151"/>
      <c r="K726" s="123"/>
      <c r="M726" s="123"/>
      <c r="N726" s="213"/>
    </row>
    <row r="727">
      <c r="A727" s="151"/>
      <c r="B727" s="151"/>
      <c r="K727" s="123"/>
      <c r="M727" s="123"/>
      <c r="N727" s="213"/>
    </row>
    <row r="728">
      <c r="A728" s="151"/>
      <c r="B728" s="151"/>
      <c r="K728" s="123"/>
      <c r="M728" s="123"/>
      <c r="N728" s="213"/>
    </row>
    <row r="729">
      <c r="A729" s="151"/>
      <c r="B729" s="151"/>
      <c r="K729" s="123"/>
      <c r="M729" s="123"/>
      <c r="N729" s="213"/>
    </row>
    <row r="730">
      <c r="A730" s="151"/>
      <c r="B730" s="151"/>
      <c r="K730" s="123"/>
      <c r="M730" s="123"/>
      <c r="N730" s="213"/>
    </row>
    <row r="731">
      <c r="A731" s="151"/>
      <c r="B731" s="151"/>
      <c r="K731" s="123"/>
      <c r="M731" s="123"/>
      <c r="N731" s="213"/>
    </row>
    <row r="732">
      <c r="A732" s="151"/>
      <c r="B732" s="151"/>
      <c r="K732" s="123"/>
      <c r="M732" s="123"/>
      <c r="N732" s="213"/>
    </row>
    <row r="733">
      <c r="A733" s="151"/>
      <c r="B733" s="151"/>
      <c r="K733" s="123"/>
      <c r="M733" s="123"/>
      <c r="N733" s="213"/>
    </row>
    <row r="734">
      <c r="A734" s="151"/>
      <c r="B734" s="151"/>
      <c r="K734" s="123"/>
      <c r="M734" s="123"/>
      <c r="N734" s="213"/>
    </row>
    <row r="735">
      <c r="A735" s="151"/>
      <c r="B735" s="151"/>
      <c r="K735" s="123"/>
      <c r="M735" s="123"/>
      <c r="N735" s="213"/>
    </row>
    <row r="736">
      <c r="A736" s="151"/>
      <c r="B736" s="151"/>
      <c r="K736" s="123"/>
      <c r="M736" s="123"/>
      <c r="N736" s="213"/>
    </row>
    <row r="737">
      <c r="A737" s="151"/>
      <c r="B737" s="151"/>
      <c r="K737" s="123"/>
      <c r="M737" s="123"/>
      <c r="N737" s="213"/>
    </row>
    <row r="738">
      <c r="A738" s="151"/>
      <c r="B738" s="151"/>
      <c r="K738" s="123"/>
      <c r="M738" s="123"/>
      <c r="N738" s="213"/>
    </row>
    <row r="739">
      <c r="A739" s="151"/>
      <c r="B739" s="151"/>
      <c r="K739" s="123"/>
      <c r="M739" s="123"/>
      <c r="N739" s="213"/>
    </row>
    <row r="740">
      <c r="A740" s="151"/>
      <c r="B740" s="151"/>
      <c r="K740" s="123"/>
      <c r="M740" s="123"/>
      <c r="N740" s="213"/>
    </row>
    <row r="741">
      <c r="A741" s="151"/>
      <c r="B741" s="151"/>
      <c r="K741" s="123"/>
      <c r="M741" s="123"/>
      <c r="N741" s="213"/>
    </row>
    <row r="742">
      <c r="A742" s="151"/>
      <c r="B742" s="151"/>
      <c r="K742" s="123"/>
      <c r="M742" s="123"/>
      <c r="N742" s="213"/>
    </row>
    <row r="743">
      <c r="A743" s="151"/>
      <c r="B743" s="151"/>
      <c r="K743" s="123"/>
      <c r="M743" s="123"/>
      <c r="N743" s="213"/>
    </row>
    <row r="744">
      <c r="A744" s="151"/>
      <c r="B744" s="151"/>
      <c r="K744" s="123"/>
      <c r="M744" s="123"/>
      <c r="N744" s="213"/>
    </row>
    <row r="745">
      <c r="A745" s="151"/>
      <c r="B745" s="151"/>
      <c r="K745" s="123"/>
      <c r="M745" s="123"/>
      <c r="N745" s="213"/>
    </row>
    <row r="746">
      <c r="A746" s="151"/>
      <c r="B746" s="151"/>
      <c r="K746" s="123"/>
      <c r="M746" s="123"/>
      <c r="N746" s="213"/>
    </row>
    <row r="747">
      <c r="A747" s="151"/>
      <c r="B747" s="151"/>
      <c r="K747" s="123"/>
      <c r="M747" s="123"/>
      <c r="N747" s="213"/>
    </row>
    <row r="748">
      <c r="A748" s="151"/>
      <c r="B748" s="151"/>
      <c r="K748" s="123"/>
      <c r="M748" s="123"/>
      <c r="N748" s="213"/>
    </row>
    <row r="749">
      <c r="A749" s="151"/>
      <c r="B749" s="151"/>
      <c r="K749" s="123"/>
      <c r="M749" s="123"/>
      <c r="N749" s="213"/>
    </row>
    <row r="750">
      <c r="A750" s="151"/>
      <c r="B750" s="151"/>
      <c r="K750" s="123"/>
      <c r="M750" s="123"/>
      <c r="N750" s="213"/>
    </row>
    <row r="751">
      <c r="A751" s="151"/>
      <c r="B751" s="151"/>
      <c r="K751" s="123"/>
      <c r="M751" s="123"/>
      <c r="N751" s="213"/>
    </row>
    <row r="752">
      <c r="A752" s="151"/>
      <c r="B752" s="151"/>
      <c r="K752" s="123"/>
      <c r="M752" s="123"/>
      <c r="N752" s="213"/>
    </row>
    <row r="753">
      <c r="A753" s="151"/>
      <c r="B753" s="151"/>
      <c r="K753" s="123"/>
      <c r="M753" s="123"/>
      <c r="N753" s="213"/>
    </row>
    <row r="754">
      <c r="A754" s="151"/>
      <c r="B754" s="151"/>
      <c r="K754" s="123"/>
      <c r="M754" s="123"/>
      <c r="N754" s="213"/>
    </row>
    <row r="755">
      <c r="A755" s="151"/>
      <c r="B755" s="151"/>
      <c r="K755" s="123"/>
      <c r="M755" s="123"/>
      <c r="N755" s="213"/>
    </row>
    <row r="756">
      <c r="A756" s="151"/>
      <c r="B756" s="151"/>
      <c r="K756" s="123"/>
      <c r="M756" s="123"/>
      <c r="N756" s="213"/>
    </row>
    <row r="757">
      <c r="A757" s="151"/>
      <c r="B757" s="151"/>
      <c r="K757" s="123"/>
      <c r="M757" s="123"/>
      <c r="N757" s="213"/>
    </row>
    <row r="758">
      <c r="A758" s="151"/>
      <c r="B758" s="151"/>
      <c r="K758" s="123"/>
      <c r="M758" s="123"/>
      <c r="N758" s="213"/>
    </row>
    <row r="759">
      <c r="A759" s="151"/>
      <c r="B759" s="151"/>
      <c r="K759" s="123"/>
      <c r="M759" s="123"/>
      <c r="N759" s="213"/>
    </row>
    <row r="760">
      <c r="A760" s="151"/>
      <c r="B760" s="151"/>
      <c r="K760" s="123"/>
      <c r="M760" s="123"/>
      <c r="N760" s="213"/>
    </row>
    <row r="761">
      <c r="A761" s="151"/>
      <c r="B761" s="151"/>
      <c r="K761" s="123"/>
      <c r="M761" s="123"/>
      <c r="N761" s="213"/>
    </row>
    <row r="762">
      <c r="A762" s="151"/>
      <c r="B762" s="151"/>
      <c r="K762" s="123"/>
      <c r="M762" s="123"/>
      <c r="N762" s="213"/>
    </row>
    <row r="763">
      <c r="A763" s="151"/>
      <c r="B763" s="151"/>
      <c r="K763" s="123"/>
      <c r="M763" s="123"/>
      <c r="N763" s="213"/>
    </row>
    <row r="764">
      <c r="A764" s="151"/>
      <c r="B764" s="151"/>
      <c r="K764" s="123"/>
      <c r="M764" s="123"/>
      <c r="N764" s="213"/>
    </row>
    <row r="765">
      <c r="A765" s="151"/>
      <c r="B765" s="151"/>
      <c r="K765" s="123"/>
      <c r="M765" s="123"/>
      <c r="N765" s="213"/>
    </row>
    <row r="766">
      <c r="A766" s="151"/>
      <c r="B766" s="151"/>
      <c r="K766" s="123"/>
      <c r="M766" s="123"/>
      <c r="N766" s="213"/>
    </row>
    <row r="767">
      <c r="A767" s="151"/>
      <c r="B767" s="151"/>
      <c r="K767" s="123"/>
      <c r="M767" s="123"/>
      <c r="N767" s="213"/>
    </row>
    <row r="768">
      <c r="A768" s="151"/>
      <c r="B768" s="151"/>
      <c r="K768" s="123"/>
      <c r="M768" s="123"/>
      <c r="N768" s="213"/>
    </row>
    <row r="769">
      <c r="A769" s="151"/>
      <c r="B769" s="151"/>
      <c r="K769" s="123"/>
      <c r="M769" s="123"/>
      <c r="N769" s="213"/>
    </row>
    <row r="770">
      <c r="A770" s="151"/>
      <c r="B770" s="151"/>
      <c r="K770" s="123"/>
      <c r="M770" s="123"/>
      <c r="N770" s="213"/>
    </row>
    <row r="771">
      <c r="A771" s="151"/>
      <c r="B771" s="151"/>
      <c r="K771" s="123"/>
      <c r="M771" s="123"/>
      <c r="N771" s="213"/>
    </row>
    <row r="772">
      <c r="A772" s="151"/>
      <c r="B772" s="151"/>
      <c r="K772" s="123"/>
      <c r="M772" s="123"/>
      <c r="N772" s="213"/>
    </row>
    <row r="773">
      <c r="A773" s="151"/>
      <c r="B773" s="151"/>
      <c r="K773" s="123"/>
      <c r="M773" s="123"/>
      <c r="N773" s="213"/>
    </row>
    <row r="774">
      <c r="A774" s="151"/>
      <c r="B774" s="151"/>
      <c r="K774" s="123"/>
      <c r="M774" s="123"/>
      <c r="N774" s="213"/>
    </row>
    <row r="775">
      <c r="A775" s="151"/>
      <c r="B775" s="151"/>
      <c r="K775" s="123"/>
      <c r="M775" s="123"/>
      <c r="N775" s="213"/>
    </row>
    <row r="776">
      <c r="A776" s="151"/>
      <c r="B776" s="151"/>
      <c r="K776" s="123"/>
      <c r="M776" s="123"/>
      <c r="N776" s="213"/>
    </row>
    <row r="777">
      <c r="A777" s="151"/>
      <c r="B777" s="151"/>
      <c r="K777" s="123"/>
      <c r="M777" s="123"/>
      <c r="N777" s="213"/>
    </row>
    <row r="778">
      <c r="A778" s="151"/>
      <c r="B778" s="151"/>
      <c r="K778" s="123"/>
      <c r="M778" s="123"/>
      <c r="N778" s="213"/>
    </row>
    <row r="779">
      <c r="A779" s="151"/>
      <c r="B779" s="151"/>
      <c r="K779" s="123"/>
      <c r="M779" s="123"/>
      <c r="N779" s="213"/>
    </row>
    <row r="780">
      <c r="A780" s="151"/>
      <c r="B780" s="151"/>
      <c r="K780" s="123"/>
      <c r="M780" s="123"/>
      <c r="N780" s="213"/>
    </row>
    <row r="781">
      <c r="A781" s="151"/>
      <c r="B781" s="151"/>
      <c r="K781" s="123"/>
      <c r="M781" s="123"/>
      <c r="N781" s="213"/>
    </row>
    <row r="782">
      <c r="A782" s="151"/>
      <c r="B782" s="151"/>
      <c r="K782" s="123"/>
      <c r="M782" s="123"/>
      <c r="N782" s="213"/>
    </row>
    <row r="783">
      <c r="A783" s="151"/>
      <c r="B783" s="151"/>
      <c r="K783" s="123"/>
      <c r="M783" s="123"/>
      <c r="N783" s="213"/>
    </row>
    <row r="784">
      <c r="A784" s="151"/>
      <c r="B784" s="151"/>
      <c r="K784" s="123"/>
      <c r="M784" s="123"/>
      <c r="N784" s="213"/>
    </row>
    <row r="785">
      <c r="A785" s="151"/>
      <c r="B785" s="151"/>
      <c r="K785" s="123"/>
      <c r="M785" s="123"/>
      <c r="N785" s="213"/>
    </row>
    <row r="786">
      <c r="A786" s="151"/>
      <c r="B786" s="151"/>
      <c r="K786" s="123"/>
      <c r="M786" s="123"/>
      <c r="N786" s="213"/>
    </row>
    <row r="787">
      <c r="A787" s="151"/>
      <c r="B787" s="151"/>
      <c r="K787" s="123"/>
      <c r="M787" s="123"/>
      <c r="N787" s="213"/>
    </row>
    <row r="788">
      <c r="A788" s="151"/>
      <c r="B788" s="151"/>
      <c r="K788" s="123"/>
      <c r="M788" s="123"/>
      <c r="N788" s="213"/>
    </row>
    <row r="789">
      <c r="A789" s="151"/>
      <c r="B789" s="151"/>
      <c r="K789" s="123"/>
      <c r="M789" s="123"/>
      <c r="N789" s="213"/>
    </row>
    <row r="790">
      <c r="A790" s="151"/>
      <c r="B790" s="151"/>
      <c r="K790" s="123"/>
      <c r="M790" s="123"/>
      <c r="N790" s="213"/>
    </row>
    <row r="791">
      <c r="A791" s="151"/>
      <c r="B791" s="151"/>
      <c r="K791" s="123"/>
      <c r="M791" s="123"/>
      <c r="N791" s="213"/>
    </row>
    <row r="792">
      <c r="A792" s="151"/>
      <c r="B792" s="151"/>
      <c r="K792" s="123"/>
      <c r="M792" s="123"/>
      <c r="N792" s="213"/>
    </row>
    <row r="793">
      <c r="A793" s="151"/>
      <c r="B793" s="151"/>
      <c r="K793" s="123"/>
      <c r="M793" s="123"/>
      <c r="N793" s="213"/>
    </row>
    <row r="794">
      <c r="A794" s="151"/>
      <c r="B794" s="151"/>
      <c r="K794" s="123"/>
      <c r="M794" s="123"/>
      <c r="N794" s="213"/>
    </row>
    <row r="795">
      <c r="A795" s="151"/>
      <c r="B795" s="151"/>
      <c r="K795" s="123"/>
      <c r="M795" s="123"/>
      <c r="N795" s="213"/>
    </row>
    <row r="796">
      <c r="A796" s="151"/>
      <c r="B796" s="151"/>
      <c r="K796" s="123"/>
      <c r="M796" s="123"/>
      <c r="N796" s="213"/>
    </row>
    <row r="797">
      <c r="A797" s="151"/>
      <c r="B797" s="151"/>
      <c r="K797" s="123"/>
      <c r="M797" s="123"/>
      <c r="N797" s="213"/>
    </row>
    <row r="798">
      <c r="A798" s="151"/>
      <c r="B798" s="151"/>
      <c r="K798" s="123"/>
      <c r="M798" s="123"/>
      <c r="N798" s="213"/>
    </row>
    <row r="799">
      <c r="A799" s="151"/>
      <c r="B799" s="151"/>
      <c r="K799" s="123"/>
      <c r="M799" s="123"/>
      <c r="N799" s="213"/>
    </row>
    <row r="800">
      <c r="A800" s="151"/>
      <c r="B800" s="151"/>
      <c r="K800" s="123"/>
      <c r="M800" s="123"/>
      <c r="N800" s="213"/>
    </row>
    <row r="801">
      <c r="A801" s="151"/>
      <c r="B801" s="151"/>
      <c r="K801" s="123"/>
      <c r="M801" s="123"/>
      <c r="N801" s="213"/>
    </row>
    <row r="802">
      <c r="A802" s="151"/>
      <c r="B802" s="151"/>
      <c r="K802" s="123"/>
      <c r="M802" s="123"/>
      <c r="N802" s="213"/>
    </row>
    <row r="803">
      <c r="A803" s="151"/>
      <c r="B803" s="151"/>
      <c r="K803" s="123"/>
      <c r="M803" s="123"/>
      <c r="N803" s="213"/>
    </row>
    <row r="804">
      <c r="A804" s="151"/>
      <c r="B804" s="151"/>
      <c r="K804" s="123"/>
      <c r="M804" s="123"/>
      <c r="N804" s="213"/>
    </row>
    <row r="805">
      <c r="A805" s="151"/>
      <c r="B805" s="151"/>
      <c r="K805" s="123"/>
      <c r="M805" s="123"/>
      <c r="N805" s="213"/>
    </row>
    <row r="806">
      <c r="A806" s="151"/>
      <c r="B806" s="151"/>
      <c r="K806" s="123"/>
      <c r="M806" s="123"/>
      <c r="N806" s="213"/>
    </row>
    <row r="807">
      <c r="A807" s="151"/>
      <c r="B807" s="151"/>
      <c r="K807" s="123"/>
      <c r="M807" s="123"/>
      <c r="N807" s="213"/>
    </row>
    <row r="808">
      <c r="A808" s="151"/>
      <c r="B808" s="151"/>
      <c r="K808" s="123"/>
      <c r="M808" s="123"/>
      <c r="N808" s="213"/>
    </row>
    <row r="809">
      <c r="A809" s="151"/>
      <c r="B809" s="151"/>
      <c r="K809" s="123"/>
      <c r="M809" s="123"/>
      <c r="N809" s="213"/>
    </row>
    <row r="810">
      <c r="A810" s="151"/>
      <c r="B810" s="151"/>
      <c r="K810" s="123"/>
      <c r="M810" s="123"/>
      <c r="N810" s="213"/>
    </row>
    <row r="811">
      <c r="A811" s="151"/>
      <c r="B811" s="151"/>
      <c r="K811" s="123"/>
      <c r="M811" s="123"/>
      <c r="N811" s="213"/>
    </row>
    <row r="812">
      <c r="A812" s="151"/>
      <c r="B812" s="151"/>
      <c r="K812" s="123"/>
      <c r="M812" s="123"/>
      <c r="N812" s="213"/>
    </row>
    <row r="813">
      <c r="A813" s="151"/>
      <c r="B813" s="151"/>
      <c r="K813" s="123"/>
      <c r="M813" s="123"/>
      <c r="N813" s="213"/>
    </row>
    <row r="814">
      <c r="A814" s="151"/>
      <c r="B814" s="151"/>
      <c r="K814" s="123"/>
      <c r="M814" s="123"/>
      <c r="N814" s="213"/>
    </row>
    <row r="815">
      <c r="A815" s="151"/>
      <c r="B815" s="151"/>
      <c r="K815" s="123"/>
      <c r="M815" s="123"/>
      <c r="N815" s="213"/>
    </row>
    <row r="816">
      <c r="A816" s="151"/>
      <c r="B816" s="151"/>
      <c r="K816" s="123"/>
      <c r="M816" s="123"/>
      <c r="N816" s="213"/>
    </row>
    <row r="817">
      <c r="A817" s="151"/>
      <c r="B817" s="151"/>
      <c r="K817" s="123"/>
      <c r="M817" s="123"/>
      <c r="N817" s="213"/>
    </row>
    <row r="818">
      <c r="A818" s="151"/>
      <c r="B818" s="151"/>
      <c r="K818" s="123"/>
      <c r="M818" s="123"/>
      <c r="N818" s="213"/>
    </row>
    <row r="819">
      <c r="A819" s="151"/>
      <c r="B819" s="151"/>
      <c r="K819" s="123"/>
      <c r="M819" s="123"/>
      <c r="N819" s="213"/>
    </row>
    <row r="820">
      <c r="A820" s="151"/>
      <c r="B820" s="151"/>
      <c r="K820" s="123"/>
      <c r="M820" s="123"/>
      <c r="N820" s="213"/>
    </row>
    <row r="821">
      <c r="A821" s="151"/>
      <c r="B821" s="151"/>
      <c r="K821" s="123"/>
      <c r="M821" s="123"/>
      <c r="N821" s="213"/>
    </row>
    <row r="822">
      <c r="A822" s="151"/>
      <c r="B822" s="151"/>
      <c r="K822" s="123"/>
      <c r="M822" s="123"/>
      <c r="N822" s="213"/>
    </row>
    <row r="823">
      <c r="A823" s="151"/>
      <c r="B823" s="151"/>
      <c r="K823" s="123"/>
      <c r="M823" s="123"/>
      <c r="N823" s="213"/>
    </row>
    <row r="824">
      <c r="A824" s="151"/>
      <c r="B824" s="151"/>
      <c r="K824" s="123"/>
      <c r="M824" s="123"/>
      <c r="N824" s="213"/>
    </row>
    <row r="825">
      <c r="A825" s="151"/>
      <c r="B825" s="151"/>
      <c r="K825" s="123"/>
      <c r="M825" s="123"/>
      <c r="N825" s="213"/>
    </row>
    <row r="826">
      <c r="A826" s="151"/>
      <c r="B826" s="151"/>
      <c r="K826" s="123"/>
      <c r="M826" s="123"/>
      <c r="N826" s="213"/>
    </row>
    <row r="827">
      <c r="A827" s="151"/>
      <c r="B827" s="151"/>
      <c r="K827" s="123"/>
      <c r="M827" s="123"/>
      <c r="N827" s="213"/>
    </row>
    <row r="828">
      <c r="A828" s="151"/>
      <c r="B828" s="151"/>
      <c r="K828" s="123"/>
      <c r="M828" s="123"/>
      <c r="N828" s="213"/>
    </row>
    <row r="829">
      <c r="A829" s="151"/>
      <c r="B829" s="151"/>
      <c r="K829" s="123"/>
      <c r="M829" s="123"/>
      <c r="N829" s="213"/>
    </row>
    <row r="830">
      <c r="A830" s="151"/>
      <c r="B830" s="151"/>
      <c r="K830" s="123"/>
      <c r="M830" s="123"/>
      <c r="N830" s="213"/>
    </row>
    <row r="831">
      <c r="A831" s="151"/>
      <c r="B831" s="151"/>
      <c r="K831" s="123"/>
      <c r="M831" s="123"/>
      <c r="N831" s="213"/>
    </row>
    <row r="832">
      <c r="A832" s="151"/>
      <c r="B832" s="151"/>
      <c r="K832" s="123"/>
      <c r="M832" s="123"/>
      <c r="N832" s="213"/>
    </row>
    <row r="833">
      <c r="A833" s="151"/>
      <c r="B833" s="151"/>
      <c r="K833" s="123"/>
      <c r="M833" s="123"/>
      <c r="N833" s="213"/>
    </row>
    <row r="834">
      <c r="A834" s="151"/>
      <c r="B834" s="151"/>
      <c r="K834" s="123"/>
      <c r="M834" s="123"/>
      <c r="N834" s="213"/>
    </row>
    <row r="835">
      <c r="A835" s="151"/>
      <c r="B835" s="151"/>
      <c r="K835" s="123"/>
      <c r="M835" s="123"/>
      <c r="N835" s="213"/>
    </row>
    <row r="836">
      <c r="A836" s="151"/>
      <c r="B836" s="151"/>
      <c r="K836" s="123"/>
      <c r="M836" s="123"/>
      <c r="N836" s="213"/>
    </row>
    <row r="837">
      <c r="A837" s="151"/>
      <c r="B837" s="151"/>
      <c r="K837" s="123"/>
      <c r="M837" s="123"/>
      <c r="N837" s="213"/>
    </row>
    <row r="838">
      <c r="A838" s="151"/>
      <c r="B838" s="151"/>
      <c r="K838" s="123"/>
      <c r="M838" s="123"/>
      <c r="N838" s="213"/>
    </row>
    <row r="839">
      <c r="A839" s="151"/>
      <c r="B839" s="151"/>
      <c r="K839" s="123"/>
      <c r="M839" s="123"/>
      <c r="N839" s="213"/>
    </row>
    <row r="840">
      <c r="A840" s="151"/>
      <c r="B840" s="151"/>
      <c r="K840" s="123"/>
      <c r="M840" s="123"/>
      <c r="N840" s="213"/>
    </row>
    <row r="841">
      <c r="A841" s="151"/>
      <c r="B841" s="151"/>
      <c r="K841" s="123"/>
      <c r="M841" s="123"/>
      <c r="N841" s="213"/>
    </row>
    <row r="842">
      <c r="A842" s="151"/>
      <c r="B842" s="151"/>
      <c r="K842" s="123"/>
      <c r="M842" s="123"/>
      <c r="N842" s="213"/>
    </row>
    <row r="843">
      <c r="A843" s="151"/>
      <c r="B843" s="151"/>
      <c r="K843" s="123"/>
      <c r="M843" s="123"/>
      <c r="N843" s="213"/>
    </row>
    <row r="844">
      <c r="A844" s="151"/>
      <c r="B844" s="151"/>
      <c r="K844" s="123"/>
      <c r="M844" s="123"/>
      <c r="N844" s="213"/>
    </row>
    <row r="845">
      <c r="A845" s="151"/>
      <c r="B845" s="151"/>
      <c r="K845" s="123"/>
      <c r="M845" s="123"/>
      <c r="N845" s="213"/>
    </row>
    <row r="846">
      <c r="A846" s="151"/>
      <c r="B846" s="151"/>
      <c r="K846" s="123"/>
      <c r="M846" s="123"/>
      <c r="N846" s="213"/>
    </row>
    <row r="847">
      <c r="A847" s="151"/>
      <c r="B847" s="151"/>
      <c r="K847" s="123"/>
      <c r="M847" s="123"/>
      <c r="N847" s="213"/>
    </row>
    <row r="848">
      <c r="A848" s="151"/>
      <c r="B848" s="151"/>
      <c r="K848" s="123"/>
      <c r="M848" s="123"/>
      <c r="N848" s="213"/>
    </row>
    <row r="849">
      <c r="A849" s="151"/>
      <c r="B849" s="151"/>
      <c r="K849" s="123"/>
      <c r="M849" s="123"/>
      <c r="N849" s="213"/>
    </row>
    <row r="850">
      <c r="A850" s="151"/>
      <c r="B850" s="151"/>
      <c r="K850" s="123"/>
      <c r="M850" s="123"/>
      <c r="N850" s="213"/>
    </row>
    <row r="851">
      <c r="A851" s="151"/>
      <c r="B851" s="151"/>
      <c r="K851" s="123"/>
      <c r="M851" s="123"/>
      <c r="N851" s="213"/>
    </row>
    <row r="852">
      <c r="A852" s="151"/>
      <c r="B852" s="151"/>
      <c r="K852" s="123"/>
      <c r="M852" s="123"/>
      <c r="N852" s="213"/>
    </row>
    <row r="853">
      <c r="A853" s="151"/>
      <c r="B853" s="151"/>
      <c r="K853" s="123"/>
      <c r="M853" s="123"/>
      <c r="N853" s="213"/>
    </row>
    <row r="854">
      <c r="A854" s="151"/>
      <c r="B854" s="151"/>
      <c r="K854" s="123"/>
      <c r="M854" s="123"/>
      <c r="N854" s="213"/>
    </row>
    <row r="855">
      <c r="A855" s="151"/>
      <c r="B855" s="151"/>
      <c r="K855" s="123"/>
      <c r="M855" s="123"/>
      <c r="N855" s="213"/>
    </row>
    <row r="856">
      <c r="A856" s="151"/>
      <c r="B856" s="151"/>
      <c r="K856" s="123"/>
      <c r="M856" s="123"/>
      <c r="N856" s="213"/>
    </row>
    <row r="857">
      <c r="A857" s="151"/>
      <c r="B857" s="151"/>
      <c r="K857" s="123"/>
      <c r="M857" s="123"/>
      <c r="N857" s="213"/>
    </row>
    <row r="858">
      <c r="A858" s="151"/>
      <c r="B858" s="151"/>
      <c r="K858" s="123"/>
      <c r="M858" s="123"/>
      <c r="N858" s="213"/>
    </row>
    <row r="859">
      <c r="A859" s="151"/>
      <c r="B859" s="151"/>
      <c r="K859" s="123"/>
      <c r="M859" s="123"/>
      <c r="N859" s="213"/>
    </row>
    <row r="860">
      <c r="A860" s="151"/>
      <c r="B860" s="151"/>
      <c r="K860" s="123"/>
      <c r="M860" s="123"/>
      <c r="N860" s="213"/>
    </row>
    <row r="861">
      <c r="A861" s="151"/>
      <c r="B861" s="151"/>
      <c r="K861" s="123"/>
      <c r="M861" s="123"/>
      <c r="N861" s="213"/>
    </row>
    <row r="862">
      <c r="A862" s="151"/>
      <c r="B862" s="151"/>
      <c r="K862" s="123"/>
      <c r="M862" s="123"/>
      <c r="N862" s="213"/>
    </row>
    <row r="863">
      <c r="A863" s="151"/>
      <c r="B863" s="151"/>
      <c r="K863" s="123"/>
      <c r="M863" s="123"/>
      <c r="N863" s="213"/>
    </row>
    <row r="864">
      <c r="A864" s="151"/>
      <c r="B864" s="151"/>
      <c r="K864" s="123"/>
      <c r="M864" s="123"/>
      <c r="N864" s="213"/>
    </row>
    <row r="865">
      <c r="A865" s="151"/>
      <c r="B865" s="151"/>
      <c r="K865" s="123"/>
      <c r="M865" s="123"/>
      <c r="N865" s="213"/>
    </row>
    <row r="866">
      <c r="A866" s="151"/>
      <c r="B866" s="151"/>
      <c r="K866" s="123"/>
      <c r="M866" s="123"/>
      <c r="N866" s="213"/>
    </row>
    <row r="867">
      <c r="A867" s="151"/>
      <c r="B867" s="151"/>
      <c r="K867" s="123"/>
      <c r="M867" s="123"/>
      <c r="N867" s="213"/>
    </row>
    <row r="868">
      <c r="A868" s="151"/>
      <c r="B868" s="151"/>
      <c r="K868" s="123"/>
      <c r="M868" s="123"/>
      <c r="N868" s="213"/>
    </row>
    <row r="869">
      <c r="A869" s="151"/>
      <c r="B869" s="151"/>
      <c r="K869" s="123"/>
      <c r="M869" s="123"/>
      <c r="N869" s="213"/>
    </row>
    <row r="870">
      <c r="A870" s="151"/>
      <c r="B870" s="151"/>
      <c r="K870" s="123"/>
      <c r="M870" s="123"/>
      <c r="N870" s="213"/>
    </row>
    <row r="871">
      <c r="A871" s="151"/>
      <c r="B871" s="151"/>
      <c r="K871" s="123"/>
      <c r="M871" s="123"/>
      <c r="N871" s="213"/>
    </row>
    <row r="872">
      <c r="A872" s="151"/>
      <c r="B872" s="151"/>
      <c r="K872" s="123"/>
      <c r="M872" s="123"/>
      <c r="N872" s="213"/>
    </row>
    <row r="873">
      <c r="A873" s="151"/>
      <c r="B873" s="151"/>
      <c r="K873" s="123"/>
      <c r="M873" s="123"/>
      <c r="N873" s="213"/>
    </row>
    <row r="874">
      <c r="A874" s="151"/>
      <c r="B874" s="151"/>
      <c r="K874" s="123"/>
      <c r="M874" s="123"/>
      <c r="N874" s="213"/>
    </row>
    <row r="875">
      <c r="A875" s="151"/>
      <c r="B875" s="151"/>
      <c r="K875" s="123"/>
      <c r="M875" s="123"/>
      <c r="N875" s="213"/>
    </row>
    <row r="876">
      <c r="A876" s="151"/>
      <c r="B876" s="151"/>
      <c r="K876" s="123"/>
      <c r="M876" s="123"/>
      <c r="N876" s="213"/>
    </row>
    <row r="877">
      <c r="A877" s="151"/>
      <c r="B877" s="151"/>
      <c r="K877" s="123"/>
      <c r="M877" s="123"/>
      <c r="N877" s="213"/>
    </row>
    <row r="878">
      <c r="A878" s="151"/>
      <c r="B878" s="151"/>
      <c r="K878" s="123"/>
      <c r="M878" s="123"/>
      <c r="N878" s="213"/>
    </row>
    <row r="879">
      <c r="A879" s="151"/>
      <c r="B879" s="151"/>
      <c r="K879" s="123"/>
      <c r="M879" s="123"/>
      <c r="N879" s="213"/>
    </row>
    <row r="880">
      <c r="A880" s="151"/>
      <c r="B880" s="151"/>
      <c r="K880" s="123"/>
      <c r="M880" s="123"/>
      <c r="N880" s="213"/>
    </row>
    <row r="881">
      <c r="A881" s="151"/>
      <c r="B881" s="151"/>
      <c r="K881" s="123"/>
      <c r="M881" s="123"/>
      <c r="N881" s="213"/>
    </row>
    <row r="882">
      <c r="A882" s="151"/>
      <c r="B882" s="151"/>
      <c r="K882" s="123"/>
      <c r="M882" s="123"/>
      <c r="N882" s="213"/>
    </row>
    <row r="883">
      <c r="A883" s="151"/>
      <c r="B883" s="151"/>
      <c r="K883" s="123"/>
      <c r="M883" s="123"/>
      <c r="N883" s="213"/>
    </row>
    <row r="884">
      <c r="A884" s="151"/>
      <c r="B884" s="151"/>
      <c r="K884" s="123"/>
      <c r="M884" s="123"/>
      <c r="N884" s="213"/>
    </row>
    <row r="885">
      <c r="A885" s="151"/>
      <c r="B885" s="151"/>
      <c r="K885" s="123"/>
      <c r="M885" s="123"/>
      <c r="N885" s="213"/>
    </row>
    <row r="886">
      <c r="A886" s="151"/>
      <c r="B886" s="151"/>
      <c r="K886" s="123"/>
      <c r="M886" s="123"/>
      <c r="N886" s="213"/>
    </row>
    <row r="887">
      <c r="A887" s="151"/>
      <c r="B887" s="151"/>
      <c r="K887" s="123"/>
      <c r="M887" s="123"/>
      <c r="N887" s="213"/>
    </row>
    <row r="888">
      <c r="A888" s="151"/>
      <c r="B888" s="151"/>
      <c r="K888" s="123"/>
      <c r="M888" s="123"/>
      <c r="N888" s="213"/>
    </row>
    <row r="889">
      <c r="A889" s="151"/>
      <c r="B889" s="151"/>
      <c r="K889" s="123"/>
      <c r="M889" s="123"/>
      <c r="N889" s="213"/>
    </row>
    <row r="890">
      <c r="A890" s="151"/>
      <c r="B890" s="151"/>
      <c r="K890" s="123"/>
      <c r="M890" s="123"/>
      <c r="N890" s="213"/>
    </row>
    <row r="891">
      <c r="A891" s="151"/>
      <c r="B891" s="151"/>
      <c r="K891" s="123"/>
      <c r="M891" s="123"/>
      <c r="N891" s="213"/>
    </row>
    <row r="892">
      <c r="A892" s="151"/>
      <c r="B892" s="151"/>
      <c r="K892" s="123"/>
      <c r="M892" s="123"/>
      <c r="N892" s="213"/>
    </row>
    <row r="893">
      <c r="A893" s="151"/>
      <c r="B893" s="151"/>
      <c r="K893" s="123"/>
      <c r="M893" s="123"/>
      <c r="N893" s="213"/>
    </row>
    <row r="894">
      <c r="A894" s="151"/>
      <c r="B894" s="151"/>
      <c r="K894" s="123"/>
      <c r="M894" s="123"/>
      <c r="N894" s="213"/>
    </row>
    <row r="895">
      <c r="A895" s="151"/>
      <c r="B895" s="151"/>
      <c r="K895" s="123"/>
      <c r="M895" s="123"/>
      <c r="N895" s="213"/>
    </row>
    <row r="896">
      <c r="A896" s="151"/>
      <c r="B896" s="151"/>
      <c r="K896" s="123"/>
      <c r="M896" s="123"/>
      <c r="N896" s="213"/>
    </row>
    <row r="897">
      <c r="A897" s="151"/>
      <c r="B897" s="151"/>
      <c r="K897" s="123"/>
      <c r="M897" s="123"/>
      <c r="N897" s="213"/>
    </row>
    <row r="898">
      <c r="A898" s="151"/>
      <c r="B898" s="151"/>
      <c r="K898" s="123"/>
      <c r="M898" s="123"/>
      <c r="N898" s="213"/>
    </row>
    <row r="899">
      <c r="A899" s="151"/>
      <c r="B899" s="151"/>
      <c r="K899" s="123"/>
      <c r="M899" s="123"/>
      <c r="N899" s="213"/>
    </row>
    <row r="900">
      <c r="A900" s="151"/>
      <c r="B900" s="151"/>
      <c r="K900" s="123"/>
      <c r="M900" s="123"/>
      <c r="N900" s="213"/>
    </row>
    <row r="901">
      <c r="A901" s="151"/>
      <c r="B901" s="151"/>
      <c r="K901" s="123"/>
      <c r="M901" s="123"/>
      <c r="N901" s="213"/>
    </row>
    <row r="902">
      <c r="A902" s="151"/>
      <c r="B902" s="151"/>
      <c r="K902" s="123"/>
      <c r="M902" s="123"/>
      <c r="N902" s="213"/>
    </row>
    <row r="903">
      <c r="A903" s="151"/>
      <c r="B903" s="151"/>
      <c r="K903" s="123"/>
      <c r="M903" s="123"/>
      <c r="N903" s="213"/>
    </row>
    <row r="904">
      <c r="A904" s="151"/>
      <c r="B904" s="151"/>
      <c r="K904" s="123"/>
      <c r="M904" s="123"/>
      <c r="N904" s="213"/>
    </row>
    <row r="905">
      <c r="A905" s="151"/>
      <c r="B905" s="151"/>
      <c r="K905" s="123"/>
      <c r="M905" s="123"/>
      <c r="N905" s="213"/>
    </row>
    <row r="906">
      <c r="A906" s="151"/>
      <c r="B906" s="151"/>
      <c r="K906" s="123"/>
      <c r="M906" s="123"/>
      <c r="N906" s="213"/>
    </row>
    <row r="907">
      <c r="A907" s="151"/>
      <c r="B907" s="151"/>
      <c r="K907" s="123"/>
      <c r="M907" s="123"/>
      <c r="N907" s="213"/>
    </row>
    <row r="908">
      <c r="A908" s="151"/>
      <c r="B908" s="151"/>
      <c r="K908" s="123"/>
      <c r="M908" s="123"/>
      <c r="N908" s="213"/>
    </row>
    <row r="909">
      <c r="A909" s="151"/>
      <c r="B909" s="151"/>
      <c r="K909" s="123"/>
      <c r="M909" s="123"/>
      <c r="N909" s="213"/>
    </row>
    <row r="910">
      <c r="A910" s="151"/>
      <c r="B910" s="151"/>
      <c r="K910" s="123"/>
      <c r="M910" s="123"/>
      <c r="N910" s="213"/>
    </row>
    <row r="911">
      <c r="A911" s="151"/>
      <c r="B911" s="151"/>
      <c r="K911" s="123"/>
      <c r="M911" s="123"/>
      <c r="N911" s="213"/>
    </row>
    <row r="912">
      <c r="A912" s="151"/>
      <c r="B912" s="151"/>
      <c r="K912" s="123"/>
      <c r="M912" s="123"/>
      <c r="N912" s="213"/>
    </row>
    <row r="913">
      <c r="A913" s="151"/>
      <c r="B913" s="151"/>
      <c r="K913" s="123"/>
      <c r="M913" s="123"/>
      <c r="N913" s="213"/>
    </row>
    <row r="914">
      <c r="A914" s="151"/>
      <c r="B914" s="151"/>
      <c r="K914" s="123"/>
      <c r="M914" s="123"/>
      <c r="N914" s="213"/>
    </row>
    <row r="915">
      <c r="A915" s="151"/>
      <c r="B915" s="151"/>
      <c r="K915" s="123"/>
      <c r="M915" s="123"/>
      <c r="N915" s="213"/>
    </row>
    <row r="916">
      <c r="A916" s="151"/>
      <c r="B916" s="151"/>
      <c r="K916" s="123"/>
      <c r="M916" s="123"/>
      <c r="N916" s="213"/>
    </row>
    <row r="917">
      <c r="A917" s="151"/>
      <c r="B917" s="151"/>
      <c r="K917" s="123"/>
      <c r="M917" s="123"/>
      <c r="N917" s="213"/>
    </row>
    <row r="918">
      <c r="A918" s="151"/>
      <c r="B918" s="151"/>
      <c r="K918" s="123"/>
      <c r="M918" s="123"/>
      <c r="N918" s="213"/>
    </row>
    <row r="919">
      <c r="A919" s="151"/>
      <c r="B919" s="151"/>
      <c r="K919" s="123"/>
      <c r="M919" s="123"/>
      <c r="N919" s="213"/>
    </row>
    <row r="920">
      <c r="A920" s="151"/>
      <c r="B920" s="151"/>
      <c r="K920" s="123"/>
      <c r="M920" s="123"/>
      <c r="N920" s="213"/>
    </row>
    <row r="921">
      <c r="A921" s="151"/>
      <c r="B921" s="151"/>
      <c r="K921" s="123"/>
      <c r="M921" s="123"/>
      <c r="N921" s="213"/>
    </row>
    <row r="922">
      <c r="A922" s="151"/>
      <c r="B922" s="151"/>
      <c r="K922" s="123"/>
      <c r="M922" s="123"/>
      <c r="N922" s="213"/>
    </row>
    <row r="923">
      <c r="A923" s="151"/>
      <c r="B923" s="151"/>
      <c r="K923" s="123"/>
      <c r="M923" s="123"/>
      <c r="N923" s="213"/>
    </row>
    <row r="924">
      <c r="A924" s="151"/>
      <c r="B924" s="151"/>
      <c r="K924" s="123"/>
      <c r="M924" s="123"/>
      <c r="N924" s="213"/>
    </row>
    <row r="925">
      <c r="A925" s="151"/>
      <c r="B925" s="151"/>
      <c r="K925" s="123"/>
      <c r="M925" s="123"/>
      <c r="N925" s="213"/>
    </row>
    <row r="926">
      <c r="A926" s="151"/>
      <c r="B926" s="151"/>
      <c r="K926" s="123"/>
      <c r="M926" s="123"/>
      <c r="N926" s="213"/>
    </row>
    <row r="927">
      <c r="A927" s="151"/>
      <c r="B927" s="151"/>
      <c r="K927" s="123"/>
      <c r="M927" s="123"/>
      <c r="N927" s="213"/>
    </row>
    <row r="928">
      <c r="A928" s="151"/>
      <c r="B928" s="151"/>
      <c r="K928" s="123"/>
      <c r="M928" s="123"/>
      <c r="N928" s="213"/>
    </row>
    <row r="929">
      <c r="A929" s="151"/>
      <c r="B929" s="151"/>
      <c r="K929" s="123"/>
      <c r="M929" s="123"/>
      <c r="N929" s="213"/>
    </row>
    <row r="930">
      <c r="A930" s="151"/>
      <c r="B930" s="151"/>
      <c r="K930" s="123"/>
      <c r="M930" s="123"/>
      <c r="N930" s="213"/>
    </row>
    <row r="931">
      <c r="A931" s="151"/>
      <c r="B931" s="151"/>
      <c r="K931" s="123"/>
      <c r="M931" s="123"/>
      <c r="N931" s="213"/>
    </row>
    <row r="932">
      <c r="A932" s="151"/>
      <c r="B932" s="151"/>
      <c r="K932" s="123"/>
      <c r="M932" s="123"/>
      <c r="N932" s="213"/>
    </row>
    <row r="933">
      <c r="A933" s="151"/>
      <c r="B933" s="151"/>
      <c r="K933" s="123"/>
      <c r="M933" s="123"/>
      <c r="N933" s="213"/>
    </row>
    <row r="934">
      <c r="A934" s="151"/>
      <c r="B934" s="151"/>
      <c r="K934" s="123"/>
      <c r="M934" s="123"/>
      <c r="N934" s="213"/>
    </row>
    <row r="935">
      <c r="A935" s="151"/>
      <c r="B935" s="151"/>
      <c r="K935" s="123"/>
      <c r="M935" s="123"/>
      <c r="N935" s="213"/>
    </row>
    <row r="936">
      <c r="A936" s="151"/>
      <c r="B936" s="151"/>
      <c r="K936" s="123"/>
      <c r="M936" s="123"/>
      <c r="N936" s="213"/>
    </row>
    <row r="937">
      <c r="A937" s="151"/>
      <c r="B937" s="151"/>
      <c r="K937" s="123"/>
      <c r="M937" s="123"/>
      <c r="N937" s="213"/>
    </row>
    <row r="938">
      <c r="A938" s="151"/>
      <c r="B938" s="151"/>
      <c r="K938" s="123"/>
      <c r="M938" s="123"/>
      <c r="N938" s="213"/>
    </row>
    <row r="939">
      <c r="A939" s="151"/>
      <c r="B939" s="151"/>
      <c r="K939" s="123"/>
      <c r="M939" s="123"/>
      <c r="N939" s="213"/>
    </row>
    <row r="940">
      <c r="A940" s="151"/>
      <c r="B940" s="151"/>
      <c r="K940" s="123"/>
      <c r="M940" s="123"/>
      <c r="N940" s="213"/>
    </row>
    <row r="941">
      <c r="A941" s="151"/>
      <c r="B941" s="151"/>
      <c r="K941" s="123"/>
      <c r="M941" s="123"/>
      <c r="N941" s="213"/>
    </row>
    <row r="942">
      <c r="A942" s="151"/>
      <c r="B942" s="151"/>
      <c r="K942" s="123"/>
      <c r="M942" s="123"/>
      <c r="N942" s="213"/>
    </row>
    <row r="943">
      <c r="A943" s="151"/>
      <c r="B943" s="151"/>
      <c r="K943" s="123"/>
      <c r="M943" s="123"/>
      <c r="N943" s="213"/>
    </row>
    <row r="944">
      <c r="A944" s="151"/>
      <c r="B944" s="151"/>
      <c r="K944" s="123"/>
      <c r="M944" s="123"/>
      <c r="N944" s="213"/>
    </row>
    <row r="945">
      <c r="A945" s="151"/>
      <c r="B945" s="151"/>
      <c r="K945" s="123"/>
      <c r="M945" s="123"/>
      <c r="N945" s="213"/>
    </row>
    <row r="946">
      <c r="A946" s="151"/>
      <c r="B946" s="151"/>
      <c r="K946" s="123"/>
      <c r="M946" s="123"/>
      <c r="N946" s="213"/>
    </row>
    <row r="947">
      <c r="A947" s="151"/>
      <c r="B947" s="151"/>
      <c r="K947" s="123"/>
      <c r="M947" s="123"/>
      <c r="N947" s="213"/>
    </row>
    <row r="948">
      <c r="A948" s="151"/>
      <c r="B948" s="151"/>
      <c r="K948" s="123"/>
      <c r="M948" s="123"/>
      <c r="N948" s="213"/>
    </row>
    <row r="949">
      <c r="A949" s="151"/>
      <c r="B949" s="151"/>
      <c r="K949" s="123"/>
      <c r="M949" s="123"/>
      <c r="N949" s="213"/>
    </row>
    <row r="950">
      <c r="A950" s="151"/>
      <c r="B950" s="151"/>
      <c r="K950" s="123"/>
      <c r="M950" s="123"/>
      <c r="N950" s="213"/>
    </row>
    <row r="951">
      <c r="A951" s="151"/>
      <c r="B951" s="151"/>
      <c r="K951" s="123"/>
      <c r="M951" s="123"/>
      <c r="N951" s="213"/>
    </row>
    <row r="952">
      <c r="A952" s="151"/>
      <c r="B952" s="151"/>
      <c r="K952" s="123"/>
      <c r="M952" s="123"/>
      <c r="N952" s="213"/>
    </row>
    <row r="953">
      <c r="A953" s="151"/>
      <c r="B953" s="151"/>
      <c r="K953" s="123"/>
      <c r="M953" s="123"/>
      <c r="N953" s="213"/>
    </row>
    <row r="954">
      <c r="A954" s="151"/>
      <c r="B954" s="151"/>
      <c r="K954" s="123"/>
      <c r="M954" s="123"/>
      <c r="N954" s="213"/>
    </row>
    <row r="955">
      <c r="A955" s="151"/>
      <c r="B955" s="151"/>
      <c r="K955" s="123"/>
      <c r="M955" s="123"/>
      <c r="N955" s="213"/>
    </row>
    <row r="956">
      <c r="A956" s="151"/>
      <c r="B956" s="151"/>
      <c r="K956" s="123"/>
      <c r="M956" s="123"/>
      <c r="N956" s="213"/>
    </row>
    <row r="957">
      <c r="A957" s="151"/>
      <c r="B957" s="151"/>
      <c r="K957" s="123"/>
      <c r="M957" s="123"/>
      <c r="N957" s="213"/>
    </row>
    <row r="958">
      <c r="A958" s="151"/>
      <c r="B958" s="151"/>
      <c r="K958" s="123"/>
      <c r="M958" s="123"/>
      <c r="N958" s="213"/>
    </row>
    <row r="959">
      <c r="A959" s="151"/>
      <c r="B959" s="151"/>
      <c r="K959" s="123"/>
      <c r="M959" s="123"/>
      <c r="N959" s="213"/>
    </row>
    <row r="960">
      <c r="A960" s="151"/>
      <c r="B960" s="151"/>
      <c r="K960" s="123"/>
      <c r="M960" s="123"/>
      <c r="N960" s="213"/>
    </row>
    <row r="961">
      <c r="A961" s="151"/>
      <c r="B961" s="151"/>
      <c r="K961" s="123"/>
      <c r="M961" s="123"/>
      <c r="N961" s="213"/>
    </row>
    <row r="962">
      <c r="A962" s="151"/>
      <c r="B962" s="151"/>
      <c r="K962" s="123"/>
      <c r="M962" s="123"/>
      <c r="N962" s="213"/>
    </row>
    <row r="963">
      <c r="A963" s="151"/>
      <c r="B963" s="151"/>
      <c r="K963" s="123"/>
      <c r="M963" s="123"/>
      <c r="N963" s="213"/>
    </row>
    <row r="964">
      <c r="A964" s="151"/>
      <c r="B964" s="151"/>
      <c r="K964" s="123"/>
      <c r="M964" s="123"/>
      <c r="N964" s="213"/>
    </row>
    <row r="965">
      <c r="A965" s="151"/>
      <c r="B965" s="151"/>
      <c r="K965" s="123"/>
      <c r="M965" s="123"/>
      <c r="N965" s="213"/>
    </row>
    <row r="966">
      <c r="A966" s="151"/>
      <c r="B966" s="151"/>
      <c r="K966" s="123"/>
      <c r="M966" s="123"/>
      <c r="N966" s="213"/>
    </row>
    <row r="967">
      <c r="A967" s="151"/>
      <c r="B967" s="151"/>
      <c r="K967" s="123"/>
      <c r="M967" s="123"/>
      <c r="N967" s="213"/>
    </row>
    <row r="968">
      <c r="A968" s="151"/>
      <c r="B968" s="151"/>
      <c r="K968" s="123"/>
      <c r="M968" s="123"/>
      <c r="N968" s="213"/>
    </row>
    <row r="969">
      <c r="A969" s="151"/>
      <c r="B969" s="151"/>
      <c r="K969" s="123"/>
      <c r="M969" s="123"/>
      <c r="N969" s="213"/>
    </row>
    <row r="970">
      <c r="A970" s="151"/>
      <c r="B970" s="151"/>
      <c r="K970" s="123"/>
      <c r="M970" s="123"/>
      <c r="N970" s="213"/>
    </row>
    <row r="971">
      <c r="A971" s="151"/>
      <c r="B971" s="151"/>
      <c r="K971" s="123"/>
      <c r="M971" s="123"/>
      <c r="N971" s="213"/>
    </row>
    <row r="972">
      <c r="A972" s="151"/>
      <c r="B972" s="151"/>
      <c r="K972" s="123"/>
      <c r="M972" s="123"/>
      <c r="N972" s="213"/>
    </row>
    <row r="973">
      <c r="A973" s="151"/>
      <c r="B973" s="151"/>
      <c r="K973" s="123"/>
      <c r="M973" s="123"/>
      <c r="N973" s="213"/>
    </row>
    <row r="974">
      <c r="A974" s="151"/>
      <c r="B974" s="151"/>
      <c r="K974" s="123"/>
      <c r="M974" s="123"/>
      <c r="N974" s="213"/>
    </row>
    <row r="975">
      <c r="A975" s="151"/>
      <c r="B975" s="151"/>
      <c r="K975" s="123"/>
      <c r="M975" s="123"/>
      <c r="N975" s="213"/>
    </row>
    <row r="976">
      <c r="A976" s="151"/>
      <c r="B976" s="151"/>
      <c r="K976" s="123"/>
      <c r="M976" s="123"/>
      <c r="N976" s="213"/>
    </row>
    <row r="977">
      <c r="A977" s="151"/>
      <c r="B977" s="151"/>
      <c r="K977" s="123"/>
      <c r="M977" s="123"/>
      <c r="N977" s="213"/>
    </row>
    <row r="978">
      <c r="A978" s="151"/>
      <c r="B978" s="151"/>
      <c r="K978" s="123"/>
      <c r="M978" s="123"/>
      <c r="N978" s="213"/>
    </row>
    <row r="979">
      <c r="A979" s="151"/>
      <c r="B979" s="151"/>
      <c r="K979" s="123"/>
      <c r="M979" s="123"/>
      <c r="N979" s="213"/>
    </row>
    <row r="980">
      <c r="A980" s="151"/>
      <c r="B980" s="151"/>
      <c r="K980" s="123"/>
      <c r="M980" s="123"/>
      <c r="N980" s="213"/>
    </row>
    <row r="981">
      <c r="A981" s="151"/>
      <c r="B981" s="151"/>
      <c r="K981" s="123"/>
      <c r="M981" s="123"/>
      <c r="N981" s="213"/>
    </row>
    <row r="982">
      <c r="A982" s="151"/>
      <c r="B982" s="151"/>
      <c r="K982" s="123"/>
      <c r="M982" s="123"/>
      <c r="N982" s="213"/>
    </row>
    <row r="983">
      <c r="A983" s="151"/>
      <c r="B983" s="151"/>
      <c r="K983" s="123"/>
      <c r="M983" s="123"/>
      <c r="N983" s="213"/>
    </row>
    <row r="984">
      <c r="A984" s="151"/>
      <c r="B984" s="151"/>
      <c r="K984" s="123"/>
      <c r="M984" s="123"/>
      <c r="N984" s="213"/>
    </row>
    <row r="985">
      <c r="A985" s="151"/>
      <c r="B985" s="151"/>
      <c r="K985" s="123"/>
      <c r="M985" s="123"/>
      <c r="N985" s="213"/>
    </row>
    <row r="986">
      <c r="A986" s="151"/>
      <c r="B986" s="151"/>
      <c r="K986" s="123"/>
      <c r="M986" s="123"/>
      <c r="N986" s="213"/>
    </row>
    <row r="987">
      <c r="A987" s="151"/>
      <c r="B987" s="151"/>
      <c r="K987" s="123"/>
      <c r="M987" s="123"/>
      <c r="N987" s="213"/>
    </row>
    <row r="988">
      <c r="A988" s="151"/>
      <c r="B988" s="151"/>
      <c r="K988" s="123"/>
      <c r="M988" s="123"/>
      <c r="N988" s="213"/>
    </row>
    <row r="989">
      <c r="A989" s="151"/>
      <c r="B989" s="151"/>
      <c r="K989" s="123"/>
      <c r="M989" s="123"/>
      <c r="N989" s="213"/>
    </row>
    <row r="990">
      <c r="A990" s="151"/>
      <c r="B990" s="151"/>
      <c r="K990" s="123"/>
      <c r="M990" s="123"/>
      <c r="N990" s="213"/>
    </row>
    <row r="991">
      <c r="A991" s="151"/>
      <c r="B991" s="151"/>
      <c r="K991" s="123"/>
      <c r="M991" s="123"/>
      <c r="N991" s="213"/>
    </row>
    <row r="992">
      <c r="A992" s="151"/>
      <c r="B992" s="151"/>
      <c r="K992" s="123"/>
      <c r="M992" s="123"/>
      <c r="N992" s="213"/>
    </row>
    <row r="993">
      <c r="A993" s="151"/>
      <c r="B993" s="151"/>
      <c r="K993" s="123"/>
      <c r="M993" s="123"/>
      <c r="N993" s="213"/>
    </row>
    <row r="994">
      <c r="A994" s="151"/>
      <c r="B994" s="151"/>
      <c r="K994" s="123"/>
      <c r="M994" s="123"/>
      <c r="N994" s="213"/>
    </row>
    <row r="995">
      <c r="A995" s="151"/>
      <c r="B995" s="151"/>
      <c r="K995" s="123"/>
      <c r="M995" s="123"/>
      <c r="N995" s="213"/>
    </row>
    <row r="996">
      <c r="A996" s="151"/>
      <c r="B996" s="151"/>
      <c r="K996" s="123"/>
      <c r="M996" s="123"/>
      <c r="N996" s="213"/>
    </row>
    <row r="997">
      <c r="A997" s="151"/>
      <c r="B997" s="151"/>
      <c r="K997" s="123"/>
      <c r="M997" s="123"/>
      <c r="N997" s="213"/>
    </row>
    <row r="998">
      <c r="A998" s="151"/>
      <c r="B998" s="151"/>
      <c r="K998" s="123"/>
      <c r="M998" s="123"/>
      <c r="N998" s="213"/>
    </row>
    <row r="999">
      <c r="A999" s="151"/>
      <c r="B999" s="151"/>
      <c r="K999" s="123"/>
      <c r="M999" s="123"/>
      <c r="N999" s="213"/>
    </row>
  </sheetData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18"/>
    <hyperlink r:id="rId18" ref="X19"/>
    <hyperlink r:id="rId19" ref="X20"/>
    <hyperlink r:id="rId20" ref="X21"/>
    <hyperlink r:id="rId21" ref="X22"/>
    <hyperlink r:id="rId22" ref="X23"/>
    <hyperlink r:id="rId23" ref="X24"/>
    <hyperlink r:id="rId24" ref="X25"/>
    <hyperlink r:id="rId25" ref="X26"/>
    <hyperlink r:id="rId26" ref="X27"/>
    <hyperlink r:id="rId27" ref="X28"/>
    <hyperlink r:id="rId28" ref="X29"/>
    <hyperlink r:id="rId29" ref="X30"/>
    <hyperlink r:id="rId30" ref="X31"/>
    <hyperlink r:id="rId31" ref="X32"/>
    <hyperlink r:id="rId32" ref="X33"/>
    <hyperlink r:id="rId33" ref="X34"/>
    <hyperlink r:id="rId34" ref="X35"/>
    <hyperlink r:id="rId35" ref="X36"/>
    <hyperlink r:id="rId36" ref="X37"/>
    <hyperlink r:id="rId37" ref="X38"/>
    <hyperlink r:id="rId38" ref="X39"/>
    <hyperlink r:id="rId39" ref="X40"/>
    <hyperlink r:id="rId40" ref="X41"/>
    <hyperlink r:id="rId41" ref="X42"/>
    <hyperlink r:id="rId42" ref="X43"/>
    <hyperlink r:id="rId43" ref="X44"/>
    <hyperlink r:id="rId44" ref="X45"/>
    <hyperlink r:id="rId45" ref="X46"/>
    <hyperlink r:id="rId46" ref="X47"/>
    <hyperlink r:id="rId47" ref="X48"/>
    <hyperlink r:id="rId48" ref="X49"/>
    <hyperlink r:id="rId49" ref="X50"/>
    <hyperlink r:id="rId50" ref="X51"/>
    <hyperlink r:id="rId51" ref="X52"/>
    <hyperlink r:id="rId52" ref="X53"/>
    <hyperlink r:id="rId53" ref="X54"/>
    <hyperlink r:id="rId54" ref="X55"/>
    <hyperlink r:id="rId55" ref="X56"/>
    <hyperlink r:id="rId56" ref="X57"/>
    <hyperlink r:id="rId57" ref="X58"/>
    <hyperlink r:id="rId58" ref="X59"/>
    <hyperlink r:id="rId59" ref="X60"/>
    <hyperlink r:id="rId60" ref="X61"/>
    <hyperlink r:id="rId61" ref="X62"/>
    <hyperlink r:id="rId62" ref="X63"/>
    <hyperlink r:id="rId63" ref="X64"/>
    <hyperlink r:id="rId64" ref="X65"/>
    <hyperlink r:id="rId65" ref="X66"/>
    <hyperlink r:id="rId66" ref="X67"/>
    <hyperlink r:id="rId67" ref="X68"/>
    <hyperlink r:id="rId68" ref="X69"/>
    <hyperlink r:id="rId69" ref="X70"/>
    <hyperlink r:id="rId70" ref="X71"/>
    <hyperlink r:id="rId71" ref="X72"/>
    <hyperlink r:id="rId72" ref="X73"/>
    <hyperlink r:id="rId73" ref="X74"/>
    <hyperlink r:id="rId74" ref="X75"/>
    <hyperlink r:id="rId75" ref="X76"/>
    <hyperlink r:id="rId76" ref="X77"/>
    <hyperlink r:id="rId77" ref="X78"/>
  </hyperlinks>
  <drawing r:id="rId78"/>
  <tableParts count="4">
    <tablePart r:id="rId83"/>
    <tablePart r:id="rId84"/>
    <tablePart r:id="rId85"/>
    <tablePart r:id="rId8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2.0"/>
    <col customWidth="1" min="3" max="3" width="10.0"/>
    <col customWidth="1" min="4" max="4" width="19.5"/>
    <col customWidth="1" min="6" max="6" width="23.88"/>
    <col customWidth="1" min="24" max="24" width="11.63"/>
    <col customWidth="1" min="35" max="38" width="18.88"/>
  </cols>
  <sheetData>
    <row r="1">
      <c r="A1" s="158" t="s">
        <v>1382</v>
      </c>
      <c r="B1" s="147" t="s">
        <v>378</v>
      </c>
      <c r="C1" s="144" t="s">
        <v>380</v>
      </c>
      <c r="D1" s="144" t="s">
        <v>381</v>
      </c>
      <c r="E1" s="144" t="s">
        <v>508</v>
      </c>
      <c r="F1" s="146" t="s">
        <v>1383</v>
      </c>
      <c r="G1" s="144" t="s">
        <v>510</v>
      </c>
      <c r="H1" s="144" t="s">
        <v>690</v>
      </c>
      <c r="I1" s="144" t="s">
        <v>691</v>
      </c>
      <c r="J1" s="144" t="s">
        <v>511</v>
      </c>
      <c r="K1" s="144" t="s">
        <v>967</v>
      </c>
      <c r="L1" s="187" t="s">
        <v>1384</v>
      </c>
      <c r="M1" s="146" t="s">
        <v>1385</v>
      </c>
      <c r="N1" s="187" t="s">
        <v>1386</v>
      </c>
      <c r="O1" s="199" t="s">
        <v>1387</v>
      </c>
      <c r="P1" s="146" t="s">
        <v>1388</v>
      </c>
      <c r="Q1" s="146" t="s">
        <v>1389</v>
      </c>
      <c r="R1" s="146" t="s">
        <v>695</v>
      </c>
      <c r="S1" s="146" t="s">
        <v>1390</v>
      </c>
      <c r="T1" s="146" t="s">
        <v>1391</v>
      </c>
      <c r="U1" s="146" t="s">
        <v>1392</v>
      </c>
      <c r="V1" s="146" t="s">
        <v>1393</v>
      </c>
      <c r="W1" s="146" t="s">
        <v>982</v>
      </c>
      <c r="X1" s="147" t="s">
        <v>515</v>
      </c>
      <c r="Y1" s="147" t="s">
        <v>701</v>
      </c>
      <c r="Z1" s="147" t="s">
        <v>1394</v>
      </c>
      <c r="AA1" s="147" t="s">
        <v>519</v>
      </c>
      <c r="AB1" s="147" t="s">
        <v>703</v>
      </c>
      <c r="AC1" s="147" t="s">
        <v>704</v>
      </c>
      <c r="AD1" s="147" t="s">
        <v>1395</v>
      </c>
      <c r="AE1" s="147" t="s">
        <v>523</v>
      </c>
      <c r="AF1" s="147" t="s">
        <v>706</v>
      </c>
      <c r="AG1" s="147" t="s">
        <v>707</v>
      </c>
      <c r="AH1" s="147" t="s">
        <v>379</v>
      </c>
      <c r="AI1" s="214" t="s">
        <v>1396</v>
      </c>
      <c r="AJ1" s="214" t="s">
        <v>1397</v>
      </c>
      <c r="AK1" s="214" t="s">
        <v>1398</v>
      </c>
      <c r="AL1" s="214" t="s">
        <v>1399</v>
      </c>
    </row>
    <row r="2">
      <c r="A2" s="153">
        <v>45518.0</v>
      </c>
      <c r="B2" s="153">
        <v>45527.0</v>
      </c>
      <c r="C2" s="202">
        <v>712.0</v>
      </c>
      <c r="D2" s="203" t="s">
        <v>1116</v>
      </c>
      <c r="E2" s="203" t="s">
        <v>1117</v>
      </c>
      <c r="F2" s="203" t="s">
        <v>1118</v>
      </c>
      <c r="G2" s="155" t="s">
        <v>621</v>
      </c>
      <c r="H2" s="155" t="s">
        <v>1119</v>
      </c>
      <c r="I2" s="155" t="s">
        <v>716</v>
      </c>
      <c r="J2" s="155">
        <v>5.0</v>
      </c>
      <c r="K2" s="155">
        <v>1.0</v>
      </c>
      <c r="L2" s="204">
        <v>150000.0</v>
      </c>
      <c r="M2" s="155" t="s">
        <v>155</v>
      </c>
      <c r="N2" s="204" t="s">
        <v>155</v>
      </c>
      <c r="O2" s="164" t="s">
        <v>1120</v>
      </c>
      <c r="P2" s="155">
        <v>60.0</v>
      </c>
      <c r="Q2" s="155">
        <v>0.0</v>
      </c>
      <c r="R2" s="155">
        <v>20.0</v>
      </c>
      <c r="S2" s="155">
        <v>75.0</v>
      </c>
      <c r="T2" s="165">
        <f>10*J2</f>
        <v>50</v>
      </c>
      <c r="U2" s="155">
        <v>5.0</v>
      </c>
      <c r="V2" s="165">
        <f t="shared" ref="V2:V10" si="1">SUM(P2:U2)</f>
        <v>210</v>
      </c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 t="s">
        <v>453</v>
      </c>
      <c r="AI2" s="17" t="s">
        <v>1400</v>
      </c>
      <c r="AJ2" s="133" t="s">
        <v>1401</v>
      </c>
      <c r="AK2" s="134" t="str">
        <f>HYPERLINK("https://drive.google.com/file/d/1oSyQZ7gq1qKagzuJoQ_qL9lyZ1yhOkcz/view?usp=drivesdk","Old GC-FID_Hana Prasita Larasati _712")</f>
        <v>Old GC-FID_Hana Prasita Larasati _712</v>
      </c>
      <c r="AL2" s="17" t="s">
        <v>1402</v>
      </c>
    </row>
    <row r="3">
      <c r="A3" s="153">
        <v>45527.0</v>
      </c>
      <c r="B3" s="153">
        <v>45531.0</v>
      </c>
      <c r="C3" s="206">
        <v>729.0</v>
      </c>
      <c r="D3" s="155" t="s">
        <v>1124</v>
      </c>
      <c r="E3" s="155" t="s">
        <v>1125</v>
      </c>
      <c r="F3" s="203" t="s">
        <v>1118</v>
      </c>
      <c r="G3" s="155" t="s">
        <v>621</v>
      </c>
      <c r="H3" s="155" t="s">
        <v>1119</v>
      </c>
      <c r="I3" s="155" t="s">
        <v>716</v>
      </c>
      <c r="J3" s="155">
        <v>4.0</v>
      </c>
      <c r="K3" s="155">
        <v>1.0</v>
      </c>
      <c r="L3" s="204">
        <v>150000.0</v>
      </c>
      <c r="M3" s="155" t="s">
        <v>155</v>
      </c>
      <c r="N3" s="204" t="s">
        <v>155</v>
      </c>
      <c r="O3" s="164" t="s">
        <v>1126</v>
      </c>
      <c r="P3" s="155">
        <v>60.0</v>
      </c>
      <c r="Q3" s="155">
        <v>40.0</v>
      </c>
      <c r="R3" s="155">
        <v>20.0</v>
      </c>
      <c r="S3" s="155">
        <v>40.0</v>
      </c>
      <c r="T3" s="155">
        <v>40.0</v>
      </c>
      <c r="U3" s="155">
        <v>30.0</v>
      </c>
      <c r="V3" s="165">
        <f t="shared" si="1"/>
        <v>230</v>
      </c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 t="s">
        <v>453</v>
      </c>
      <c r="AI3" s="17" t="s">
        <v>1403</v>
      </c>
      <c r="AJ3" s="133" t="s">
        <v>1404</v>
      </c>
      <c r="AK3" s="134" t="str">
        <f>HYPERLINK("https://drive.google.com/file/d/1oQTZsvvRNXL3CY2f2KeNAjpfi3x47_Rb/view?usp=drivesdk","Old GC-FID_Anggi Khoerul Jannah_729")</f>
        <v>Old GC-FID_Anggi Khoerul Jannah_729</v>
      </c>
      <c r="AL3" s="17" t="s">
        <v>1402</v>
      </c>
    </row>
    <row r="4">
      <c r="A4" s="153">
        <v>45568.0</v>
      </c>
      <c r="B4" s="153">
        <v>45569.0</v>
      </c>
      <c r="C4" s="168">
        <v>811.0</v>
      </c>
      <c r="D4" s="17" t="s">
        <v>1130</v>
      </c>
      <c r="E4" s="136" t="s">
        <v>1131</v>
      </c>
      <c r="F4" s="136" t="s">
        <v>1132</v>
      </c>
      <c r="G4" s="155" t="s">
        <v>621</v>
      </c>
      <c r="H4" s="155" t="s">
        <v>1119</v>
      </c>
      <c r="I4" s="155" t="s">
        <v>716</v>
      </c>
      <c r="J4" s="17">
        <v>6.0</v>
      </c>
      <c r="K4" s="17">
        <v>1.0</v>
      </c>
      <c r="L4" s="204">
        <v>150000.0</v>
      </c>
      <c r="M4" s="17" t="s">
        <v>155</v>
      </c>
      <c r="N4" s="122" t="s">
        <v>155</v>
      </c>
      <c r="O4" s="164" t="s">
        <v>1120</v>
      </c>
      <c r="P4" s="17">
        <v>60.0</v>
      </c>
      <c r="Q4" s="17">
        <v>0.0</v>
      </c>
      <c r="R4" s="17">
        <v>30.0</v>
      </c>
      <c r="S4" s="17">
        <v>90.0</v>
      </c>
      <c r="T4" s="17">
        <v>60.0</v>
      </c>
      <c r="U4" s="17">
        <v>30.0</v>
      </c>
      <c r="V4" s="165">
        <f t="shared" si="1"/>
        <v>270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 t="s">
        <v>453</v>
      </c>
      <c r="AI4" s="17" t="s">
        <v>1405</v>
      </c>
      <c r="AJ4" s="133" t="s">
        <v>1406</v>
      </c>
      <c r="AK4" s="134" t="str">
        <f>HYPERLINK("https://drive.google.com/file/d/1SMMY4lZkFFCc60UM2oBYWMz3m_szlYri/view?usp=drivesdk","Old GC-FID_Hana Prasita Larasati_811")</f>
        <v>Old GC-FID_Hana Prasita Larasati_811</v>
      </c>
      <c r="AL4" s="17" t="s">
        <v>1402</v>
      </c>
    </row>
    <row r="5">
      <c r="A5" s="153">
        <v>45631.0</v>
      </c>
      <c r="B5" s="153">
        <v>45632.0</v>
      </c>
      <c r="C5" s="168">
        <v>917.0</v>
      </c>
      <c r="D5" s="136" t="s">
        <v>1136</v>
      </c>
      <c r="E5" s="136" t="s">
        <v>1137</v>
      </c>
      <c r="F5" s="136" t="s">
        <v>1138</v>
      </c>
      <c r="G5" s="155" t="s">
        <v>621</v>
      </c>
      <c r="H5" s="155" t="s">
        <v>1119</v>
      </c>
      <c r="I5" s="155" t="s">
        <v>716</v>
      </c>
      <c r="J5" s="17">
        <v>6.0</v>
      </c>
      <c r="K5" s="17">
        <v>1.0</v>
      </c>
      <c r="L5" s="204">
        <v>150000.0</v>
      </c>
      <c r="M5" s="17" t="s">
        <v>155</v>
      </c>
      <c r="N5" s="122" t="s">
        <v>155</v>
      </c>
      <c r="O5" s="169" t="s">
        <v>1139</v>
      </c>
      <c r="P5" s="17">
        <v>60.0</v>
      </c>
      <c r="Q5" s="17">
        <v>0.0</v>
      </c>
      <c r="R5" s="17">
        <v>30.0</v>
      </c>
      <c r="S5" s="17">
        <v>96.0</v>
      </c>
      <c r="T5" s="17">
        <v>60.0</v>
      </c>
      <c r="U5" s="17">
        <v>30.0</v>
      </c>
      <c r="V5" s="165">
        <f t="shared" si="1"/>
        <v>276</v>
      </c>
      <c r="AH5" s="155" t="s">
        <v>453</v>
      </c>
      <c r="AI5" s="17" t="s">
        <v>1407</v>
      </c>
      <c r="AJ5" s="133" t="s">
        <v>1408</v>
      </c>
      <c r="AK5" s="134" t="str">
        <f>HYPERLINK("https://drive.google.com/file/d/11AmyJf8EsdLB0hJWHUTMjcCJdObTGQrc/view?usp=drivesdk","Old GC-FID_Nur Rohmah Al Fiyani_917")</f>
        <v>Old GC-FID_Nur Rohmah Al Fiyani_917</v>
      </c>
      <c r="AL5" s="17" t="s">
        <v>1409</v>
      </c>
    </row>
    <row r="6">
      <c r="A6" s="153">
        <v>45631.0</v>
      </c>
      <c r="B6" s="153">
        <v>45632.0</v>
      </c>
      <c r="C6" s="168">
        <v>918.0</v>
      </c>
      <c r="D6" s="136" t="s">
        <v>1143</v>
      </c>
      <c r="E6" s="136" t="s">
        <v>872</v>
      </c>
      <c r="F6" s="136" t="s">
        <v>1144</v>
      </c>
      <c r="G6" s="155" t="s">
        <v>621</v>
      </c>
      <c r="H6" s="155" t="s">
        <v>1119</v>
      </c>
      <c r="I6" s="155" t="s">
        <v>716</v>
      </c>
      <c r="J6" s="17">
        <v>6.0</v>
      </c>
      <c r="K6" s="17">
        <v>1.0</v>
      </c>
      <c r="L6" s="204">
        <v>150000.0</v>
      </c>
      <c r="M6" s="17" t="s">
        <v>155</v>
      </c>
      <c r="N6" s="122" t="s">
        <v>155</v>
      </c>
      <c r="O6" s="169" t="s">
        <v>1145</v>
      </c>
      <c r="P6" s="17">
        <v>60.0</v>
      </c>
      <c r="Q6" s="17">
        <v>0.0</v>
      </c>
      <c r="R6" s="17">
        <v>30.0</v>
      </c>
      <c r="S6" s="17">
        <v>108.0</v>
      </c>
      <c r="T6" s="17">
        <v>60.0</v>
      </c>
      <c r="U6" s="17">
        <v>30.0</v>
      </c>
      <c r="V6" s="165">
        <f t="shared" si="1"/>
        <v>288</v>
      </c>
      <c r="AH6" s="155" t="s">
        <v>453</v>
      </c>
      <c r="AI6" s="17" t="s">
        <v>1410</v>
      </c>
      <c r="AJ6" s="133" t="s">
        <v>1411</v>
      </c>
      <c r="AK6" s="134" t="str">
        <f>HYPERLINK("https://drive.google.com/file/d/1k1EWn95GKYYGKpAiNzDS52BlcbJFgi9L/view?usp=drivesdk","Old GC-FID_Vito Bintang Saputra _918")</f>
        <v>Old GC-FID_Vito Bintang Saputra _918</v>
      </c>
      <c r="AL6" s="17" t="s">
        <v>1409</v>
      </c>
    </row>
    <row r="7">
      <c r="A7" s="153">
        <v>45649.0</v>
      </c>
      <c r="B7" s="153">
        <v>45650.0</v>
      </c>
      <c r="C7" s="168">
        <v>949.0</v>
      </c>
      <c r="D7" s="17" t="s">
        <v>1149</v>
      </c>
      <c r="E7" s="17" t="s">
        <v>1150</v>
      </c>
      <c r="F7" s="17" t="s">
        <v>1132</v>
      </c>
      <c r="G7" s="17" t="s">
        <v>621</v>
      </c>
      <c r="H7" s="17" t="s">
        <v>1119</v>
      </c>
      <c r="I7" s="17" t="s">
        <v>716</v>
      </c>
      <c r="J7" s="17">
        <v>8.0</v>
      </c>
      <c r="K7" s="17">
        <v>1.0</v>
      </c>
      <c r="L7" s="122">
        <v>150000.0</v>
      </c>
      <c r="M7" s="17">
        <v>2.0</v>
      </c>
      <c r="N7" s="122">
        <v>100000.0</v>
      </c>
      <c r="O7" s="169" t="s">
        <v>1151</v>
      </c>
      <c r="P7" s="17">
        <v>60.0</v>
      </c>
      <c r="Q7" s="17">
        <v>0.0</v>
      </c>
      <c r="R7" s="17">
        <v>20.0</v>
      </c>
      <c r="S7" s="17">
        <v>90.0</v>
      </c>
      <c r="T7" s="17">
        <v>80.0</v>
      </c>
      <c r="U7" s="17">
        <v>30.0</v>
      </c>
      <c r="V7" s="171">
        <f t="shared" si="1"/>
        <v>280</v>
      </c>
      <c r="AH7" s="17" t="s">
        <v>453</v>
      </c>
      <c r="AI7" s="17" t="s">
        <v>1412</v>
      </c>
      <c r="AJ7" s="133" t="s">
        <v>1413</v>
      </c>
      <c r="AK7" s="134" t="str">
        <f>HYPERLINK("https://drive.google.com/file/d/1A2qy6UkFnczIHkG5BPNw4ePbVk8aSJCd/view?usp=drivesdk","Old GC-FID_Dwi Safitri_949")</f>
        <v>Old GC-FID_Dwi Safitri_949</v>
      </c>
      <c r="AL7" s="17" t="s">
        <v>1409</v>
      </c>
    </row>
    <row r="8">
      <c r="A8" s="153">
        <v>45650.0</v>
      </c>
      <c r="B8" s="153">
        <v>45650.0</v>
      </c>
      <c r="C8" s="168">
        <v>954.0</v>
      </c>
      <c r="D8" s="17" t="s">
        <v>1130</v>
      </c>
      <c r="E8" s="136" t="s">
        <v>1131</v>
      </c>
      <c r="F8" s="136" t="s">
        <v>1132</v>
      </c>
      <c r="G8" s="155" t="s">
        <v>621</v>
      </c>
      <c r="H8" s="155" t="s">
        <v>1119</v>
      </c>
      <c r="I8" s="155" t="s">
        <v>716</v>
      </c>
      <c r="J8" s="17">
        <v>6.0</v>
      </c>
      <c r="K8" s="17">
        <v>1.0</v>
      </c>
      <c r="L8" s="204">
        <v>150000.0</v>
      </c>
      <c r="M8" s="17" t="s">
        <v>155</v>
      </c>
      <c r="N8" s="122" t="s">
        <v>155</v>
      </c>
      <c r="O8" s="164" t="s">
        <v>1120</v>
      </c>
      <c r="P8" s="17">
        <v>60.0</v>
      </c>
      <c r="Q8" s="17">
        <v>0.0</v>
      </c>
      <c r="R8" s="17">
        <v>20.0</v>
      </c>
      <c r="S8" s="17">
        <v>90.0</v>
      </c>
      <c r="T8" s="17">
        <v>60.0</v>
      </c>
      <c r="U8" s="17">
        <v>30.0</v>
      </c>
      <c r="V8" s="171">
        <f t="shared" si="1"/>
        <v>260</v>
      </c>
      <c r="AH8" s="17" t="s">
        <v>453</v>
      </c>
      <c r="AI8" s="17" t="s">
        <v>1414</v>
      </c>
      <c r="AJ8" s="133" t="s">
        <v>1415</v>
      </c>
      <c r="AK8" s="134" t="str">
        <f>HYPERLINK("https://drive.google.com/file/d/1dxFzK_lR3F-Vy-9-9iTupsMfZo59tW_0/view?usp=drivesdk","Old GC-FID_Hana Prasita Larasati_954")</f>
        <v>Old GC-FID_Hana Prasita Larasati_954</v>
      </c>
      <c r="AL8" s="17" t="s">
        <v>1409</v>
      </c>
    </row>
    <row r="9">
      <c r="A9" s="153">
        <v>45665.0</v>
      </c>
      <c r="B9" s="153">
        <v>45665.0</v>
      </c>
      <c r="C9" s="168">
        <v>4.0</v>
      </c>
      <c r="D9" s="17" t="s">
        <v>1136</v>
      </c>
      <c r="E9" s="136" t="s">
        <v>1137</v>
      </c>
      <c r="F9" s="136" t="s">
        <v>1138</v>
      </c>
      <c r="G9" s="155" t="s">
        <v>621</v>
      </c>
      <c r="H9" s="155" t="s">
        <v>1119</v>
      </c>
      <c r="I9" s="155" t="s">
        <v>716</v>
      </c>
      <c r="J9" s="17">
        <v>6.0</v>
      </c>
      <c r="K9" s="17">
        <v>1.0</v>
      </c>
      <c r="L9" s="204">
        <v>150000.0</v>
      </c>
      <c r="M9" s="17" t="s">
        <v>155</v>
      </c>
      <c r="N9" s="122" t="s">
        <v>155</v>
      </c>
      <c r="O9" s="169" t="s">
        <v>1158</v>
      </c>
      <c r="P9" s="17">
        <v>60.0</v>
      </c>
      <c r="Q9" s="17">
        <v>0.0</v>
      </c>
      <c r="R9" s="17">
        <v>20.0</v>
      </c>
      <c r="S9" s="17">
        <v>72.0</v>
      </c>
      <c r="T9" s="17">
        <v>60.0</v>
      </c>
      <c r="U9" s="17">
        <v>30.0</v>
      </c>
      <c r="V9" s="171">
        <f t="shared" si="1"/>
        <v>242</v>
      </c>
      <c r="AH9" s="17" t="s">
        <v>453</v>
      </c>
      <c r="AI9" s="17" t="s">
        <v>1416</v>
      </c>
      <c r="AJ9" s="133" t="s">
        <v>1417</v>
      </c>
      <c r="AK9" s="134" t="str">
        <f>HYPERLINK("https://drive.google.com/file/d/1QP7Dyxdf3loycVBXVkop06HJVK-pQcQ9/view?usp=drivesdk","Old GC-FID_Nur Rohmah Al Fiyani_4")</f>
        <v>Old GC-FID_Nur Rohmah Al Fiyani_4</v>
      </c>
      <c r="AL9" s="17" t="s">
        <v>1409</v>
      </c>
    </row>
    <row r="10">
      <c r="A10" s="153">
        <v>45666.0</v>
      </c>
      <c r="B10" s="153">
        <v>45666.0</v>
      </c>
      <c r="C10" s="168">
        <v>7.0</v>
      </c>
      <c r="D10" s="17" t="s">
        <v>1136</v>
      </c>
      <c r="E10" s="136" t="s">
        <v>1137</v>
      </c>
      <c r="F10" s="136" t="s">
        <v>1138</v>
      </c>
      <c r="G10" s="155" t="s">
        <v>621</v>
      </c>
      <c r="H10" s="155" t="s">
        <v>1119</v>
      </c>
      <c r="I10" s="155" t="s">
        <v>716</v>
      </c>
      <c r="J10" s="17">
        <v>6.0</v>
      </c>
      <c r="K10" s="17">
        <v>1.0</v>
      </c>
      <c r="L10" s="204">
        <v>150000.0</v>
      </c>
      <c r="M10" s="17" t="s">
        <v>155</v>
      </c>
      <c r="N10" s="122" t="s">
        <v>155</v>
      </c>
      <c r="O10" s="169" t="s">
        <v>1158</v>
      </c>
      <c r="P10" s="17">
        <v>60.0</v>
      </c>
      <c r="Q10" s="17">
        <v>0.0</v>
      </c>
      <c r="R10" s="17">
        <v>20.0</v>
      </c>
      <c r="S10" s="17">
        <v>72.0</v>
      </c>
      <c r="T10" s="17">
        <v>60.0</v>
      </c>
      <c r="U10" s="17">
        <v>30.0</v>
      </c>
      <c r="V10" s="171">
        <f t="shared" si="1"/>
        <v>242</v>
      </c>
      <c r="AH10" s="17" t="s">
        <v>453</v>
      </c>
      <c r="AI10" s="17" t="s">
        <v>1418</v>
      </c>
      <c r="AJ10" s="133" t="s">
        <v>1419</v>
      </c>
      <c r="AK10" s="134" t="str">
        <f>HYPERLINK("https://drive.google.com/file/d/1qsgt8Zsytci5H7MMigAia7BrtD3piEVW/view?usp=drivesdk","Old GC-FID_Nur Rohmah Al Fiyani_7")</f>
        <v>Old GC-FID_Nur Rohmah Al Fiyani_7</v>
      </c>
      <c r="AL10" s="17" t="s">
        <v>1420</v>
      </c>
    </row>
    <row r="11">
      <c r="A11" s="153"/>
      <c r="B11" s="153"/>
      <c r="L11" s="123"/>
      <c r="N11" s="123"/>
      <c r="O11" s="213"/>
    </row>
    <row r="12">
      <c r="A12" s="153"/>
      <c r="B12" s="153"/>
      <c r="L12" s="123"/>
      <c r="N12" s="123"/>
      <c r="O12" s="213"/>
    </row>
    <row r="13">
      <c r="A13" s="153"/>
      <c r="B13" s="153"/>
      <c r="L13" s="123"/>
      <c r="N13" s="123"/>
      <c r="O13" s="213"/>
    </row>
    <row r="14">
      <c r="A14" s="153"/>
      <c r="B14" s="153"/>
      <c r="L14" s="123"/>
      <c r="N14" s="123"/>
      <c r="O14" s="213"/>
    </row>
    <row r="15">
      <c r="A15" s="153"/>
      <c r="B15" s="153"/>
      <c r="L15" s="123"/>
      <c r="N15" s="123"/>
      <c r="O15" s="213"/>
    </row>
    <row r="16">
      <c r="A16" s="153"/>
      <c r="B16" s="153"/>
      <c r="L16" s="123"/>
      <c r="N16" s="123"/>
      <c r="O16" s="213"/>
    </row>
    <row r="17">
      <c r="A17" s="153"/>
      <c r="B17" s="153"/>
      <c r="L17" s="123"/>
      <c r="N17" s="123"/>
      <c r="O17" s="213"/>
    </row>
    <row r="18">
      <c r="A18" s="153"/>
      <c r="B18" s="153"/>
      <c r="L18" s="123"/>
      <c r="N18" s="123"/>
      <c r="O18" s="213"/>
    </row>
    <row r="19">
      <c r="A19" s="153"/>
      <c r="B19" s="153"/>
      <c r="L19" s="123"/>
      <c r="N19" s="123"/>
      <c r="O19" s="213"/>
    </row>
    <row r="20">
      <c r="A20" s="153"/>
      <c r="B20" s="153"/>
      <c r="L20" s="123"/>
      <c r="N20" s="123"/>
      <c r="O20" s="213"/>
    </row>
    <row r="21">
      <c r="A21" s="153"/>
      <c r="B21" s="153"/>
      <c r="L21" s="123"/>
      <c r="N21" s="123"/>
      <c r="O21" s="213"/>
    </row>
    <row r="22">
      <c r="A22" s="153"/>
      <c r="B22" s="153"/>
      <c r="L22" s="123"/>
      <c r="N22" s="123"/>
      <c r="O22" s="213"/>
    </row>
    <row r="23">
      <c r="A23" s="153"/>
      <c r="B23" s="153"/>
      <c r="L23" s="123"/>
      <c r="N23" s="123"/>
      <c r="O23" s="213"/>
    </row>
    <row r="24">
      <c r="A24" s="153"/>
      <c r="B24" s="153"/>
      <c r="L24" s="123"/>
      <c r="N24" s="123"/>
      <c r="O24" s="213"/>
    </row>
    <row r="25">
      <c r="A25" s="153"/>
      <c r="B25" s="153"/>
      <c r="L25" s="123"/>
      <c r="N25" s="123"/>
      <c r="O25" s="213"/>
    </row>
    <row r="26">
      <c r="A26" s="153"/>
      <c r="B26" s="153"/>
      <c r="L26" s="123"/>
      <c r="N26" s="123"/>
      <c r="O26" s="213"/>
    </row>
    <row r="27">
      <c r="A27" s="153"/>
      <c r="B27" s="153"/>
      <c r="L27" s="123"/>
      <c r="N27" s="123"/>
      <c r="O27" s="213"/>
    </row>
    <row r="28">
      <c r="A28" s="153"/>
      <c r="B28" s="153"/>
      <c r="L28" s="123"/>
      <c r="N28" s="123"/>
      <c r="O28" s="213"/>
    </row>
    <row r="29">
      <c r="A29" s="153"/>
      <c r="B29" s="153"/>
      <c r="L29" s="123"/>
      <c r="N29" s="123"/>
      <c r="O29" s="213"/>
    </row>
    <row r="30">
      <c r="A30" s="153"/>
      <c r="B30" s="153"/>
      <c r="L30" s="123"/>
      <c r="N30" s="123"/>
      <c r="O30" s="213"/>
    </row>
    <row r="31">
      <c r="A31" s="153"/>
      <c r="B31" s="153"/>
      <c r="L31" s="123"/>
      <c r="N31" s="123"/>
      <c r="O31" s="213"/>
    </row>
    <row r="32">
      <c r="A32" s="153"/>
      <c r="B32" s="153"/>
      <c r="L32" s="123"/>
      <c r="N32" s="123"/>
      <c r="O32" s="213"/>
    </row>
    <row r="33">
      <c r="A33" s="153"/>
      <c r="B33" s="153"/>
      <c r="L33" s="123"/>
      <c r="N33" s="123"/>
      <c r="O33" s="213"/>
    </row>
    <row r="34">
      <c r="A34" s="153"/>
      <c r="B34" s="153"/>
      <c r="L34" s="123"/>
      <c r="N34" s="123"/>
      <c r="O34" s="213"/>
    </row>
    <row r="35">
      <c r="A35" s="153"/>
      <c r="B35" s="153"/>
      <c r="L35" s="123"/>
      <c r="N35" s="123"/>
      <c r="O35" s="213"/>
    </row>
    <row r="36">
      <c r="A36" s="153"/>
      <c r="B36" s="153"/>
      <c r="L36" s="123"/>
      <c r="N36" s="123"/>
      <c r="O36" s="213"/>
    </row>
    <row r="37">
      <c r="A37" s="153"/>
      <c r="B37" s="153"/>
      <c r="L37" s="123"/>
      <c r="N37" s="123"/>
      <c r="O37" s="213"/>
    </row>
    <row r="38">
      <c r="A38" s="153"/>
      <c r="B38" s="153"/>
      <c r="L38" s="123"/>
      <c r="N38" s="123"/>
      <c r="O38" s="213"/>
    </row>
    <row r="39">
      <c r="A39" s="153"/>
      <c r="B39" s="153"/>
      <c r="L39" s="123"/>
      <c r="N39" s="123"/>
      <c r="O39" s="213"/>
    </row>
    <row r="40">
      <c r="A40" s="153"/>
      <c r="B40" s="153"/>
      <c r="L40" s="123"/>
      <c r="N40" s="123"/>
      <c r="O40" s="213"/>
    </row>
    <row r="41">
      <c r="A41" s="153"/>
      <c r="B41" s="153"/>
      <c r="L41" s="123"/>
      <c r="N41" s="123"/>
      <c r="O41" s="213"/>
    </row>
    <row r="42">
      <c r="A42" s="153"/>
      <c r="B42" s="153"/>
      <c r="L42" s="123"/>
      <c r="N42" s="123"/>
      <c r="O42" s="213"/>
    </row>
    <row r="43">
      <c r="A43" s="153"/>
      <c r="B43" s="153"/>
      <c r="L43" s="123"/>
      <c r="N43" s="123"/>
      <c r="O43" s="213"/>
    </row>
    <row r="44">
      <c r="L44" s="123"/>
      <c r="N44" s="123"/>
      <c r="O44" s="213"/>
    </row>
    <row r="45">
      <c r="L45" s="123"/>
      <c r="N45" s="123"/>
      <c r="O45" s="213"/>
    </row>
    <row r="46">
      <c r="L46" s="123"/>
      <c r="N46" s="123"/>
      <c r="O46" s="213"/>
    </row>
    <row r="47">
      <c r="L47" s="123"/>
      <c r="N47" s="123"/>
      <c r="O47" s="213"/>
    </row>
    <row r="48">
      <c r="L48" s="123"/>
      <c r="N48" s="123"/>
      <c r="O48" s="213"/>
    </row>
    <row r="49">
      <c r="L49" s="123"/>
      <c r="N49" s="123"/>
      <c r="O49" s="213"/>
    </row>
    <row r="50">
      <c r="L50" s="123"/>
      <c r="N50" s="123"/>
      <c r="O50" s="213"/>
    </row>
    <row r="51">
      <c r="L51" s="123"/>
      <c r="N51" s="123"/>
      <c r="O51" s="213"/>
    </row>
    <row r="52">
      <c r="L52" s="123"/>
      <c r="N52" s="123"/>
      <c r="O52" s="213"/>
    </row>
    <row r="53">
      <c r="L53" s="123"/>
      <c r="N53" s="123"/>
      <c r="O53" s="213"/>
    </row>
    <row r="54">
      <c r="L54" s="123"/>
      <c r="N54" s="123"/>
      <c r="O54" s="213"/>
    </row>
    <row r="55">
      <c r="L55" s="123"/>
      <c r="N55" s="123"/>
      <c r="O55" s="213"/>
    </row>
    <row r="56">
      <c r="L56" s="123"/>
      <c r="N56" s="123"/>
      <c r="O56" s="213"/>
    </row>
    <row r="57">
      <c r="L57" s="123"/>
      <c r="N57" s="123"/>
      <c r="O57" s="213"/>
    </row>
    <row r="58">
      <c r="L58" s="123"/>
      <c r="N58" s="123"/>
      <c r="O58" s="213"/>
    </row>
    <row r="59">
      <c r="L59" s="123"/>
      <c r="N59" s="123"/>
      <c r="O59" s="213"/>
    </row>
    <row r="60">
      <c r="L60" s="123"/>
      <c r="N60" s="123"/>
      <c r="O60" s="213"/>
    </row>
    <row r="61">
      <c r="L61" s="123"/>
      <c r="N61" s="123"/>
      <c r="O61" s="213"/>
    </row>
    <row r="62">
      <c r="L62" s="123"/>
      <c r="N62" s="123"/>
      <c r="O62" s="213"/>
    </row>
    <row r="63">
      <c r="L63" s="123"/>
      <c r="N63" s="123"/>
      <c r="O63" s="213"/>
    </row>
    <row r="64">
      <c r="L64" s="123"/>
      <c r="N64" s="123"/>
      <c r="O64" s="213"/>
    </row>
    <row r="65">
      <c r="L65" s="123"/>
      <c r="N65" s="123"/>
      <c r="O65" s="213"/>
    </row>
    <row r="66">
      <c r="L66" s="123"/>
      <c r="N66" s="123"/>
      <c r="O66" s="213"/>
    </row>
    <row r="67">
      <c r="L67" s="123"/>
      <c r="N67" s="123"/>
      <c r="O67" s="213"/>
    </row>
    <row r="68">
      <c r="L68" s="123"/>
      <c r="N68" s="123"/>
      <c r="O68" s="213"/>
    </row>
    <row r="69">
      <c r="L69" s="123"/>
      <c r="N69" s="123"/>
      <c r="O69" s="213"/>
    </row>
    <row r="70">
      <c r="L70" s="123"/>
      <c r="N70" s="123"/>
      <c r="O70" s="213"/>
    </row>
    <row r="71">
      <c r="L71" s="123"/>
      <c r="N71" s="123"/>
      <c r="O71" s="213"/>
    </row>
    <row r="72">
      <c r="L72" s="123"/>
      <c r="N72" s="123"/>
      <c r="O72" s="213"/>
    </row>
    <row r="73">
      <c r="L73" s="123"/>
      <c r="N73" s="123"/>
      <c r="O73" s="213"/>
    </row>
    <row r="74">
      <c r="L74" s="123"/>
      <c r="N74" s="123"/>
      <c r="O74" s="213"/>
    </row>
    <row r="75">
      <c r="L75" s="123"/>
      <c r="N75" s="123"/>
      <c r="O75" s="213"/>
    </row>
    <row r="76">
      <c r="L76" s="123"/>
      <c r="N76" s="123"/>
      <c r="O76" s="213"/>
    </row>
    <row r="77">
      <c r="L77" s="123"/>
      <c r="N77" s="123"/>
      <c r="O77" s="213"/>
    </row>
    <row r="78">
      <c r="L78" s="123"/>
      <c r="N78" s="123"/>
      <c r="O78" s="213"/>
    </row>
    <row r="79">
      <c r="L79" s="123"/>
      <c r="N79" s="123"/>
      <c r="O79" s="213"/>
    </row>
    <row r="80">
      <c r="L80" s="123"/>
      <c r="N80" s="123"/>
      <c r="O80" s="213"/>
    </row>
    <row r="81">
      <c r="L81" s="123"/>
      <c r="N81" s="123"/>
      <c r="O81" s="213"/>
    </row>
    <row r="82">
      <c r="L82" s="123"/>
      <c r="N82" s="123"/>
      <c r="O82" s="213"/>
    </row>
    <row r="83">
      <c r="L83" s="123"/>
      <c r="N83" s="123"/>
      <c r="O83" s="213"/>
    </row>
    <row r="84">
      <c r="L84" s="123"/>
      <c r="N84" s="123"/>
      <c r="O84" s="213"/>
    </row>
    <row r="85">
      <c r="L85" s="123"/>
      <c r="N85" s="123"/>
      <c r="O85" s="213"/>
    </row>
    <row r="86">
      <c r="L86" s="123"/>
      <c r="N86" s="123"/>
      <c r="O86" s="213"/>
    </row>
    <row r="87">
      <c r="L87" s="123"/>
      <c r="N87" s="123"/>
      <c r="O87" s="213"/>
    </row>
    <row r="88">
      <c r="L88" s="123"/>
      <c r="N88" s="123"/>
      <c r="O88" s="213"/>
    </row>
    <row r="89">
      <c r="L89" s="123"/>
      <c r="N89" s="123"/>
      <c r="O89" s="213"/>
    </row>
    <row r="90">
      <c r="L90" s="123"/>
      <c r="N90" s="123"/>
      <c r="O90" s="213"/>
    </row>
    <row r="91">
      <c r="L91" s="123"/>
      <c r="N91" s="123"/>
      <c r="O91" s="213"/>
    </row>
    <row r="92">
      <c r="L92" s="123"/>
      <c r="N92" s="123"/>
      <c r="O92" s="213"/>
    </row>
    <row r="93">
      <c r="L93" s="123"/>
      <c r="N93" s="123"/>
      <c r="O93" s="213"/>
    </row>
    <row r="94">
      <c r="L94" s="123"/>
      <c r="N94" s="123"/>
      <c r="O94" s="213"/>
    </row>
    <row r="95">
      <c r="L95" s="123"/>
      <c r="N95" s="123"/>
      <c r="O95" s="213"/>
    </row>
    <row r="96">
      <c r="L96" s="123"/>
      <c r="N96" s="123"/>
      <c r="O96" s="213"/>
    </row>
    <row r="97">
      <c r="L97" s="123"/>
      <c r="N97" s="123"/>
      <c r="O97" s="213"/>
    </row>
    <row r="98">
      <c r="L98" s="123"/>
      <c r="N98" s="123"/>
      <c r="O98" s="213"/>
    </row>
    <row r="99">
      <c r="L99" s="123"/>
      <c r="N99" s="123"/>
      <c r="O99" s="213"/>
    </row>
    <row r="100">
      <c r="L100" s="123"/>
      <c r="N100" s="123"/>
      <c r="O100" s="213"/>
    </row>
    <row r="101">
      <c r="L101" s="123"/>
      <c r="N101" s="123"/>
      <c r="O101" s="213"/>
    </row>
    <row r="102">
      <c r="L102" s="123"/>
      <c r="N102" s="123"/>
      <c r="O102" s="213"/>
    </row>
    <row r="103">
      <c r="L103" s="123"/>
      <c r="N103" s="123"/>
      <c r="O103" s="213"/>
    </row>
    <row r="104">
      <c r="L104" s="123"/>
      <c r="N104" s="123"/>
      <c r="O104" s="213"/>
    </row>
    <row r="105">
      <c r="L105" s="123"/>
      <c r="N105" s="123"/>
      <c r="O105" s="213"/>
    </row>
    <row r="106">
      <c r="L106" s="123"/>
      <c r="N106" s="123"/>
      <c r="O106" s="213"/>
    </row>
    <row r="107">
      <c r="L107" s="123"/>
      <c r="N107" s="123"/>
      <c r="O107" s="213"/>
    </row>
    <row r="108">
      <c r="L108" s="123"/>
      <c r="N108" s="123"/>
      <c r="O108" s="213"/>
    </row>
    <row r="109">
      <c r="L109" s="123"/>
      <c r="N109" s="123"/>
      <c r="O109" s="213"/>
    </row>
    <row r="110">
      <c r="L110" s="123"/>
      <c r="N110" s="123"/>
      <c r="O110" s="213"/>
    </row>
    <row r="111">
      <c r="L111" s="123"/>
      <c r="N111" s="123"/>
      <c r="O111" s="213"/>
    </row>
    <row r="112">
      <c r="L112" s="123"/>
      <c r="N112" s="123"/>
      <c r="O112" s="213"/>
    </row>
    <row r="113">
      <c r="L113" s="123"/>
      <c r="N113" s="123"/>
      <c r="O113" s="213"/>
    </row>
    <row r="114">
      <c r="L114" s="123"/>
      <c r="N114" s="123"/>
      <c r="O114" s="213"/>
    </row>
    <row r="115">
      <c r="L115" s="123"/>
      <c r="N115" s="123"/>
      <c r="O115" s="213"/>
    </row>
    <row r="116">
      <c r="L116" s="123"/>
      <c r="N116" s="123"/>
      <c r="O116" s="213"/>
    </row>
    <row r="117">
      <c r="L117" s="123"/>
      <c r="N117" s="123"/>
      <c r="O117" s="213"/>
    </row>
    <row r="118">
      <c r="L118" s="123"/>
      <c r="N118" s="123"/>
      <c r="O118" s="213"/>
    </row>
    <row r="119">
      <c r="L119" s="123"/>
      <c r="N119" s="123"/>
      <c r="O119" s="213"/>
    </row>
    <row r="120">
      <c r="L120" s="123"/>
      <c r="N120" s="123"/>
      <c r="O120" s="213"/>
    </row>
    <row r="121">
      <c r="L121" s="123"/>
      <c r="N121" s="123"/>
      <c r="O121" s="213"/>
    </row>
    <row r="122">
      <c r="L122" s="123"/>
      <c r="N122" s="123"/>
      <c r="O122" s="213"/>
    </row>
    <row r="123">
      <c r="L123" s="123"/>
      <c r="N123" s="123"/>
      <c r="O123" s="213"/>
    </row>
    <row r="124">
      <c r="L124" s="123"/>
      <c r="N124" s="123"/>
      <c r="O124" s="213"/>
    </row>
    <row r="125">
      <c r="L125" s="123"/>
      <c r="N125" s="123"/>
      <c r="O125" s="213"/>
    </row>
    <row r="126">
      <c r="L126" s="123"/>
      <c r="N126" s="123"/>
      <c r="O126" s="213"/>
    </row>
    <row r="127">
      <c r="L127" s="123"/>
      <c r="N127" s="123"/>
      <c r="O127" s="213"/>
    </row>
    <row r="128">
      <c r="L128" s="123"/>
      <c r="N128" s="123"/>
      <c r="O128" s="213"/>
    </row>
    <row r="129">
      <c r="L129" s="123"/>
      <c r="N129" s="123"/>
      <c r="O129" s="213"/>
    </row>
    <row r="130">
      <c r="L130" s="123"/>
      <c r="N130" s="123"/>
      <c r="O130" s="213"/>
    </row>
    <row r="131">
      <c r="L131" s="123"/>
      <c r="N131" s="123"/>
      <c r="O131" s="213"/>
    </row>
    <row r="132">
      <c r="L132" s="123"/>
      <c r="N132" s="123"/>
      <c r="O132" s="213"/>
    </row>
    <row r="133">
      <c r="L133" s="123"/>
      <c r="N133" s="123"/>
      <c r="O133" s="213"/>
    </row>
    <row r="134">
      <c r="L134" s="123"/>
      <c r="N134" s="123"/>
      <c r="O134" s="213"/>
    </row>
    <row r="135">
      <c r="L135" s="123"/>
      <c r="N135" s="123"/>
      <c r="O135" s="213"/>
    </row>
    <row r="136">
      <c r="L136" s="123"/>
      <c r="N136" s="123"/>
      <c r="O136" s="213"/>
    </row>
    <row r="137">
      <c r="L137" s="123"/>
      <c r="N137" s="123"/>
      <c r="O137" s="213"/>
    </row>
    <row r="138">
      <c r="L138" s="123"/>
      <c r="N138" s="123"/>
      <c r="O138" s="213"/>
    </row>
    <row r="139">
      <c r="L139" s="123"/>
      <c r="N139" s="123"/>
      <c r="O139" s="213"/>
    </row>
    <row r="140">
      <c r="L140" s="123"/>
      <c r="N140" s="123"/>
      <c r="O140" s="213"/>
    </row>
    <row r="141">
      <c r="L141" s="123"/>
      <c r="N141" s="123"/>
      <c r="O141" s="213"/>
    </row>
    <row r="142">
      <c r="L142" s="123"/>
      <c r="N142" s="123"/>
      <c r="O142" s="213"/>
    </row>
    <row r="143">
      <c r="L143" s="123"/>
      <c r="N143" s="123"/>
      <c r="O143" s="213"/>
    </row>
    <row r="144">
      <c r="L144" s="123"/>
      <c r="N144" s="123"/>
      <c r="O144" s="213"/>
    </row>
    <row r="145">
      <c r="L145" s="123"/>
      <c r="N145" s="123"/>
      <c r="O145" s="213"/>
    </row>
    <row r="146">
      <c r="L146" s="123"/>
      <c r="N146" s="123"/>
      <c r="O146" s="213"/>
    </row>
    <row r="147">
      <c r="L147" s="123"/>
      <c r="N147" s="123"/>
      <c r="O147" s="213"/>
    </row>
    <row r="148">
      <c r="L148" s="123"/>
      <c r="N148" s="123"/>
      <c r="O148" s="213"/>
    </row>
    <row r="149">
      <c r="L149" s="123"/>
      <c r="N149" s="123"/>
      <c r="O149" s="213"/>
    </row>
    <row r="150">
      <c r="L150" s="123"/>
      <c r="N150" s="123"/>
      <c r="O150" s="213"/>
    </row>
    <row r="151">
      <c r="L151" s="123"/>
      <c r="N151" s="123"/>
      <c r="O151" s="213"/>
    </row>
    <row r="152">
      <c r="L152" s="123"/>
      <c r="N152" s="123"/>
      <c r="O152" s="213"/>
    </row>
    <row r="153">
      <c r="L153" s="123"/>
      <c r="N153" s="123"/>
      <c r="O153" s="213"/>
    </row>
    <row r="154">
      <c r="L154" s="123"/>
      <c r="N154" s="123"/>
      <c r="O154" s="213"/>
    </row>
    <row r="155">
      <c r="L155" s="123"/>
      <c r="N155" s="123"/>
      <c r="O155" s="213"/>
    </row>
    <row r="156">
      <c r="L156" s="123"/>
      <c r="N156" s="123"/>
      <c r="O156" s="213"/>
    </row>
    <row r="157">
      <c r="L157" s="123"/>
      <c r="N157" s="123"/>
      <c r="O157" s="213"/>
    </row>
    <row r="158">
      <c r="L158" s="123"/>
      <c r="N158" s="123"/>
      <c r="O158" s="213"/>
    </row>
    <row r="159">
      <c r="L159" s="123"/>
      <c r="N159" s="123"/>
      <c r="O159" s="213"/>
    </row>
    <row r="160">
      <c r="L160" s="123"/>
      <c r="N160" s="123"/>
      <c r="O160" s="213"/>
    </row>
    <row r="161">
      <c r="L161" s="123"/>
      <c r="N161" s="123"/>
      <c r="O161" s="213"/>
    </row>
    <row r="162">
      <c r="L162" s="123"/>
      <c r="N162" s="123"/>
      <c r="O162" s="213"/>
    </row>
    <row r="163">
      <c r="L163" s="123"/>
      <c r="N163" s="123"/>
      <c r="O163" s="213"/>
    </row>
    <row r="164">
      <c r="L164" s="123"/>
      <c r="N164" s="123"/>
      <c r="O164" s="213"/>
    </row>
    <row r="165">
      <c r="L165" s="123"/>
      <c r="N165" s="123"/>
      <c r="O165" s="213"/>
    </row>
    <row r="166">
      <c r="L166" s="123"/>
      <c r="N166" s="123"/>
      <c r="O166" s="213"/>
    </row>
    <row r="167">
      <c r="L167" s="123"/>
      <c r="N167" s="123"/>
      <c r="O167" s="213"/>
    </row>
    <row r="168">
      <c r="L168" s="123"/>
      <c r="N168" s="123"/>
      <c r="O168" s="213"/>
    </row>
    <row r="169">
      <c r="L169" s="123"/>
      <c r="N169" s="123"/>
      <c r="O169" s="213"/>
    </row>
    <row r="170">
      <c r="L170" s="123"/>
      <c r="N170" s="123"/>
      <c r="O170" s="213"/>
    </row>
    <row r="171">
      <c r="L171" s="123"/>
      <c r="N171" s="123"/>
      <c r="O171" s="213"/>
    </row>
    <row r="172">
      <c r="L172" s="123"/>
      <c r="N172" s="123"/>
      <c r="O172" s="213"/>
    </row>
    <row r="173">
      <c r="L173" s="123"/>
      <c r="N173" s="123"/>
      <c r="O173" s="213"/>
    </row>
    <row r="174">
      <c r="L174" s="123"/>
      <c r="N174" s="123"/>
      <c r="O174" s="213"/>
    </row>
    <row r="175">
      <c r="L175" s="123"/>
      <c r="N175" s="123"/>
      <c r="O175" s="213"/>
    </row>
    <row r="176">
      <c r="L176" s="123"/>
      <c r="N176" s="123"/>
      <c r="O176" s="213"/>
    </row>
    <row r="177">
      <c r="L177" s="123"/>
      <c r="N177" s="123"/>
      <c r="O177" s="213"/>
    </row>
    <row r="178">
      <c r="L178" s="123"/>
      <c r="N178" s="123"/>
      <c r="O178" s="213"/>
    </row>
    <row r="179">
      <c r="L179" s="123"/>
      <c r="N179" s="123"/>
      <c r="O179" s="213"/>
    </row>
    <row r="180">
      <c r="L180" s="123"/>
      <c r="N180" s="123"/>
      <c r="O180" s="213"/>
    </row>
    <row r="181">
      <c r="L181" s="123"/>
      <c r="N181" s="123"/>
      <c r="O181" s="213"/>
    </row>
    <row r="182">
      <c r="L182" s="123"/>
      <c r="N182" s="123"/>
      <c r="O182" s="213"/>
    </row>
    <row r="183">
      <c r="L183" s="123"/>
      <c r="N183" s="123"/>
      <c r="O183" s="213"/>
    </row>
    <row r="184">
      <c r="L184" s="123"/>
      <c r="N184" s="123"/>
      <c r="O184" s="213"/>
    </row>
    <row r="185">
      <c r="L185" s="123"/>
      <c r="N185" s="123"/>
      <c r="O185" s="213"/>
    </row>
    <row r="186">
      <c r="L186" s="123"/>
      <c r="N186" s="123"/>
      <c r="O186" s="213"/>
    </row>
    <row r="187">
      <c r="L187" s="123"/>
      <c r="N187" s="123"/>
      <c r="O187" s="213"/>
    </row>
    <row r="188">
      <c r="L188" s="123"/>
      <c r="N188" s="123"/>
      <c r="O188" s="213"/>
    </row>
    <row r="189">
      <c r="L189" s="123"/>
      <c r="N189" s="123"/>
      <c r="O189" s="213"/>
    </row>
    <row r="190">
      <c r="L190" s="123"/>
      <c r="N190" s="123"/>
      <c r="O190" s="213"/>
    </row>
    <row r="191">
      <c r="L191" s="123"/>
      <c r="N191" s="123"/>
      <c r="O191" s="213"/>
    </row>
    <row r="192">
      <c r="L192" s="123"/>
      <c r="N192" s="123"/>
      <c r="O192" s="213"/>
    </row>
    <row r="193">
      <c r="L193" s="123"/>
      <c r="N193" s="123"/>
      <c r="O193" s="213"/>
    </row>
    <row r="194">
      <c r="L194" s="123"/>
      <c r="N194" s="123"/>
      <c r="O194" s="213"/>
    </row>
    <row r="195">
      <c r="L195" s="123"/>
      <c r="N195" s="123"/>
      <c r="O195" s="213"/>
    </row>
    <row r="196">
      <c r="L196" s="123"/>
      <c r="N196" s="123"/>
      <c r="O196" s="213"/>
    </row>
    <row r="197">
      <c r="L197" s="123"/>
      <c r="N197" s="123"/>
      <c r="O197" s="213"/>
    </row>
    <row r="198">
      <c r="L198" s="123"/>
      <c r="N198" s="123"/>
      <c r="O198" s="213"/>
    </row>
    <row r="199">
      <c r="L199" s="123"/>
      <c r="N199" s="123"/>
      <c r="O199" s="213"/>
    </row>
    <row r="200">
      <c r="L200" s="123"/>
      <c r="N200" s="123"/>
      <c r="O200" s="213"/>
    </row>
    <row r="201">
      <c r="L201" s="123"/>
      <c r="N201" s="123"/>
      <c r="O201" s="213"/>
    </row>
    <row r="202">
      <c r="L202" s="123"/>
      <c r="N202" s="123"/>
      <c r="O202" s="213"/>
    </row>
    <row r="203">
      <c r="L203" s="123"/>
      <c r="N203" s="123"/>
      <c r="O203" s="213"/>
    </row>
    <row r="204">
      <c r="L204" s="123"/>
      <c r="N204" s="123"/>
      <c r="O204" s="213"/>
    </row>
    <row r="205">
      <c r="L205" s="123"/>
      <c r="N205" s="123"/>
      <c r="O205" s="213"/>
    </row>
    <row r="206">
      <c r="L206" s="123"/>
      <c r="N206" s="123"/>
      <c r="O206" s="213"/>
    </row>
    <row r="207">
      <c r="L207" s="123"/>
      <c r="N207" s="123"/>
      <c r="O207" s="213"/>
    </row>
    <row r="208">
      <c r="L208" s="123"/>
      <c r="N208" s="123"/>
      <c r="O208" s="213"/>
    </row>
    <row r="209">
      <c r="L209" s="123"/>
      <c r="N209" s="123"/>
      <c r="O209" s="213"/>
    </row>
    <row r="210">
      <c r="L210" s="123"/>
      <c r="N210" s="123"/>
      <c r="O210" s="213"/>
    </row>
    <row r="211">
      <c r="L211" s="123"/>
      <c r="N211" s="123"/>
      <c r="O211" s="213"/>
    </row>
    <row r="212">
      <c r="L212" s="123"/>
      <c r="N212" s="123"/>
      <c r="O212" s="213"/>
    </row>
    <row r="213">
      <c r="L213" s="123"/>
      <c r="N213" s="123"/>
      <c r="O213" s="213"/>
    </row>
    <row r="214">
      <c r="L214" s="123"/>
      <c r="N214" s="123"/>
      <c r="O214" s="213"/>
    </row>
    <row r="215">
      <c r="L215" s="123"/>
      <c r="N215" s="123"/>
      <c r="O215" s="213"/>
    </row>
    <row r="216">
      <c r="L216" s="123"/>
      <c r="N216" s="123"/>
      <c r="O216" s="213"/>
    </row>
    <row r="217">
      <c r="L217" s="123"/>
      <c r="N217" s="123"/>
      <c r="O217" s="213"/>
    </row>
    <row r="218">
      <c r="L218" s="123"/>
      <c r="N218" s="123"/>
      <c r="O218" s="213"/>
    </row>
    <row r="219">
      <c r="L219" s="123"/>
      <c r="N219" s="123"/>
      <c r="O219" s="213"/>
    </row>
    <row r="220">
      <c r="L220" s="123"/>
      <c r="N220" s="123"/>
      <c r="O220" s="213"/>
    </row>
    <row r="221">
      <c r="L221" s="123"/>
      <c r="N221" s="123"/>
      <c r="O221" s="213"/>
    </row>
    <row r="222">
      <c r="L222" s="123"/>
      <c r="N222" s="123"/>
      <c r="O222" s="213"/>
    </row>
    <row r="223">
      <c r="L223" s="123"/>
      <c r="N223" s="123"/>
      <c r="O223" s="213"/>
    </row>
    <row r="224">
      <c r="L224" s="123"/>
      <c r="N224" s="123"/>
      <c r="O224" s="213"/>
    </row>
    <row r="225">
      <c r="L225" s="123"/>
      <c r="N225" s="123"/>
      <c r="O225" s="213"/>
    </row>
    <row r="226">
      <c r="L226" s="123"/>
      <c r="N226" s="123"/>
      <c r="O226" s="213"/>
    </row>
    <row r="227">
      <c r="L227" s="123"/>
      <c r="N227" s="123"/>
      <c r="O227" s="213"/>
    </row>
    <row r="228">
      <c r="L228" s="123"/>
      <c r="N228" s="123"/>
      <c r="O228" s="213"/>
    </row>
    <row r="229">
      <c r="L229" s="123"/>
      <c r="N229" s="123"/>
      <c r="O229" s="213"/>
    </row>
    <row r="230">
      <c r="L230" s="123"/>
      <c r="N230" s="123"/>
      <c r="O230" s="213"/>
    </row>
    <row r="231">
      <c r="L231" s="123"/>
      <c r="N231" s="123"/>
      <c r="O231" s="213"/>
    </row>
    <row r="232">
      <c r="L232" s="123"/>
      <c r="N232" s="123"/>
      <c r="O232" s="213"/>
    </row>
    <row r="233">
      <c r="L233" s="123"/>
      <c r="N233" s="123"/>
      <c r="O233" s="213"/>
    </row>
    <row r="234">
      <c r="L234" s="123"/>
      <c r="N234" s="123"/>
      <c r="O234" s="213"/>
    </row>
    <row r="235">
      <c r="L235" s="123"/>
      <c r="N235" s="123"/>
      <c r="O235" s="213"/>
    </row>
    <row r="236">
      <c r="L236" s="123"/>
      <c r="N236" s="123"/>
      <c r="O236" s="213"/>
    </row>
    <row r="237">
      <c r="L237" s="123"/>
      <c r="N237" s="123"/>
      <c r="O237" s="213"/>
    </row>
    <row r="238">
      <c r="L238" s="123"/>
      <c r="N238" s="123"/>
      <c r="O238" s="213"/>
    </row>
    <row r="239">
      <c r="L239" s="123"/>
      <c r="N239" s="123"/>
      <c r="O239" s="213"/>
    </row>
    <row r="240">
      <c r="L240" s="123"/>
      <c r="N240" s="123"/>
      <c r="O240" s="213"/>
    </row>
    <row r="241">
      <c r="L241" s="123"/>
      <c r="N241" s="123"/>
      <c r="O241" s="213"/>
    </row>
    <row r="242">
      <c r="L242" s="123"/>
      <c r="N242" s="123"/>
      <c r="O242" s="213"/>
    </row>
    <row r="243">
      <c r="L243" s="123"/>
      <c r="N243" s="123"/>
      <c r="O243" s="213"/>
    </row>
    <row r="244">
      <c r="L244" s="123"/>
      <c r="N244" s="123"/>
      <c r="O244" s="213"/>
    </row>
    <row r="245">
      <c r="L245" s="123"/>
      <c r="N245" s="123"/>
      <c r="O245" s="213"/>
    </row>
    <row r="246">
      <c r="L246" s="123"/>
      <c r="N246" s="123"/>
      <c r="O246" s="213"/>
    </row>
    <row r="247">
      <c r="L247" s="123"/>
      <c r="N247" s="123"/>
      <c r="O247" s="213"/>
    </row>
    <row r="248">
      <c r="L248" s="123"/>
      <c r="N248" s="123"/>
      <c r="O248" s="213"/>
    </row>
    <row r="249">
      <c r="L249" s="123"/>
      <c r="N249" s="123"/>
      <c r="O249" s="213"/>
    </row>
    <row r="250">
      <c r="L250" s="123"/>
      <c r="N250" s="123"/>
      <c r="O250" s="213"/>
    </row>
    <row r="251">
      <c r="L251" s="123"/>
      <c r="N251" s="123"/>
      <c r="O251" s="213"/>
    </row>
    <row r="252">
      <c r="L252" s="123"/>
      <c r="N252" s="123"/>
      <c r="O252" s="213"/>
    </row>
    <row r="253">
      <c r="L253" s="123"/>
      <c r="N253" s="123"/>
      <c r="O253" s="213"/>
    </row>
    <row r="254">
      <c r="L254" s="123"/>
      <c r="N254" s="123"/>
      <c r="O254" s="213"/>
    </row>
    <row r="255">
      <c r="L255" s="123"/>
      <c r="N255" s="123"/>
      <c r="O255" s="213"/>
    </row>
    <row r="256">
      <c r="L256" s="123"/>
      <c r="N256" s="123"/>
      <c r="O256" s="213"/>
    </row>
    <row r="257">
      <c r="L257" s="123"/>
      <c r="N257" s="123"/>
      <c r="O257" s="213"/>
    </row>
    <row r="258">
      <c r="L258" s="123"/>
      <c r="N258" s="123"/>
      <c r="O258" s="213"/>
    </row>
    <row r="259">
      <c r="L259" s="123"/>
      <c r="N259" s="123"/>
      <c r="O259" s="213"/>
    </row>
    <row r="260">
      <c r="L260" s="123"/>
      <c r="N260" s="123"/>
      <c r="O260" s="213"/>
    </row>
    <row r="261">
      <c r="L261" s="123"/>
      <c r="N261" s="123"/>
      <c r="O261" s="213"/>
    </row>
    <row r="262">
      <c r="L262" s="123"/>
      <c r="N262" s="123"/>
      <c r="O262" s="213"/>
    </row>
    <row r="263">
      <c r="L263" s="123"/>
      <c r="N263" s="123"/>
      <c r="O263" s="213"/>
    </row>
    <row r="264">
      <c r="L264" s="123"/>
      <c r="N264" s="123"/>
      <c r="O264" s="213"/>
    </row>
    <row r="265">
      <c r="L265" s="123"/>
      <c r="N265" s="123"/>
      <c r="O265" s="213"/>
    </row>
    <row r="266">
      <c r="L266" s="123"/>
      <c r="N266" s="123"/>
      <c r="O266" s="213"/>
    </row>
    <row r="267">
      <c r="L267" s="123"/>
      <c r="N267" s="123"/>
      <c r="O267" s="213"/>
    </row>
    <row r="268">
      <c r="L268" s="123"/>
      <c r="N268" s="123"/>
      <c r="O268" s="213"/>
    </row>
    <row r="269">
      <c r="L269" s="123"/>
      <c r="N269" s="123"/>
      <c r="O269" s="213"/>
    </row>
    <row r="270">
      <c r="L270" s="123"/>
      <c r="N270" s="123"/>
      <c r="O270" s="213"/>
    </row>
    <row r="271">
      <c r="L271" s="123"/>
      <c r="N271" s="123"/>
      <c r="O271" s="213"/>
    </row>
    <row r="272">
      <c r="L272" s="123"/>
      <c r="N272" s="123"/>
      <c r="O272" s="213"/>
    </row>
    <row r="273">
      <c r="L273" s="123"/>
      <c r="N273" s="123"/>
      <c r="O273" s="213"/>
    </row>
    <row r="274">
      <c r="L274" s="123"/>
      <c r="N274" s="123"/>
      <c r="O274" s="213"/>
    </row>
    <row r="275">
      <c r="L275" s="123"/>
      <c r="N275" s="123"/>
      <c r="O275" s="213"/>
    </row>
    <row r="276">
      <c r="L276" s="123"/>
      <c r="N276" s="123"/>
      <c r="O276" s="213"/>
    </row>
    <row r="277">
      <c r="L277" s="123"/>
      <c r="N277" s="123"/>
      <c r="O277" s="213"/>
    </row>
    <row r="278">
      <c r="L278" s="123"/>
      <c r="N278" s="123"/>
      <c r="O278" s="213"/>
    </row>
    <row r="279">
      <c r="L279" s="123"/>
      <c r="N279" s="123"/>
      <c r="O279" s="213"/>
    </row>
    <row r="280">
      <c r="L280" s="123"/>
      <c r="N280" s="123"/>
      <c r="O280" s="213"/>
    </row>
    <row r="281">
      <c r="L281" s="123"/>
      <c r="N281" s="123"/>
      <c r="O281" s="213"/>
    </row>
    <row r="282">
      <c r="L282" s="123"/>
      <c r="N282" s="123"/>
      <c r="O282" s="213"/>
    </row>
    <row r="283">
      <c r="L283" s="123"/>
      <c r="N283" s="123"/>
      <c r="O283" s="213"/>
    </row>
    <row r="284">
      <c r="L284" s="123"/>
      <c r="N284" s="123"/>
      <c r="O284" s="213"/>
    </row>
    <row r="285">
      <c r="L285" s="123"/>
      <c r="N285" s="123"/>
      <c r="O285" s="213"/>
    </row>
    <row r="286">
      <c r="L286" s="123"/>
      <c r="N286" s="123"/>
      <c r="O286" s="213"/>
    </row>
    <row r="287">
      <c r="L287" s="123"/>
      <c r="N287" s="123"/>
      <c r="O287" s="213"/>
    </row>
    <row r="288">
      <c r="L288" s="123"/>
      <c r="N288" s="123"/>
      <c r="O288" s="213"/>
    </row>
    <row r="289">
      <c r="L289" s="123"/>
      <c r="N289" s="123"/>
      <c r="O289" s="213"/>
    </row>
    <row r="290">
      <c r="L290" s="123"/>
      <c r="N290" s="123"/>
      <c r="O290" s="213"/>
    </row>
    <row r="291">
      <c r="L291" s="123"/>
      <c r="N291" s="123"/>
      <c r="O291" s="213"/>
    </row>
    <row r="292">
      <c r="L292" s="123"/>
      <c r="N292" s="123"/>
      <c r="O292" s="213"/>
    </row>
    <row r="293">
      <c r="L293" s="123"/>
      <c r="N293" s="123"/>
      <c r="O293" s="213"/>
    </row>
    <row r="294">
      <c r="L294" s="123"/>
      <c r="N294" s="123"/>
      <c r="O294" s="213"/>
    </row>
    <row r="295">
      <c r="L295" s="123"/>
      <c r="N295" s="123"/>
      <c r="O295" s="213"/>
    </row>
    <row r="296">
      <c r="L296" s="123"/>
      <c r="N296" s="123"/>
      <c r="O296" s="213"/>
    </row>
    <row r="297">
      <c r="L297" s="123"/>
      <c r="N297" s="123"/>
      <c r="O297" s="213"/>
    </row>
    <row r="298">
      <c r="L298" s="123"/>
      <c r="N298" s="123"/>
      <c r="O298" s="213"/>
    </row>
    <row r="299">
      <c r="L299" s="123"/>
      <c r="N299" s="123"/>
      <c r="O299" s="213"/>
    </row>
    <row r="300">
      <c r="L300" s="123"/>
      <c r="N300" s="123"/>
      <c r="O300" s="213"/>
    </row>
    <row r="301">
      <c r="L301" s="123"/>
      <c r="N301" s="123"/>
      <c r="O301" s="213"/>
    </row>
    <row r="302">
      <c r="L302" s="123"/>
      <c r="N302" s="123"/>
      <c r="O302" s="213"/>
    </row>
    <row r="303">
      <c r="L303" s="123"/>
      <c r="N303" s="123"/>
      <c r="O303" s="213"/>
    </row>
    <row r="304">
      <c r="L304" s="123"/>
      <c r="N304" s="123"/>
      <c r="O304" s="213"/>
    </row>
    <row r="305">
      <c r="L305" s="123"/>
      <c r="N305" s="123"/>
      <c r="O305" s="213"/>
    </row>
    <row r="306">
      <c r="L306" s="123"/>
      <c r="N306" s="123"/>
      <c r="O306" s="213"/>
    </row>
    <row r="307">
      <c r="L307" s="123"/>
      <c r="N307" s="123"/>
      <c r="O307" s="213"/>
    </row>
    <row r="308">
      <c r="L308" s="123"/>
      <c r="N308" s="123"/>
      <c r="O308" s="213"/>
    </row>
    <row r="309">
      <c r="L309" s="123"/>
      <c r="N309" s="123"/>
      <c r="O309" s="213"/>
    </row>
    <row r="310">
      <c r="L310" s="123"/>
      <c r="N310" s="123"/>
      <c r="O310" s="213"/>
    </row>
    <row r="311">
      <c r="L311" s="123"/>
      <c r="N311" s="123"/>
      <c r="O311" s="213"/>
    </row>
    <row r="312">
      <c r="L312" s="123"/>
      <c r="N312" s="123"/>
      <c r="O312" s="213"/>
    </row>
    <row r="313">
      <c r="L313" s="123"/>
      <c r="N313" s="123"/>
      <c r="O313" s="213"/>
    </row>
    <row r="314">
      <c r="L314" s="123"/>
      <c r="N314" s="123"/>
      <c r="O314" s="213"/>
    </row>
    <row r="315">
      <c r="L315" s="123"/>
      <c r="N315" s="123"/>
      <c r="O315" s="213"/>
    </row>
    <row r="316">
      <c r="L316" s="123"/>
      <c r="N316" s="123"/>
      <c r="O316" s="213"/>
    </row>
    <row r="317">
      <c r="L317" s="123"/>
      <c r="N317" s="123"/>
      <c r="O317" s="213"/>
    </row>
    <row r="318">
      <c r="L318" s="123"/>
      <c r="N318" s="123"/>
      <c r="O318" s="213"/>
    </row>
    <row r="319">
      <c r="L319" s="123"/>
      <c r="N319" s="123"/>
      <c r="O319" s="213"/>
    </row>
    <row r="320">
      <c r="L320" s="123"/>
      <c r="N320" s="123"/>
      <c r="O320" s="213"/>
    </row>
    <row r="321">
      <c r="L321" s="123"/>
      <c r="N321" s="123"/>
      <c r="O321" s="213"/>
    </row>
    <row r="322">
      <c r="L322" s="123"/>
      <c r="N322" s="123"/>
      <c r="O322" s="213"/>
    </row>
    <row r="323">
      <c r="L323" s="123"/>
      <c r="N323" s="123"/>
      <c r="O323" s="213"/>
    </row>
    <row r="324">
      <c r="L324" s="123"/>
      <c r="N324" s="123"/>
      <c r="O324" s="213"/>
    </row>
    <row r="325">
      <c r="L325" s="123"/>
      <c r="N325" s="123"/>
      <c r="O325" s="213"/>
    </row>
    <row r="326">
      <c r="L326" s="123"/>
      <c r="N326" s="123"/>
      <c r="O326" s="213"/>
    </row>
    <row r="327">
      <c r="L327" s="123"/>
      <c r="N327" s="123"/>
      <c r="O327" s="213"/>
    </row>
    <row r="328">
      <c r="L328" s="123"/>
      <c r="N328" s="123"/>
      <c r="O328" s="213"/>
    </row>
    <row r="329">
      <c r="L329" s="123"/>
      <c r="N329" s="123"/>
      <c r="O329" s="213"/>
    </row>
    <row r="330">
      <c r="L330" s="123"/>
      <c r="N330" s="123"/>
      <c r="O330" s="213"/>
    </row>
    <row r="331">
      <c r="L331" s="123"/>
      <c r="N331" s="123"/>
      <c r="O331" s="213"/>
    </row>
    <row r="332">
      <c r="L332" s="123"/>
      <c r="N332" s="123"/>
      <c r="O332" s="213"/>
    </row>
    <row r="333">
      <c r="L333" s="123"/>
      <c r="N333" s="123"/>
      <c r="O333" s="213"/>
    </row>
    <row r="334">
      <c r="L334" s="123"/>
      <c r="N334" s="123"/>
      <c r="O334" s="213"/>
    </row>
    <row r="335">
      <c r="L335" s="123"/>
      <c r="N335" s="123"/>
      <c r="O335" s="213"/>
    </row>
    <row r="336">
      <c r="L336" s="123"/>
      <c r="N336" s="123"/>
      <c r="O336" s="213"/>
    </row>
    <row r="337">
      <c r="L337" s="123"/>
      <c r="N337" s="123"/>
      <c r="O337" s="213"/>
    </row>
    <row r="338">
      <c r="L338" s="123"/>
      <c r="N338" s="123"/>
      <c r="O338" s="213"/>
    </row>
    <row r="339">
      <c r="L339" s="123"/>
      <c r="N339" s="123"/>
      <c r="O339" s="213"/>
    </row>
    <row r="340">
      <c r="L340" s="123"/>
      <c r="N340" s="123"/>
      <c r="O340" s="213"/>
    </row>
    <row r="341">
      <c r="L341" s="123"/>
      <c r="N341" s="123"/>
      <c r="O341" s="213"/>
    </row>
    <row r="342">
      <c r="L342" s="123"/>
      <c r="N342" s="123"/>
      <c r="O342" s="213"/>
    </row>
    <row r="343">
      <c r="L343" s="123"/>
      <c r="N343" s="123"/>
      <c r="O343" s="213"/>
    </row>
    <row r="344">
      <c r="L344" s="123"/>
      <c r="N344" s="123"/>
      <c r="O344" s="213"/>
    </row>
    <row r="345">
      <c r="L345" s="123"/>
      <c r="N345" s="123"/>
      <c r="O345" s="213"/>
    </row>
    <row r="346">
      <c r="L346" s="123"/>
      <c r="N346" s="123"/>
      <c r="O346" s="213"/>
    </row>
    <row r="347">
      <c r="L347" s="123"/>
      <c r="N347" s="123"/>
      <c r="O347" s="213"/>
    </row>
    <row r="348">
      <c r="L348" s="123"/>
      <c r="N348" s="123"/>
      <c r="O348" s="213"/>
    </row>
    <row r="349">
      <c r="L349" s="123"/>
      <c r="N349" s="123"/>
      <c r="O349" s="213"/>
    </row>
    <row r="350">
      <c r="L350" s="123"/>
      <c r="N350" s="123"/>
      <c r="O350" s="213"/>
    </row>
    <row r="351">
      <c r="L351" s="123"/>
      <c r="N351" s="123"/>
      <c r="O351" s="213"/>
    </row>
    <row r="352">
      <c r="L352" s="123"/>
      <c r="N352" s="123"/>
      <c r="O352" s="213"/>
    </row>
    <row r="353">
      <c r="L353" s="123"/>
      <c r="N353" s="123"/>
      <c r="O353" s="213"/>
    </row>
    <row r="354">
      <c r="L354" s="123"/>
      <c r="N354" s="123"/>
      <c r="O354" s="213"/>
    </row>
    <row r="355">
      <c r="L355" s="123"/>
      <c r="N355" s="123"/>
      <c r="O355" s="213"/>
    </row>
    <row r="356">
      <c r="L356" s="123"/>
      <c r="N356" s="123"/>
      <c r="O356" s="213"/>
    </row>
    <row r="357">
      <c r="L357" s="123"/>
      <c r="N357" s="123"/>
      <c r="O357" s="213"/>
    </row>
    <row r="358">
      <c r="L358" s="123"/>
      <c r="N358" s="123"/>
      <c r="O358" s="213"/>
    </row>
    <row r="359">
      <c r="L359" s="123"/>
      <c r="N359" s="123"/>
      <c r="O359" s="213"/>
    </row>
    <row r="360">
      <c r="L360" s="123"/>
      <c r="N360" s="123"/>
      <c r="O360" s="213"/>
    </row>
    <row r="361">
      <c r="L361" s="123"/>
      <c r="N361" s="123"/>
      <c r="O361" s="213"/>
    </row>
    <row r="362">
      <c r="L362" s="123"/>
      <c r="N362" s="123"/>
      <c r="O362" s="213"/>
    </row>
    <row r="363">
      <c r="L363" s="123"/>
      <c r="N363" s="123"/>
      <c r="O363" s="213"/>
    </row>
    <row r="364">
      <c r="L364" s="123"/>
      <c r="N364" s="123"/>
      <c r="O364" s="213"/>
    </row>
    <row r="365">
      <c r="L365" s="123"/>
      <c r="N365" s="123"/>
      <c r="O365" s="213"/>
    </row>
    <row r="366">
      <c r="L366" s="123"/>
      <c r="N366" s="123"/>
      <c r="O366" s="213"/>
    </row>
    <row r="367">
      <c r="L367" s="123"/>
      <c r="N367" s="123"/>
      <c r="O367" s="213"/>
    </row>
    <row r="368">
      <c r="L368" s="123"/>
      <c r="N368" s="123"/>
      <c r="O368" s="213"/>
    </row>
    <row r="369">
      <c r="L369" s="123"/>
      <c r="N369" s="123"/>
      <c r="O369" s="213"/>
    </row>
    <row r="370">
      <c r="L370" s="123"/>
      <c r="N370" s="123"/>
      <c r="O370" s="213"/>
    </row>
    <row r="371">
      <c r="L371" s="123"/>
      <c r="N371" s="123"/>
      <c r="O371" s="213"/>
    </row>
    <row r="372">
      <c r="L372" s="123"/>
      <c r="N372" s="123"/>
      <c r="O372" s="213"/>
    </row>
    <row r="373">
      <c r="L373" s="123"/>
      <c r="N373" s="123"/>
      <c r="O373" s="213"/>
    </row>
    <row r="374">
      <c r="L374" s="123"/>
      <c r="N374" s="123"/>
      <c r="O374" s="213"/>
    </row>
    <row r="375">
      <c r="L375" s="123"/>
      <c r="N375" s="123"/>
      <c r="O375" s="213"/>
    </row>
    <row r="376">
      <c r="L376" s="123"/>
      <c r="N376" s="123"/>
      <c r="O376" s="213"/>
    </row>
    <row r="377">
      <c r="L377" s="123"/>
      <c r="N377" s="123"/>
      <c r="O377" s="213"/>
    </row>
    <row r="378">
      <c r="L378" s="123"/>
      <c r="N378" s="123"/>
      <c r="O378" s="213"/>
    </row>
    <row r="379">
      <c r="L379" s="123"/>
      <c r="N379" s="123"/>
      <c r="O379" s="213"/>
    </row>
    <row r="380">
      <c r="L380" s="123"/>
      <c r="N380" s="123"/>
      <c r="O380" s="213"/>
    </row>
    <row r="381">
      <c r="L381" s="123"/>
      <c r="N381" s="123"/>
      <c r="O381" s="213"/>
    </row>
    <row r="382">
      <c r="L382" s="123"/>
      <c r="N382" s="123"/>
      <c r="O382" s="213"/>
    </row>
    <row r="383">
      <c r="L383" s="123"/>
      <c r="N383" s="123"/>
      <c r="O383" s="213"/>
    </row>
    <row r="384">
      <c r="L384" s="123"/>
      <c r="N384" s="123"/>
      <c r="O384" s="213"/>
    </row>
    <row r="385">
      <c r="L385" s="123"/>
      <c r="N385" s="123"/>
      <c r="O385" s="213"/>
    </row>
    <row r="386">
      <c r="L386" s="123"/>
      <c r="N386" s="123"/>
      <c r="O386" s="213"/>
    </row>
    <row r="387">
      <c r="L387" s="123"/>
      <c r="N387" s="123"/>
      <c r="O387" s="213"/>
    </row>
    <row r="388">
      <c r="L388" s="123"/>
      <c r="N388" s="123"/>
      <c r="O388" s="213"/>
    </row>
    <row r="389">
      <c r="L389" s="123"/>
      <c r="N389" s="123"/>
      <c r="O389" s="213"/>
    </row>
    <row r="390">
      <c r="L390" s="123"/>
      <c r="N390" s="123"/>
      <c r="O390" s="213"/>
    </row>
    <row r="391">
      <c r="L391" s="123"/>
      <c r="N391" s="123"/>
      <c r="O391" s="213"/>
    </row>
    <row r="392">
      <c r="L392" s="123"/>
      <c r="N392" s="123"/>
      <c r="O392" s="213"/>
    </row>
    <row r="393">
      <c r="L393" s="123"/>
      <c r="N393" s="123"/>
      <c r="O393" s="213"/>
    </row>
    <row r="394">
      <c r="L394" s="123"/>
      <c r="N394" s="123"/>
      <c r="O394" s="213"/>
    </row>
    <row r="395">
      <c r="L395" s="123"/>
      <c r="N395" s="123"/>
      <c r="O395" s="213"/>
    </row>
    <row r="396">
      <c r="L396" s="123"/>
      <c r="N396" s="123"/>
      <c r="O396" s="213"/>
    </row>
    <row r="397">
      <c r="L397" s="123"/>
      <c r="N397" s="123"/>
      <c r="O397" s="213"/>
    </row>
    <row r="398">
      <c r="L398" s="123"/>
      <c r="N398" s="123"/>
      <c r="O398" s="213"/>
    </row>
    <row r="399">
      <c r="L399" s="123"/>
      <c r="N399" s="123"/>
      <c r="O399" s="213"/>
    </row>
    <row r="400">
      <c r="L400" s="123"/>
      <c r="N400" s="123"/>
      <c r="O400" s="213"/>
    </row>
    <row r="401">
      <c r="L401" s="123"/>
      <c r="N401" s="123"/>
      <c r="O401" s="213"/>
    </row>
    <row r="402">
      <c r="L402" s="123"/>
      <c r="N402" s="123"/>
      <c r="O402" s="213"/>
    </row>
    <row r="403">
      <c r="L403" s="123"/>
      <c r="N403" s="123"/>
      <c r="O403" s="213"/>
    </row>
    <row r="404">
      <c r="L404" s="123"/>
      <c r="N404" s="123"/>
      <c r="O404" s="213"/>
    </row>
    <row r="405">
      <c r="L405" s="123"/>
      <c r="N405" s="123"/>
      <c r="O405" s="213"/>
    </row>
    <row r="406">
      <c r="L406" s="123"/>
      <c r="N406" s="123"/>
      <c r="O406" s="213"/>
    </row>
    <row r="407">
      <c r="L407" s="123"/>
      <c r="N407" s="123"/>
      <c r="O407" s="213"/>
    </row>
    <row r="408">
      <c r="L408" s="123"/>
      <c r="N408" s="123"/>
      <c r="O408" s="213"/>
    </row>
    <row r="409">
      <c r="L409" s="123"/>
      <c r="N409" s="123"/>
      <c r="O409" s="213"/>
    </row>
    <row r="410">
      <c r="L410" s="123"/>
      <c r="N410" s="123"/>
      <c r="O410" s="213"/>
    </row>
    <row r="411">
      <c r="L411" s="123"/>
      <c r="N411" s="123"/>
      <c r="O411" s="213"/>
    </row>
    <row r="412">
      <c r="L412" s="123"/>
      <c r="N412" s="123"/>
      <c r="O412" s="213"/>
    </row>
    <row r="413">
      <c r="L413" s="123"/>
      <c r="N413" s="123"/>
      <c r="O413" s="213"/>
    </row>
    <row r="414">
      <c r="L414" s="123"/>
      <c r="N414" s="123"/>
      <c r="O414" s="213"/>
    </row>
    <row r="415">
      <c r="L415" s="123"/>
      <c r="N415" s="123"/>
      <c r="O415" s="213"/>
    </row>
    <row r="416">
      <c r="L416" s="123"/>
      <c r="N416" s="123"/>
      <c r="O416" s="213"/>
    </row>
    <row r="417">
      <c r="L417" s="123"/>
      <c r="N417" s="123"/>
      <c r="O417" s="213"/>
    </row>
    <row r="418">
      <c r="L418" s="123"/>
      <c r="N418" s="123"/>
      <c r="O418" s="213"/>
    </row>
    <row r="419">
      <c r="L419" s="123"/>
      <c r="N419" s="123"/>
      <c r="O419" s="213"/>
    </row>
    <row r="420">
      <c r="L420" s="123"/>
      <c r="N420" s="123"/>
      <c r="O420" s="213"/>
    </row>
    <row r="421">
      <c r="L421" s="123"/>
      <c r="N421" s="123"/>
      <c r="O421" s="213"/>
    </row>
    <row r="422">
      <c r="L422" s="123"/>
      <c r="N422" s="123"/>
      <c r="O422" s="213"/>
    </row>
    <row r="423">
      <c r="L423" s="123"/>
      <c r="N423" s="123"/>
      <c r="O423" s="213"/>
    </row>
    <row r="424">
      <c r="L424" s="123"/>
      <c r="N424" s="123"/>
      <c r="O424" s="213"/>
    </row>
    <row r="425">
      <c r="L425" s="123"/>
      <c r="N425" s="123"/>
      <c r="O425" s="213"/>
    </row>
    <row r="426">
      <c r="L426" s="123"/>
      <c r="N426" s="123"/>
      <c r="O426" s="213"/>
    </row>
    <row r="427">
      <c r="L427" s="123"/>
      <c r="N427" s="123"/>
      <c r="O427" s="213"/>
    </row>
    <row r="428">
      <c r="L428" s="123"/>
      <c r="N428" s="123"/>
      <c r="O428" s="213"/>
    </row>
    <row r="429">
      <c r="L429" s="123"/>
      <c r="N429" s="123"/>
      <c r="O429" s="213"/>
    </row>
    <row r="430">
      <c r="L430" s="123"/>
      <c r="N430" s="123"/>
      <c r="O430" s="213"/>
    </row>
    <row r="431">
      <c r="L431" s="123"/>
      <c r="N431" s="123"/>
      <c r="O431" s="213"/>
    </row>
    <row r="432">
      <c r="L432" s="123"/>
      <c r="N432" s="123"/>
      <c r="O432" s="213"/>
    </row>
    <row r="433">
      <c r="L433" s="123"/>
      <c r="N433" s="123"/>
      <c r="O433" s="213"/>
    </row>
    <row r="434">
      <c r="L434" s="123"/>
      <c r="N434" s="123"/>
      <c r="O434" s="213"/>
    </row>
    <row r="435">
      <c r="L435" s="123"/>
      <c r="N435" s="123"/>
      <c r="O435" s="213"/>
    </row>
    <row r="436">
      <c r="L436" s="123"/>
      <c r="N436" s="123"/>
      <c r="O436" s="213"/>
    </row>
    <row r="437">
      <c r="L437" s="123"/>
      <c r="N437" s="123"/>
      <c r="O437" s="213"/>
    </row>
    <row r="438">
      <c r="L438" s="123"/>
      <c r="N438" s="123"/>
      <c r="O438" s="213"/>
    </row>
    <row r="439">
      <c r="L439" s="123"/>
      <c r="N439" s="123"/>
      <c r="O439" s="213"/>
    </row>
    <row r="440">
      <c r="L440" s="123"/>
      <c r="N440" s="123"/>
      <c r="O440" s="213"/>
    </row>
    <row r="441">
      <c r="L441" s="123"/>
      <c r="N441" s="123"/>
      <c r="O441" s="213"/>
    </row>
    <row r="442">
      <c r="L442" s="123"/>
      <c r="N442" s="123"/>
      <c r="O442" s="213"/>
    </row>
    <row r="443">
      <c r="L443" s="123"/>
      <c r="N443" s="123"/>
      <c r="O443" s="213"/>
    </row>
    <row r="444">
      <c r="L444" s="123"/>
      <c r="N444" s="123"/>
      <c r="O444" s="213"/>
    </row>
    <row r="445">
      <c r="L445" s="123"/>
      <c r="N445" s="123"/>
      <c r="O445" s="213"/>
    </row>
    <row r="446">
      <c r="L446" s="123"/>
      <c r="N446" s="123"/>
      <c r="O446" s="213"/>
    </row>
    <row r="447">
      <c r="L447" s="123"/>
      <c r="N447" s="123"/>
      <c r="O447" s="213"/>
    </row>
    <row r="448">
      <c r="L448" s="123"/>
      <c r="N448" s="123"/>
      <c r="O448" s="213"/>
    </row>
    <row r="449">
      <c r="L449" s="123"/>
      <c r="N449" s="123"/>
      <c r="O449" s="213"/>
    </row>
    <row r="450">
      <c r="L450" s="123"/>
      <c r="N450" s="123"/>
      <c r="O450" s="213"/>
    </row>
    <row r="451">
      <c r="L451" s="123"/>
      <c r="N451" s="123"/>
      <c r="O451" s="213"/>
    </row>
    <row r="452">
      <c r="L452" s="123"/>
      <c r="N452" s="123"/>
      <c r="O452" s="213"/>
    </row>
    <row r="453">
      <c r="L453" s="123"/>
      <c r="N453" s="123"/>
      <c r="O453" s="213"/>
    </row>
    <row r="454">
      <c r="L454" s="123"/>
      <c r="N454" s="123"/>
      <c r="O454" s="213"/>
    </row>
    <row r="455">
      <c r="L455" s="123"/>
      <c r="N455" s="123"/>
      <c r="O455" s="213"/>
    </row>
    <row r="456">
      <c r="L456" s="123"/>
      <c r="N456" s="123"/>
      <c r="O456" s="213"/>
    </row>
    <row r="457">
      <c r="L457" s="123"/>
      <c r="N457" s="123"/>
      <c r="O457" s="213"/>
    </row>
    <row r="458">
      <c r="L458" s="123"/>
      <c r="N458" s="123"/>
      <c r="O458" s="213"/>
    </row>
    <row r="459">
      <c r="L459" s="123"/>
      <c r="N459" s="123"/>
      <c r="O459" s="213"/>
    </row>
    <row r="460">
      <c r="L460" s="123"/>
      <c r="N460" s="123"/>
      <c r="O460" s="213"/>
    </row>
    <row r="461">
      <c r="L461" s="123"/>
      <c r="N461" s="123"/>
      <c r="O461" s="213"/>
    </row>
    <row r="462">
      <c r="L462" s="123"/>
      <c r="N462" s="123"/>
      <c r="O462" s="213"/>
    </row>
    <row r="463">
      <c r="L463" s="123"/>
      <c r="N463" s="123"/>
      <c r="O463" s="213"/>
    </row>
    <row r="464">
      <c r="L464" s="123"/>
      <c r="N464" s="123"/>
      <c r="O464" s="213"/>
    </row>
    <row r="465">
      <c r="L465" s="123"/>
      <c r="N465" s="123"/>
      <c r="O465" s="213"/>
    </row>
    <row r="466">
      <c r="L466" s="123"/>
      <c r="N466" s="123"/>
      <c r="O466" s="213"/>
    </row>
    <row r="467">
      <c r="L467" s="123"/>
      <c r="N467" s="123"/>
      <c r="O467" s="213"/>
    </row>
    <row r="468">
      <c r="L468" s="123"/>
      <c r="N468" s="123"/>
      <c r="O468" s="213"/>
    </row>
    <row r="469">
      <c r="L469" s="123"/>
      <c r="N469" s="123"/>
      <c r="O469" s="213"/>
    </row>
    <row r="470">
      <c r="L470" s="123"/>
      <c r="N470" s="123"/>
      <c r="O470" s="213"/>
    </row>
    <row r="471">
      <c r="L471" s="123"/>
      <c r="N471" s="123"/>
      <c r="O471" s="213"/>
    </row>
    <row r="472">
      <c r="L472" s="123"/>
      <c r="N472" s="123"/>
      <c r="O472" s="213"/>
    </row>
    <row r="473">
      <c r="L473" s="123"/>
      <c r="N473" s="123"/>
      <c r="O473" s="213"/>
    </row>
    <row r="474">
      <c r="L474" s="123"/>
      <c r="N474" s="123"/>
      <c r="O474" s="213"/>
    </row>
    <row r="475">
      <c r="L475" s="123"/>
      <c r="N475" s="123"/>
      <c r="O475" s="213"/>
    </row>
    <row r="476">
      <c r="L476" s="123"/>
      <c r="N476" s="123"/>
      <c r="O476" s="213"/>
    </row>
    <row r="477">
      <c r="L477" s="123"/>
      <c r="N477" s="123"/>
      <c r="O477" s="213"/>
    </row>
    <row r="478">
      <c r="L478" s="123"/>
      <c r="N478" s="123"/>
      <c r="O478" s="213"/>
    </row>
    <row r="479">
      <c r="L479" s="123"/>
      <c r="N479" s="123"/>
      <c r="O479" s="213"/>
    </row>
    <row r="480">
      <c r="L480" s="123"/>
      <c r="N480" s="123"/>
      <c r="O480" s="213"/>
    </row>
    <row r="481">
      <c r="L481" s="123"/>
      <c r="N481" s="123"/>
      <c r="O481" s="213"/>
    </row>
    <row r="482">
      <c r="L482" s="123"/>
      <c r="N482" s="123"/>
      <c r="O482" s="213"/>
    </row>
    <row r="483">
      <c r="L483" s="123"/>
      <c r="N483" s="123"/>
      <c r="O483" s="213"/>
    </row>
    <row r="484">
      <c r="L484" s="123"/>
      <c r="N484" s="123"/>
      <c r="O484" s="213"/>
    </row>
    <row r="485">
      <c r="L485" s="123"/>
      <c r="N485" s="123"/>
      <c r="O485" s="213"/>
    </row>
    <row r="486">
      <c r="L486" s="123"/>
      <c r="N486" s="123"/>
      <c r="O486" s="213"/>
    </row>
    <row r="487">
      <c r="L487" s="123"/>
      <c r="N487" s="123"/>
      <c r="O487" s="213"/>
    </row>
    <row r="488">
      <c r="L488" s="123"/>
      <c r="N488" s="123"/>
      <c r="O488" s="213"/>
    </row>
    <row r="489">
      <c r="L489" s="123"/>
      <c r="N489" s="123"/>
      <c r="O489" s="213"/>
    </row>
    <row r="490">
      <c r="L490" s="123"/>
      <c r="N490" s="123"/>
      <c r="O490" s="213"/>
    </row>
    <row r="491">
      <c r="L491" s="123"/>
      <c r="N491" s="123"/>
      <c r="O491" s="213"/>
    </row>
    <row r="492">
      <c r="L492" s="123"/>
      <c r="N492" s="123"/>
      <c r="O492" s="213"/>
    </row>
    <row r="493">
      <c r="L493" s="123"/>
      <c r="N493" s="123"/>
      <c r="O493" s="213"/>
    </row>
    <row r="494">
      <c r="L494" s="123"/>
      <c r="N494" s="123"/>
      <c r="O494" s="213"/>
    </row>
    <row r="495">
      <c r="L495" s="123"/>
      <c r="N495" s="123"/>
      <c r="O495" s="213"/>
    </row>
    <row r="496">
      <c r="L496" s="123"/>
      <c r="N496" s="123"/>
      <c r="O496" s="213"/>
    </row>
    <row r="497">
      <c r="L497" s="123"/>
      <c r="N497" s="123"/>
      <c r="O497" s="213"/>
    </row>
    <row r="498">
      <c r="L498" s="123"/>
      <c r="N498" s="123"/>
      <c r="O498" s="213"/>
    </row>
    <row r="499">
      <c r="L499" s="123"/>
      <c r="N499" s="123"/>
      <c r="O499" s="213"/>
    </row>
    <row r="500">
      <c r="L500" s="123"/>
      <c r="N500" s="123"/>
      <c r="O500" s="213"/>
    </row>
    <row r="501">
      <c r="L501" s="123"/>
      <c r="N501" s="123"/>
      <c r="O501" s="213"/>
    </row>
    <row r="502">
      <c r="L502" s="123"/>
      <c r="N502" s="123"/>
      <c r="O502" s="213"/>
    </row>
    <row r="503">
      <c r="L503" s="123"/>
      <c r="N503" s="123"/>
      <c r="O503" s="213"/>
    </row>
    <row r="504">
      <c r="L504" s="123"/>
      <c r="N504" s="123"/>
      <c r="O504" s="213"/>
    </row>
    <row r="505">
      <c r="L505" s="123"/>
      <c r="N505" s="123"/>
      <c r="O505" s="213"/>
    </row>
    <row r="506">
      <c r="L506" s="123"/>
      <c r="N506" s="123"/>
      <c r="O506" s="213"/>
    </row>
    <row r="507">
      <c r="L507" s="123"/>
      <c r="N507" s="123"/>
      <c r="O507" s="213"/>
    </row>
    <row r="508">
      <c r="L508" s="123"/>
      <c r="N508" s="123"/>
      <c r="O508" s="213"/>
    </row>
    <row r="509">
      <c r="L509" s="123"/>
      <c r="N509" s="123"/>
      <c r="O509" s="213"/>
    </row>
    <row r="510">
      <c r="L510" s="123"/>
      <c r="N510" s="123"/>
      <c r="O510" s="213"/>
    </row>
    <row r="511">
      <c r="L511" s="123"/>
      <c r="N511" s="123"/>
      <c r="O511" s="213"/>
    </row>
    <row r="512">
      <c r="L512" s="123"/>
      <c r="N512" s="123"/>
      <c r="O512" s="213"/>
    </row>
    <row r="513">
      <c r="L513" s="123"/>
      <c r="N513" s="123"/>
      <c r="O513" s="213"/>
    </row>
    <row r="514">
      <c r="L514" s="123"/>
      <c r="N514" s="123"/>
      <c r="O514" s="213"/>
    </row>
    <row r="515">
      <c r="L515" s="123"/>
      <c r="N515" s="123"/>
      <c r="O515" s="213"/>
    </row>
    <row r="516">
      <c r="L516" s="123"/>
      <c r="N516" s="123"/>
      <c r="O516" s="213"/>
    </row>
    <row r="517">
      <c r="L517" s="123"/>
      <c r="N517" s="123"/>
      <c r="O517" s="213"/>
    </row>
    <row r="518">
      <c r="L518" s="123"/>
      <c r="N518" s="123"/>
      <c r="O518" s="213"/>
    </row>
    <row r="519">
      <c r="L519" s="123"/>
      <c r="N519" s="123"/>
      <c r="O519" s="213"/>
    </row>
    <row r="520">
      <c r="L520" s="123"/>
      <c r="N520" s="123"/>
      <c r="O520" s="213"/>
    </row>
    <row r="521">
      <c r="L521" s="123"/>
      <c r="N521" s="123"/>
      <c r="O521" s="213"/>
    </row>
    <row r="522">
      <c r="L522" s="123"/>
      <c r="N522" s="123"/>
      <c r="O522" s="213"/>
    </row>
    <row r="523">
      <c r="L523" s="123"/>
      <c r="N523" s="123"/>
      <c r="O523" s="213"/>
    </row>
    <row r="524">
      <c r="L524" s="123"/>
      <c r="N524" s="123"/>
      <c r="O524" s="213"/>
    </row>
    <row r="525">
      <c r="L525" s="123"/>
      <c r="N525" s="123"/>
      <c r="O525" s="213"/>
    </row>
    <row r="526">
      <c r="L526" s="123"/>
      <c r="N526" s="123"/>
      <c r="O526" s="213"/>
    </row>
    <row r="527">
      <c r="L527" s="123"/>
      <c r="N527" s="123"/>
      <c r="O527" s="213"/>
    </row>
    <row r="528">
      <c r="L528" s="123"/>
      <c r="N528" s="123"/>
      <c r="O528" s="213"/>
    </row>
    <row r="529">
      <c r="L529" s="123"/>
      <c r="N529" s="123"/>
      <c r="O529" s="213"/>
    </row>
    <row r="530">
      <c r="L530" s="123"/>
      <c r="N530" s="123"/>
      <c r="O530" s="213"/>
    </row>
    <row r="531">
      <c r="L531" s="123"/>
      <c r="N531" s="123"/>
      <c r="O531" s="213"/>
    </row>
    <row r="532">
      <c r="L532" s="123"/>
      <c r="N532" s="123"/>
      <c r="O532" s="213"/>
    </row>
    <row r="533">
      <c r="L533" s="123"/>
      <c r="N533" s="123"/>
      <c r="O533" s="213"/>
    </row>
    <row r="534">
      <c r="L534" s="123"/>
      <c r="N534" s="123"/>
      <c r="O534" s="213"/>
    </row>
    <row r="535">
      <c r="L535" s="123"/>
      <c r="N535" s="123"/>
      <c r="O535" s="213"/>
    </row>
    <row r="536">
      <c r="L536" s="123"/>
      <c r="N536" s="123"/>
      <c r="O536" s="213"/>
    </row>
    <row r="537">
      <c r="L537" s="123"/>
      <c r="N537" s="123"/>
      <c r="O537" s="213"/>
    </row>
    <row r="538">
      <c r="L538" s="123"/>
      <c r="N538" s="123"/>
      <c r="O538" s="213"/>
    </row>
    <row r="539">
      <c r="L539" s="123"/>
      <c r="N539" s="123"/>
      <c r="O539" s="213"/>
    </row>
    <row r="540">
      <c r="L540" s="123"/>
      <c r="N540" s="123"/>
      <c r="O540" s="213"/>
    </row>
    <row r="541">
      <c r="L541" s="123"/>
      <c r="N541" s="123"/>
      <c r="O541" s="213"/>
    </row>
    <row r="542">
      <c r="L542" s="123"/>
      <c r="N542" s="123"/>
      <c r="O542" s="213"/>
    </row>
    <row r="543">
      <c r="L543" s="123"/>
      <c r="N543" s="123"/>
      <c r="O543" s="213"/>
    </row>
    <row r="544">
      <c r="L544" s="123"/>
      <c r="N544" s="123"/>
      <c r="O544" s="213"/>
    </row>
    <row r="545">
      <c r="L545" s="123"/>
      <c r="N545" s="123"/>
      <c r="O545" s="213"/>
    </row>
    <row r="546">
      <c r="L546" s="123"/>
      <c r="N546" s="123"/>
      <c r="O546" s="213"/>
    </row>
    <row r="547">
      <c r="L547" s="123"/>
      <c r="N547" s="123"/>
      <c r="O547" s="213"/>
    </row>
    <row r="548">
      <c r="L548" s="123"/>
      <c r="N548" s="123"/>
      <c r="O548" s="213"/>
    </row>
    <row r="549">
      <c r="L549" s="123"/>
      <c r="N549" s="123"/>
      <c r="O549" s="213"/>
    </row>
    <row r="550">
      <c r="L550" s="123"/>
      <c r="N550" s="123"/>
      <c r="O550" s="213"/>
    </row>
    <row r="551">
      <c r="L551" s="123"/>
      <c r="N551" s="123"/>
      <c r="O551" s="213"/>
    </row>
    <row r="552">
      <c r="L552" s="123"/>
      <c r="N552" s="123"/>
      <c r="O552" s="213"/>
    </row>
    <row r="553">
      <c r="L553" s="123"/>
      <c r="N553" s="123"/>
      <c r="O553" s="213"/>
    </row>
    <row r="554">
      <c r="L554" s="123"/>
      <c r="N554" s="123"/>
      <c r="O554" s="213"/>
    </row>
    <row r="555">
      <c r="L555" s="123"/>
      <c r="N555" s="123"/>
      <c r="O555" s="213"/>
    </row>
    <row r="556">
      <c r="L556" s="123"/>
      <c r="N556" s="123"/>
      <c r="O556" s="213"/>
    </row>
    <row r="557">
      <c r="L557" s="123"/>
      <c r="N557" s="123"/>
      <c r="O557" s="213"/>
    </row>
    <row r="558">
      <c r="L558" s="123"/>
      <c r="N558" s="123"/>
      <c r="O558" s="213"/>
    </row>
    <row r="559">
      <c r="L559" s="123"/>
      <c r="N559" s="123"/>
      <c r="O559" s="213"/>
    </row>
    <row r="560">
      <c r="L560" s="123"/>
      <c r="N560" s="123"/>
      <c r="O560" s="213"/>
    </row>
    <row r="561">
      <c r="L561" s="123"/>
      <c r="N561" s="123"/>
      <c r="O561" s="213"/>
    </row>
    <row r="562">
      <c r="L562" s="123"/>
      <c r="N562" s="123"/>
      <c r="O562" s="213"/>
    </row>
    <row r="563">
      <c r="L563" s="123"/>
      <c r="N563" s="123"/>
      <c r="O563" s="213"/>
    </row>
    <row r="564">
      <c r="L564" s="123"/>
      <c r="N564" s="123"/>
      <c r="O564" s="213"/>
    </row>
    <row r="565">
      <c r="L565" s="123"/>
      <c r="N565" s="123"/>
      <c r="O565" s="213"/>
    </row>
    <row r="566">
      <c r="L566" s="123"/>
      <c r="N566" s="123"/>
      <c r="O566" s="213"/>
    </row>
    <row r="567">
      <c r="L567" s="123"/>
      <c r="N567" s="123"/>
      <c r="O567" s="213"/>
    </row>
    <row r="568">
      <c r="L568" s="123"/>
      <c r="N568" s="123"/>
      <c r="O568" s="213"/>
    </row>
    <row r="569">
      <c r="L569" s="123"/>
      <c r="N569" s="123"/>
      <c r="O569" s="213"/>
    </row>
    <row r="570">
      <c r="L570" s="123"/>
      <c r="N570" s="123"/>
      <c r="O570" s="213"/>
    </row>
    <row r="571">
      <c r="L571" s="123"/>
      <c r="N571" s="123"/>
      <c r="O571" s="213"/>
    </row>
    <row r="572">
      <c r="L572" s="123"/>
      <c r="N572" s="123"/>
      <c r="O572" s="213"/>
    </row>
    <row r="573">
      <c r="L573" s="123"/>
      <c r="N573" s="123"/>
      <c r="O573" s="213"/>
    </row>
    <row r="574">
      <c r="L574" s="123"/>
      <c r="N574" s="123"/>
      <c r="O574" s="213"/>
    </row>
    <row r="575">
      <c r="L575" s="123"/>
      <c r="N575" s="123"/>
      <c r="O575" s="213"/>
    </row>
    <row r="576">
      <c r="L576" s="123"/>
      <c r="N576" s="123"/>
      <c r="O576" s="213"/>
    </row>
    <row r="577">
      <c r="L577" s="123"/>
      <c r="N577" s="123"/>
      <c r="O577" s="213"/>
    </row>
    <row r="578">
      <c r="L578" s="123"/>
      <c r="N578" s="123"/>
      <c r="O578" s="213"/>
    </row>
    <row r="579">
      <c r="L579" s="123"/>
      <c r="N579" s="123"/>
      <c r="O579" s="213"/>
    </row>
    <row r="580">
      <c r="L580" s="123"/>
      <c r="N580" s="123"/>
      <c r="O580" s="213"/>
    </row>
    <row r="581">
      <c r="L581" s="123"/>
      <c r="N581" s="123"/>
      <c r="O581" s="213"/>
    </row>
    <row r="582">
      <c r="L582" s="123"/>
      <c r="N582" s="123"/>
      <c r="O582" s="213"/>
    </row>
    <row r="583">
      <c r="L583" s="123"/>
      <c r="N583" s="123"/>
      <c r="O583" s="213"/>
    </row>
    <row r="584">
      <c r="L584" s="123"/>
      <c r="N584" s="123"/>
      <c r="O584" s="213"/>
    </row>
    <row r="585">
      <c r="L585" s="123"/>
      <c r="N585" s="123"/>
      <c r="O585" s="213"/>
    </row>
    <row r="586">
      <c r="L586" s="123"/>
      <c r="N586" s="123"/>
      <c r="O586" s="213"/>
    </row>
    <row r="587">
      <c r="L587" s="123"/>
      <c r="N587" s="123"/>
      <c r="O587" s="213"/>
    </row>
    <row r="588">
      <c r="L588" s="123"/>
      <c r="N588" s="123"/>
      <c r="O588" s="213"/>
    </row>
    <row r="589">
      <c r="L589" s="123"/>
      <c r="N589" s="123"/>
      <c r="O589" s="213"/>
    </row>
    <row r="590">
      <c r="L590" s="123"/>
      <c r="N590" s="123"/>
      <c r="O590" s="213"/>
    </row>
    <row r="591">
      <c r="L591" s="123"/>
      <c r="N591" s="123"/>
      <c r="O591" s="213"/>
    </row>
    <row r="592">
      <c r="L592" s="123"/>
      <c r="N592" s="123"/>
      <c r="O592" s="213"/>
    </row>
    <row r="593">
      <c r="L593" s="123"/>
      <c r="N593" s="123"/>
      <c r="O593" s="213"/>
    </row>
    <row r="594">
      <c r="L594" s="123"/>
      <c r="N594" s="123"/>
      <c r="O594" s="213"/>
    </row>
    <row r="595">
      <c r="L595" s="123"/>
      <c r="N595" s="123"/>
      <c r="O595" s="213"/>
    </row>
    <row r="596">
      <c r="L596" s="123"/>
      <c r="N596" s="123"/>
      <c r="O596" s="213"/>
    </row>
    <row r="597">
      <c r="L597" s="123"/>
      <c r="N597" s="123"/>
      <c r="O597" s="213"/>
    </row>
    <row r="598">
      <c r="L598" s="123"/>
      <c r="N598" s="123"/>
      <c r="O598" s="213"/>
    </row>
    <row r="599">
      <c r="L599" s="123"/>
      <c r="N599" s="123"/>
      <c r="O599" s="213"/>
    </row>
    <row r="600">
      <c r="L600" s="123"/>
      <c r="N600" s="123"/>
      <c r="O600" s="213"/>
    </row>
    <row r="601">
      <c r="L601" s="123"/>
      <c r="N601" s="123"/>
      <c r="O601" s="213"/>
    </row>
    <row r="602">
      <c r="L602" s="123"/>
      <c r="N602" s="123"/>
      <c r="O602" s="213"/>
    </row>
    <row r="603">
      <c r="L603" s="123"/>
      <c r="N603" s="123"/>
      <c r="O603" s="213"/>
    </row>
    <row r="604">
      <c r="L604" s="123"/>
      <c r="N604" s="123"/>
      <c r="O604" s="213"/>
    </row>
    <row r="605">
      <c r="L605" s="123"/>
      <c r="N605" s="123"/>
      <c r="O605" s="213"/>
    </row>
    <row r="606">
      <c r="L606" s="123"/>
      <c r="N606" s="123"/>
      <c r="O606" s="213"/>
    </row>
    <row r="607">
      <c r="L607" s="123"/>
      <c r="N607" s="123"/>
      <c r="O607" s="213"/>
    </row>
    <row r="608">
      <c r="L608" s="123"/>
      <c r="N608" s="123"/>
      <c r="O608" s="213"/>
    </row>
    <row r="609">
      <c r="L609" s="123"/>
      <c r="N609" s="123"/>
      <c r="O609" s="213"/>
    </row>
    <row r="610">
      <c r="L610" s="123"/>
      <c r="N610" s="123"/>
      <c r="O610" s="213"/>
    </row>
    <row r="611">
      <c r="L611" s="123"/>
      <c r="N611" s="123"/>
      <c r="O611" s="213"/>
    </row>
    <row r="612">
      <c r="L612" s="123"/>
      <c r="N612" s="123"/>
      <c r="O612" s="213"/>
    </row>
    <row r="613">
      <c r="L613" s="123"/>
      <c r="N613" s="123"/>
      <c r="O613" s="213"/>
    </row>
    <row r="614">
      <c r="L614" s="123"/>
      <c r="N614" s="123"/>
      <c r="O614" s="213"/>
    </row>
    <row r="615">
      <c r="L615" s="123"/>
      <c r="N615" s="123"/>
      <c r="O615" s="213"/>
    </row>
    <row r="616">
      <c r="L616" s="123"/>
      <c r="N616" s="123"/>
      <c r="O616" s="213"/>
    </row>
    <row r="617">
      <c r="L617" s="123"/>
      <c r="N617" s="123"/>
      <c r="O617" s="213"/>
    </row>
    <row r="618">
      <c r="L618" s="123"/>
      <c r="N618" s="123"/>
      <c r="O618" s="213"/>
    </row>
    <row r="619">
      <c r="L619" s="123"/>
      <c r="N619" s="123"/>
      <c r="O619" s="213"/>
    </row>
    <row r="620">
      <c r="L620" s="123"/>
      <c r="N620" s="123"/>
      <c r="O620" s="213"/>
    </row>
    <row r="621">
      <c r="L621" s="123"/>
      <c r="N621" s="123"/>
      <c r="O621" s="213"/>
    </row>
    <row r="622">
      <c r="L622" s="123"/>
      <c r="N622" s="123"/>
      <c r="O622" s="213"/>
    </row>
    <row r="623">
      <c r="L623" s="123"/>
      <c r="N623" s="123"/>
      <c r="O623" s="213"/>
    </row>
    <row r="624">
      <c r="L624" s="123"/>
      <c r="N624" s="123"/>
      <c r="O624" s="213"/>
    </row>
    <row r="625">
      <c r="L625" s="123"/>
      <c r="N625" s="123"/>
      <c r="O625" s="213"/>
    </row>
    <row r="626">
      <c r="L626" s="123"/>
      <c r="N626" s="123"/>
      <c r="O626" s="213"/>
    </row>
    <row r="627">
      <c r="L627" s="123"/>
      <c r="N627" s="123"/>
      <c r="O627" s="213"/>
    </row>
    <row r="628">
      <c r="L628" s="123"/>
      <c r="N628" s="123"/>
      <c r="O628" s="213"/>
    </row>
    <row r="629">
      <c r="L629" s="123"/>
      <c r="N629" s="123"/>
      <c r="O629" s="213"/>
    </row>
    <row r="630">
      <c r="L630" s="123"/>
      <c r="N630" s="123"/>
      <c r="O630" s="213"/>
    </row>
    <row r="631">
      <c r="L631" s="123"/>
      <c r="N631" s="123"/>
      <c r="O631" s="213"/>
    </row>
    <row r="632">
      <c r="L632" s="123"/>
      <c r="N632" s="123"/>
      <c r="O632" s="213"/>
    </row>
    <row r="633">
      <c r="L633" s="123"/>
      <c r="N633" s="123"/>
      <c r="O633" s="213"/>
    </row>
    <row r="634">
      <c r="L634" s="123"/>
      <c r="N634" s="123"/>
      <c r="O634" s="213"/>
    </row>
    <row r="635">
      <c r="L635" s="123"/>
      <c r="N635" s="123"/>
      <c r="O635" s="213"/>
    </row>
    <row r="636">
      <c r="L636" s="123"/>
      <c r="N636" s="123"/>
      <c r="O636" s="213"/>
    </row>
    <row r="637">
      <c r="L637" s="123"/>
      <c r="N637" s="123"/>
      <c r="O637" s="213"/>
    </row>
    <row r="638">
      <c r="L638" s="123"/>
      <c r="N638" s="123"/>
      <c r="O638" s="213"/>
    </row>
    <row r="639">
      <c r="L639" s="123"/>
      <c r="N639" s="123"/>
      <c r="O639" s="213"/>
    </row>
    <row r="640">
      <c r="L640" s="123"/>
      <c r="N640" s="123"/>
      <c r="O640" s="213"/>
    </row>
    <row r="641">
      <c r="L641" s="123"/>
      <c r="N641" s="123"/>
      <c r="O641" s="213"/>
    </row>
    <row r="642">
      <c r="L642" s="123"/>
      <c r="N642" s="123"/>
      <c r="O642" s="213"/>
    </row>
    <row r="643">
      <c r="L643" s="123"/>
      <c r="N643" s="123"/>
      <c r="O643" s="213"/>
    </row>
    <row r="644">
      <c r="L644" s="123"/>
      <c r="N644" s="123"/>
      <c r="O644" s="213"/>
    </row>
    <row r="645">
      <c r="L645" s="123"/>
      <c r="N645" s="123"/>
      <c r="O645" s="213"/>
    </row>
    <row r="646">
      <c r="L646" s="123"/>
      <c r="N646" s="123"/>
      <c r="O646" s="213"/>
    </row>
    <row r="647">
      <c r="L647" s="123"/>
      <c r="N647" s="123"/>
      <c r="O647" s="213"/>
    </row>
    <row r="648">
      <c r="L648" s="123"/>
      <c r="N648" s="123"/>
      <c r="O648" s="213"/>
    </row>
    <row r="649">
      <c r="L649" s="123"/>
      <c r="N649" s="123"/>
      <c r="O649" s="213"/>
    </row>
    <row r="650">
      <c r="L650" s="123"/>
      <c r="N650" s="123"/>
      <c r="O650" s="213"/>
    </row>
    <row r="651">
      <c r="L651" s="123"/>
      <c r="N651" s="123"/>
      <c r="O651" s="213"/>
    </row>
    <row r="652">
      <c r="L652" s="123"/>
      <c r="N652" s="123"/>
      <c r="O652" s="213"/>
    </row>
    <row r="653">
      <c r="L653" s="123"/>
      <c r="N653" s="123"/>
      <c r="O653" s="213"/>
    </row>
    <row r="654">
      <c r="L654" s="123"/>
      <c r="N654" s="123"/>
      <c r="O654" s="213"/>
    </row>
    <row r="655">
      <c r="L655" s="123"/>
      <c r="N655" s="123"/>
      <c r="O655" s="213"/>
    </row>
    <row r="656">
      <c r="L656" s="123"/>
      <c r="N656" s="123"/>
      <c r="O656" s="213"/>
    </row>
    <row r="657">
      <c r="L657" s="123"/>
      <c r="N657" s="123"/>
      <c r="O657" s="213"/>
    </row>
    <row r="658">
      <c r="L658" s="123"/>
      <c r="N658" s="123"/>
      <c r="O658" s="213"/>
    </row>
    <row r="659">
      <c r="L659" s="123"/>
      <c r="N659" s="123"/>
      <c r="O659" s="213"/>
    </row>
    <row r="660">
      <c r="L660" s="123"/>
      <c r="N660" s="123"/>
      <c r="O660" s="213"/>
    </row>
    <row r="661">
      <c r="L661" s="123"/>
      <c r="N661" s="123"/>
      <c r="O661" s="213"/>
    </row>
    <row r="662">
      <c r="L662" s="123"/>
      <c r="N662" s="123"/>
      <c r="O662" s="213"/>
    </row>
    <row r="663">
      <c r="L663" s="123"/>
      <c r="N663" s="123"/>
      <c r="O663" s="213"/>
    </row>
    <row r="664">
      <c r="L664" s="123"/>
      <c r="N664" s="123"/>
      <c r="O664" s="213"/>
    </row>
    <row r="665">
      <c r="L665" s="123"/>
      <c r="N665" s="123"/>
      <c r="O665" s="213"/>
    </row>
    <row r="666">
      <c r="L666" s="123"/>
      <c r="N666" s="123"/>
      <c r="O666" s="213"/>
    </row>
    <row r="667">
      <c r="L667" s="123"/>
      <c r="N667" s="123"/>
      <c r="O667" s="213"/>
    </row>
    <row r="668">
      <c r="L668" s="123"/>
      <c r="N668" s="123"/>
      <c r="O668" s="213"/>
    </row>
    <row r="669">
      <c r="L669" s="123"/>
      <c r="N669" s="123"/>
      <c r="O669" s="213"/>
    </row>
    <row r="670">
      <c r="L670" s="123"/>
      <c r="N670" s="123"/>
      <c r="O670" s="213"/>
    </row>
    <row r="671">
      <c r="L671" s="123"/>
      <c r="N671" s="123"/>
      <c r="O671" s="213"/>
    </row>
    <row r="672">
      <c r="L672" s="123"/>
      <c r="N672" s="123"/>
      <c r="O672" s="213"/>
    </row>
    <row r="673">
      <c r="L673" s="123"/>
      <c r="N673" s="123"/>
      <c r="O673" s="213"/>
    </row>
    <row r="674">
      <c r="L674" s="123"/>
      <c r="N674" s="123"/>
      <c r="O674" s="213"/>
    </row>
    <row r="675">
      <c r="L675" s="123"/>
      <c r="N675" s="123"/>
      <c r="O675" s="213"/>
    </row>
    <row r="676">
      <c r="L676" s="123"/>
      <c r="N676" s="123"/>
      <c r="O676" s="213"/>
    </row>
    <row r="677">
      <c r="L677" s="123"/>
      <c r="N677" s="123"/>
      <c r="O677" s="213"/>
    </row>
    <row r="678">
      <c r="L678" s="123"/>
      <c r="N678" s="123"/>
      <c r="O678" s="213"/>
    </row>
    <row r="679">
      <c r="L679" s="123"/>
      <c r="N679" s="123"/>
      <c r="O679" s="213"/>
    </row>
    <row r="680">
      <c r="L680" s="123"/>
      <c r="N680" s="123"/>
      <c r="O680" s="213"/>
    </row>
    <row r="681">
      <c r="L681" s="123"/>
      <c r="N681" s="123"/>
      <c r="O681" s="213"/>
    </row>
    <row r="682">
      <c r="L682" s="123"/>
      <c r="N682" s="123"/>
      <c r="O682" s="213"/>
    </row>
    <row r="683">
      <c r="L683" s="123"/>
      <c r="N683" s="123"/>
      <c r="O683" s="213"/>
    </row>
    <row r="684">
      <c r="L684" s="123"/>
      <c r="N684" s="123"/>
      <c r="O684" s="213"/>
    </row>
    <row r="685">
      <c r="L685" s="123"/>
      <c r="N685" s="123"/>
      <c r="O685" s="213"/>
    </row>
    <row r="686">
      <c r="L686" s="123"/>
      <c r="N686" s="123"/>
      <c r="O686" s="213"/>
    </row>
    <row r="687">
      <c r="L687" s="123"/>
      <c r="N687" s="123"/>
      <c r="O687" s="213"/>
    </row>
    <row r="688">
      <c r="L688" s="123"/>
      <c r="N688" s="123"/>
      <c r="O688" s="213"/>
    </row>
    <row r="689">
      <c r="L689" s="123"/>
      <c r="N689" s="123"/>
      <c r="O689" s="213"/>
    </row>
    <row r="690">
      <c r="L690" s="123"/>
      <c r="N690" s="123"/>
      <c r="O690" s="213"/>
    </row>
    <row r="691">
      <c r="L691" s="123"/>
      <c r="N691" s="123"/>
      <c r="O691" s="213"/>
    </row>
    <row r="692">
      <c r="L692" s="123"/>
      <c r="N692" s="123"/>
      <c r="O692" s="213"/>
    </row>
    <row r="693">
      <c r="L693" s="123"/>
      <c r="N693" s="123"/>
      <c r="O693" s="213"/>
    </row>
    <row r="694">
      <c r="L694" s="123"/>
      <c r="N694" s="123"/>
      <c r="O694" s="213"/>
    </row>
    <row r="695">
      <c r="L695" s="123"/>
      <c r="N695" s="123"/>
      <c r="O695" s="213"/>
    </row>
    <row r="696">
      <c r="L696" s="123"/>
      <c r="N696" s="123"/>
      <c r="O696" s="213"/>
    </row>
    <row r="697">
      <c r="L697" s="123"/>
      <c r="N697" s="123"/>
      <c r="O697" s="213"/>
    </row>
    <row r="698">
      <c r="L698" s="123"/>
      <c r="N698" s="123"/>
      <c r="O698" s="213"/>
    </row>
    <row r="699">
      <c r="L699" s="123"/>
      <c r="N699" s="123"/>
      <c r="O699" s="213"/>
    </row>
    <row r="700">
      <c r="L700" s="123"/>
      <c r="N700" s="123"/>
      <c r="O700" s="213"/>
    </row>
    <row r="701">
      <c r="L701" s="123"/>
      <c r="N701" s="123"/>
      <c r="O701" s="213"/>
    </row>
    <row r="702">
      <c r="L702" s="123"/>
      <c r="N702" s="123"/>
      <c r="O702" s="213"/>
    </row>
    <row r="703">
      <c r="L703" s="123"/>
      <c r="N703" s="123"/>
      <c r="O703" s="213"/>
    </row>
    <row r="704">
      <c r="L704" s="123"/>
      <c r="N704" s="123"/>
      <c r="O704" s="213"/>
    </row>
    <row r="705">
      <c r="L705" s="123"/>
      <c r="N705" s="123"/>
      <c r="O705" s="213"/>
    </row>
    <row r="706">
      <c r="L706" s="123"/>
      <c r="N706" s="123"/>
      <c r="O706" s="213"/>
    </row>
    <row r="707">
      <c r="L707" s="123"/>
      <c r="N707" s="123"/>
      <c r="O707" s="213"/>
    </row>
    <row r="708">
      <c r="L708" s="123"/>
      <c r="N708" s="123"/>
      <c r="O708" s="213"/>
    </row>
    <row r="709">
      <c r="L709" s="123"/>
      <c r="N709" s="123"/>
      <c r="O709" s="213"/>
    </row>
    <row r="710">
      <c r="L710" s="123"/>
      <c r="N710" s="123"/>
      <c r="O710" s="213"/>
    </row>
    <row r="711">
      <c r="L711" s="123"/>
      <c r="N711" s="123"/>
      <c r="O711" s="213"/>
    </row>
    <row r="712">
      <c r="L712" s="123"/>
      <c r="N712" s="123"/>
      <c r="O712" s="213"/>
    </row>
    <row r="713">
      <c r="L713" s="123"/>
      <c r="N713" s="123"/>
      <c r="O713" s="213"/>
    </row>
    <row r="714">
      <c r="L714" s="123"/>
      <c r="N714" s="123"/>
      <c r="O714" s="213"/>
    </row>
    <row r="715">
      <c r="L715" s="123"/>
      <c r="N715" s="123"/>
      <c r="O715" s="213"/>
    </row>
    <row r="716">
      <c r="L716" s="123"/>
      <c r="N716" s="123"/>
      <c r="O716" s="213"/>
    </row>
    <row r="717">
      <c r="L717" s="123"/>
      <c r="N717" s="123"/>
      <c r="O717" s="213"/>
    </row>
    <row r="718">
      <c r="L718" s="123"/>
      <c r="N718" s="123"/>
      <c r="O718" s="213"/>
    </row>
    <row r="719">
      <c r="L719" s="123"/>
      <c r="N719" s="123"/>
      <c r="O719" s="213"/>
    </row>
    <row r="720">
      <c r="L720" s="123"/>
      <c r="N720" s="123"/>
      <c r="O720" s="213"/>
    </row>
    <row r="721">
      <c r="L721" s="123"/>
      <c r="N721" s="123"/>
      <c r="O721" s="213"/>
    </row>
    <row r="722">
      <c r="L722" s="123"/>
      <c r="N722" s="123"/>
      <c r="O722" s="213"/>
    </row>
    <row r="723">
      <c r="L723" s="123"/>
      <c r="N723" s="123"/>
      <c r="O723" s="213"/>
    </row>
    <row r="724">
      <c r="L724" s="123"/>
      <c r="N724" s="123"/>
      <c r="O724" s="213"/>
    </row>
    <row r="725">
      <c r="L725" s="123"/>
      <c r="N725" s="123"/>
      <c r="O725" s="213"/>
    </row>
    <row r="726">
      <c r="L726" s="123"/>
      <c r="N726" s="123"/>
      <c r="O726" s="213"/>
    </row>
    <row r="727">
      <c r="L727" s="123"/>
      <c r="N727" s="123"/>
      <c r="O727" s="213"/>
    </row>
    <row r="728">
      <c r="L728" s="123"/>
      <c r="N728" s="123"/>
      <c r="O728" s="213"/>
    </row>
    <row r="729">
      <c r="L729" s="123"/>
      <c r="N729" s="123"/>
      <c r="O729" s="213"/>
    </row>
    <row r="730">
      <c r="L730" s="123"/>
      <c r="N730" s="123"/>
      <c r="O730" s="213"/>
    </row>
    <row r="731">
      <c r="L731" s="123"/>
      <c r="N731" s="123"/>
      <c r="O731" s="213"/>
    </row>
    <row r="732">
      <c r="L732" s="123"/>
      <c r="N732" s="123"/>
      <c r="O732" s="213"/>
    </row>
    <row r="733">
      <c r="L733" s="123"/>
      <c r="N733" s="123"/>
      <c r="O733" s="213"/>
    </row>
    <row r="734">
      <c r="L734" s="123"/>
      <c r="N734" s="123"/>
      <c r="O734" s="213"/>
    </row>
    <row r="735">
      <c r="L735" s="123"/>
      <c r="N735" s="123"/>
      <c r="O735" s="213"/>
    </row>
    <row r="736">
      <c r="L736" s="123"/>
      <c r="N736" s="123"/>
      <c r="O736" s="213"/>
    </row>
    <row r="737">
      <c r="L737" s="123"/>
      <c r="N737" s="123"/>
      <c r="O737" s="213"/>
    </row>
    <row r="738">
      <c r="L738" s="123"/>
      <c r="N738" s="123"/>
      <c r="O738" s="213"/>
    </row>
    <row r="739">
      <c r="L739" s="123"/>
      <c r="N739" s="123"/>
      <c r="O739" s="213"/>
    </row>
    <row r="740">
      <c r="L740" s="123"/>
      <c r="N740" s="123"/>
      <c r="O740" s="213"/>
    </row>
    <row r="741">
      <c r="L741" s="123"/>
      <c r="N741" s="123"/>
      <c r="O741" s="213"/>
    </row>
    <row r="742">
      <c r="L742" s="123"/>
      <c r="N742" s="123"/>
      <c r="O742" s="213"/>
    </row>
    <row r="743">
      <c r="L743" s="123"/>
      <c r="N743" s="123"/>
      <c r="O743" s="213"/>
    </row>
    <row r="744">
      <c r="L744" s="123"/>
      <c r="N744" s="123"/>
      <c r="O744" s="213"/>
    </row>
    <row r="745">
      <c r="L745" s="123"/>
      <c r="N745" s="123"/>
      <c r="O745" s="213"/>
    </row>
    <row r="746">
      <c r="L746" s="123"/>
      <c r="N746" s="123"/>
      <c r="O746" s="213"/>
    </row>
    <row r="747">
      <c r="L747" s="123"/>
      <c r="N747" s="123"/>
      <c r="O747" s="213"/>
    </row>
    <row r="748">
      <c r="L748" s="123"/>
      <c r="N748" s="123"/>
      <c r="O748" s="213"/>
    </row>
    <row r="749">
      <c r="L749" s="123"/>
      <c r="N749" s="123"/>
      <c r="O749" s="213"/>
    </row>
    <row r="750">
      <c r="L750" s="123"/>
      <c r="N750" s="123"/>
      <c r="O750" s="213"/>
    </row>
    <row r="751">
      <c r="L751" s="123"/>
      <c r="N751" s="123"/>
      <c r="O751" s="213"/>
    </row>
    <row r="752">
      <c r="L752" s="123"/>
      <c r="N752" s="123"/>
      <c r="O752" s="213"/>
    </row>
    <row r="753">
      <c r="L753" s="123"/>
      <c r="N753" s="123"/>
      <c r="O753" s="213"/>
    </row>
    <row r="754">
      <c r="L754" s="123"/>
      <c r="N754" s="123"/>
      <c r="O754" s="213"/>
    </row>
    <row r="755">
      <c r="L755" s="123"/>
      <c r="N755" s="123"/>
      <c r="O755" s="213"/>
    </row>
    <row r="756">
      <c r="L756" s="123"/>
      <c r="N756" s="123"/>
      <c r="O756" s="213"/>
    </row>
    <row r="757">
      <c r="L757" s="123"/>
      <c r="N757" s="123"/>
      <c r="O757" s="213"/>
    </row>
    <row r="758">
      <c r="L758" s="123"/>
      <c r="N758" s="123"/>
      <c r="O758" s="213"/>
    </row>
    <row r="759">
      <c r="L759" s="123"/>
      <c r="N759" s="123"/>
      <c r="O759" s="213"/>
    </row>
    <row r="760">
      <c r="L760" s="123"/>
      <c r="N760" s="123"/>
      <c r="O760" s="213"/>
    </row>
    <row r="761">
      <c r="L761" s="123"/>
      <c r="N761" s="123"/>
      <c r="O761" s="213"/>
    </row>
    <row r="762">
      <c r="L762" s="123"/>
      <c r="N762" s="123"/>
      <c r="O762" s="213"/>
    </row>
    <row r="763">
      <c r="L763" s="123"/>
      <c r="N763" s="123"/>
      <c r="O763" s="213"/>
    </row>
    <row r="764">
      <c r="L764" s="123"/>
      <c r="N764" s="123"/>
      <c r="O764" s="213"/>
    </row>
    <row r="765">
      <c r="L765" s="123"/>
      <c r="N765" s="123"/>
      <c r="O765" s="213"/>
    </row>
    <row r="766">
      <c r="L766" s="123"/>
      <c r="N766" s="123"/>
      <c r="O766" s="213"/>
    </row>
    <row r="767">
      <c r="L767" s="123"/>
      <c r="N767" s="123"/>
      <c r="O767" s="213"/>
    </row>
    <row r="768">
      <c r="L768" s="123"/>
      <c r="N768" s="123"/>
      <c r="O768" s="213"/>
    </row>
    <row r="769">
      <c r="L769" s="123"/>
      <c r="N769" s="123"/>
      <c r="O769" s="213"/>
    </row>
    <row r="770">
      <c r="L770" s="123"/>
      <c r="N770" s="123"/>
      <c r="O770" s="213"/>
    </row>
    <row r="771">
      <c r="L771" s="123"/>
      <c r="N771" s="123"/>
      <c r="O771" s="213"/>
    </row>
    <row r="772">
      <c r="L772" s="123"/>
      <c r="N772" s="123"/>
      <c r="O772" s="213"/>
    </row>
    <row r="773">
      <c r="L773" s="123"/>
      <c r="N773" s="123"/>
      <c r="O773" s="213"/>
    </row>
    <row r="774">
      <c r="L774" s="123"/>
      <c r="N774" s="123"/>
      <c r="O774" s="213"/>
    </row>
    <row r="775">
      <c r="L775" s="123"/>
      <c r="N775" s="123"/>
      <c r="O775" s="213"/>
    </row>
    <row r="776">
      <c r="L776" s="123"/>
      <c r="N776" s="123"/>
      <c r="O776" s="213"/>
    </row>
    <row r="777">
      <c r="L777" s="123"/>
      <c r="N777" s="123"/>
      <c r="O777" s="213"/>
    </row>
    <row r="778">
      <c r="L778" s="123"/>
      <c r="N778" s="123"/>
      <c r="O778" s="213"/>
    </row>
    <row r="779">
      <c r="L779" s="123"/>
      <c r="N779" s="123"/>
      <c r="O779" s="213"/>
    </row>
    <row r="780">
      <c r="L780" s="123"/>
      <c r="N780" s="123"/>
      <c r="O780" s="213"/>
    </row>
    <row r="781">
      <c r="L781" s="123"/>
      <c r="N781" s="123"/>
      <c r="O781" s="213"/>
    </row>
    <row r="782">
      <c r="L782" s="123"/>
      <c r="N782" s="123"/>
      <c r="O782" s="213"/>
    </row>
    <row r="783">
      <c r="L783" s="123"/>
      <c r="N783" s="123"/>
      <c r="O783" s="213"/>
    </row>
    <row r="784">
      <c r="L784" s="123"/>
      <c r="N784" s="123"/>
      <c r="O784" s="213"/>
    </row>
    <row r="785">
      <c r="L785" s="123"/>
      <c r="N785" s="123"/>
      <c r="O785" s="213"/>
    </row>
    <row r="786">
      <c r="L786" s="123"/>
      <c r="N786" s="123"/>
      <c r="O786" s="213"/>
    </row>
    <row r="787">
      <c r="L787" s="123"/>
      <c r="N787" s="123"/>
      <c r="O787" s="213"/>
    </row>
    <row r="788">
      <c r="L788" s="123"/>
      <c r="N788" s="123"/>
      <c r="O788" s="213"/>
    </row>
    <row r="789">
      <c r="L789" s="123"/>
      <c r="N789" s="123"/>
      <c r="O789" s="213"/>
    </row>
    <row r="790">
      <c r="L790" s="123"/>
      <c r="N790" s="123"/>
      <c r="O790" s="213"/>
    </row>
    <row r="791">
      <c r="L791" s="123"/>
      <c r="N791" s="123"/>
      <c r="O791" s="213"/>
    </row>
    <row r="792">
      <c r="L792" s="123"/>
      <c r="N792" s="123"/>
      <c r="O792" s="213"/>
    </row>
    <row r="793">
      <c r="L793" s="123"/>
      <c r="N793" s="123"/>
      <c r="O793" s="213"/>
    </row>
    <row r="794">
      <c r="L794" s="123"/>
      <c r="N794" s="123"/>
      <c r="O794" s="213"/>
    </row>
    <row r="795">
      <c r="L795" s="123"/>
      <c r="N795" s="123"/>
      <c r="O795" s="213"/>
    </row>
    <row r="796">
      <c r="L796" s="123"/>
      <c r="N796" s="123"/>
      <c r="O796" s="213"/>
    </row>
    <row r="797">
      <c r="L797" s="123"/>
      <c r="N797" s="123"/>
      <c r="O797" s="213"/>
    </row>
    <row r="798">
      <c r="L798" s="123"/>
      <c r="N798" s="123"/>
      <c r="O798" s="213"/>
    </row>
    <row r="799">
      <c r="L799" s="123"/>
      <c r="N799" s="123"/>
      <c r="O799" s="213"/>
    </row>
    <row r="800">
      <c r="L800" s="123"/>
      <c r="N800" s="123"/>
      <c r="O800" s="213"/>
    </row>
    <row r="801">
      <c r="L801" s="123"/>
      <c r="N801" s="123"/>
      <c r="O801" s="213"/>
    </row>
    <row r="802">
      <c r="L802" s="123"/>
      <c r="N802" s="123"/>
      <c r="O802" s="213"/>
    </row>
    <row r="803">
      <c r="L803" s="123"/>
      <c r="N803" s="123"/>
      <c r="O803" s="213"/>
    </row>
    <row r="804">
      <c r="L804" s="123"/>
      <c r="N804" s="123"/>
      <c r="O804" s="213"/>
    </row>
    <row r="805">
      <c r="L805" s="123"/>
      <c r="N805" s="123"/>
      <c r="O805" s="213"/>
    </row>
    <row r="806">
      <c r="L806" s="123"/>
      <c r="N806" s="123"/>
      <c r="O806" s="213"/>
    </row>
    <row r="807">
      <c r="L807" s="123"/>
      <c r="N807" s="123"/>
      <c r="O807" s="213"/>
    </row>
    <row r="808">
      <c r="L808" s="123"/>
      <c r="N808" s="123"/>
      <c r="O808" s="213"/>
    </row>
    <row r="809">
      <c r="L809" s="123"/>
      <c r="N809" s="123"/>
      <c r="O809" s="213"/>
    </row>
    <row r="810">
      <c r="L810" s="123"/>
      <c r="N810" s="123"/>
      <c r="O810" s="213"/>
    </row>
    <row r="811">
      <c r="L811" s="123"/>
      <c r="N811" s="123"/>
      <c r="O811" s="213"/>
    </row>
    <row r="812">
      <c r="L812" s="123"/>
      <c r="N812" s="123"/>
      <c r="O812" s="213"/>
    </row>
    <row r="813">
      <c r="L813" s="123"/>
      <c r="N813" s="123"/>
      <c r="O813" s="213"/>
    </row>
    <row r="814">
      <c r="L814" s="123"/>
      <c r="N814" s="123"/>
      <c r="O814" s="213"/>
    </row>
    <row r="815">
      <c r="L815" s="123"/>
      <c r="N815" s="123"/>
      <c r="O815" s="213"/>
    </row>
    <row r="816">
      <c r="L816" s="123"/>
      <c r="N816" s="123"/>
      <c r="O816" s="213"/>
    </row>
    <row r="817">
      <c r="L817" s="123"/>
      <c r="N817" s="123"/>
      <c r="O817" s="213"/>
    </row>
    <row r="818">
      <c r="L818" s="123"/>
      <c r="N818" s="123"/>
      <c r="O818" s="213"/>
    </row>
    <row r="819">
      <c r="L819" s="123"/>
      <c r="N819" s="123"/>
      <c r="O819" s="213"/>
    </row>
    <row r="820">
      <c r="L820" s="123"/>
      <c r="N820" s="123"/>
      <c r="O820" s="213"/>
    </row>
    <row r="821">
      <c r="L821" s="123"/>
      <c r="N821" s="123"/>
      <c r="O821" s="213"/>
    </row>
    <row r="822">
      <c r="L822" s="123"/>
      <c r="N822" s="123"/>
      <c r="O822" s="213"/>
    </row>
    <row r="823">
      <c r="L823" s="123"/>
      <c r="N823" s="123"/>
      <c r="O823" s="213"/>
    </row>
    <row r="824">
      <c r="L824" s="123"/>
      <c r="N824" s="123"/>
      <c r="O824" s="213"/>
    </row>
    <row r="825">
      <c r="L825" s="123"/>
      <c r="N825" s="123"/>
      <c r="O825" s="213"/>
    </row>
    <row r="826">
      <c r="L826" s="123"/>
      <c r="N826" s="123"/>
      <c r="O826" s="213"/>
    </row>
    <row r="827">
      <c r="L827" s="123"/>
      <c r="N827" s="123"/>
      <c r="O827" s="213"/>
    </row>
    <row r="828">
      <c r="L828" s="123"/>
      <c r="N828" s="123"/>
      <c r="O828" s="213"/>
    </row>
    <row r="829">
      <c r="L829" s="123"/>
      <c r="N829" s="123"/>
      <c r="O829" s="213"/>
    </row>
    <row r="830">
      <c r="L830" s="123"/>
      <c r="N830" s="123"/>
      <c r="O830" s="213"/>
    </row>
    <row r="831">
      <c r="L831" s="123"/>
      <c r="N831" s="123"/>
      <c r="O831" s="213"/>
    </row>
    <row r="832">
      <c r="L832" s="123"/>
      <c r="N832" s="123"/>
      <c r="O832" s="213"/>
    </row>
    <row r="833">
      <c r="L833" s="123"/>
      <c r="N833" s="123"/>
      <c r="O833" s="213"/>
    </row>
    <row r="834">
      <c r="L834" s="123"/>
      <c r="N834" s="123"/>
      <c r="O834" s="213"/>
    </row>
    <row r="835">
      <c r="L835" s="123"/>
      <c r="N835" s="123"/>
      <c r="O835" s="213"/>
    </row>
    <row r="836">
      <c r="L836" s="123"/>
      <c r="N836" s="123"/>
      <c r="O836" s="213"/>
    </row>
    <row r="837">
      <c r="L837" s="123"/>
      <c r="N837" s="123"/>
      <c r="O837" s="213"/>
    </row>
    <row r="838">
      <c r="L838" s="123"/>
      <c r="N838" s="123"/>
      <c r="O838" s="213"/>
    </row>
    <row r="839">
      <c r="L839" s="123"/>
      <c r="N839" s="123"/>
      <c r="O839" s="213"/>
    </row>
    <row r="840">
      <c r="L840" s="123"/>
      <c r="N840" s="123"/>
      <c r="O840" s="213"/>
    </row>
    <row r="841">
      <c r="L841" s="123"/>
      <c r="N841" s="123"/>
      <c r="O841" s="213"/>
    </row>
    <row r="842">
      <c r="L842" s="123"/>
      <c r="N842" s="123"/>
      <c r="O842" s="213"/>
    </row>
    <row r="843">
      <c r="L843" s="123"/>
      <c r="N843" s="123"/>
      <c r="O843" s="213"/>
    </row>
    <row r="844">
      <c r="L844" s="123"/>
      <c r="N844" s="123"/>
      <c r="O844" s="213"/>
    </row>
    <row r="845">
      <c r="L845" s="123"/>
      <c r="N845" s="123"/>
      <c r="O845" s="213"/>
    </row>
    <row r="846">
      <c r="L846" s="123"/>
      <c r="N846" s="123"/>
      <c r="O846" s="213"/>
    </row>
    <row r="847">
      <c r="L847" s="123"/>
      <c r="N847" s="123"/>
      <c r="O847" s="213"/>
    </row>
    <row r="848">
      <c r="L848" s="123"/>
      <c r="N848" s="123"/>
      <c r="O848" s="213"/>
    </row>
    <row r="849">
      <c r="L849" s="123"/>
      <c r="N849" s="123"/>
      <c r="O849" s="213"/>
    </row>
    <row r="850">
      <c r="L850" s="123"/>
      <c r="N850" s="123"/>
      <c r="O850" s="213"/>
    </row>
    <row r="851">
      <c r="L851" s="123"/>
      <c r="N851" s="123"/>
      <c r="O851" s="213"/>
    </row>
    <row r="852">
      <c r="L852" s="123"/>
      <c r="N852" s="123"/>
      <c r="O852" s="213"/>
    </row>
    <row r="853">
      <c r="L853" s="123"/>
      <c r="N853" s="123"/>
      <c r="O853" s="213"/>
    </row>
    <row r="854">
      <c r="L854" s="123"/>
      <c r="N854" s="123"/>
      <c r="O854" s="213"/>
    </row>
    <row r="855">
      <c r="L855" s="123"/>
      <c r="N855" s="123"/>
      <c r="O855" s="213"/>
    </row>
    <row r="856">
      <c r="L856" s="123"/>
      <c r="N856" s="123"/>
      <c r="O856" s="213"/>
    </row>
    <row r="857">
      <c r="L857" s="123"/>
      <c r="N857" s="123"/>
      <c r="O857" s="213"/>
    </row>
    <row r="858">
      <c r="L858" s="123"/>
      <c r="N858" s="123"/>
      <c r="O858" s="213"/>
    </row>
    <row r="859">
      <c r="L859" s="123"/>
      <c r="N859" s="123"/>
      <c r="O859" s="213"/>
    </row>
    <row r="860">
      <c r="L860" s="123"/>
      <c r="N860" s="123"/>
      <c r="O860" s="213"/>
    </row>
    <row r="861">
      <c r="L861" s="123"/>
      <c r="N861" s="123"/>
      <c r="O861" s="213"/>
    </row>
    <row r="862">
      <c r="L862" s="123"/>
      <c r="N862" s="123"/>
      <c r="O862" s="213"/>
    </row>
    <row r="863">
      <c r="L863" s="123"/>
      <c r="N863" s="123"/>
      <c r="O863" s="213"/>
    </row>
    <row r="864">
      <c r="L864" s="123"/>
      <c r="N864" s="123"/>
      <c r="O864" s="213"/>
    </row>
    <row r="865">
      <c r="L865" s="123"/>
      <c r="N865" s="123"/>
      <c r="O865" s="213"/>
    </row>
    <row r="866">
      <c r="L866" s="123"/>
      <c r="N866" s="123"/>
      <c r="O866" s="213"/>
    </row>
    <row r="867">
      <c r="L867" s="123"/>
      <c r="N867" s="123"/>
      <c r="O867" s="213"/>
    </row>
    <row r="868">
      <c r="L868" s="123"/>
      <c r="N868" s="123"/>
      <c r="O868" s="213"/>
    </row>
    <row r="869">
      <c r="L869" s="123"/>
      <c r="N869" s="123"/>
      <c r="O869" s="213"/>
    </row>
    <row r="870">
      <c r="L870" s="123"/>
      <c r="N870" s="123"/>
      <c r="O870" s="213"/>
    </row>
    <row r="871">
      <c r="L871" s="123"/>
      <c r="N871" s="123"/>
      <c r="O871" s="213"/>
    </row>
    <row r="872">
      <c r="L872" s="123"/>
      <c r="N872" s="123"/>
      <c r="O872" s="213"/>
    </row>
    <row r="873">
      <c r="L873" s="123"/>
      <c r="N873" s="123"/>
      <c r="O873" s="213"/>
    </row>
    <row r="874">
      <c r="L874" s="123"/>
      <c r="N874" s="123"/>
      <c r="O874" s="213"/>
    </row>
    <row r="875">
      <c r="L875" s="123"/>
      <c r="N875" s="123"/>
      <c r="O875" s="213"/>
    </row>
    <row r="876">
      <c r="L876" s="123"/>
      <c r="N876" s="123"/>
      <c r="O876" s="213"/>
    </row>
    <row r="877">
      <c r="L877" s="123"/>
      <c r="N877" s="123"/>
      <c r="O877" s="213"/>
    </row>
    <row r="878">
      <c r="L878" s="123"/>
      <c r="N878" s="123"/>
      <c r="O878" s="213"/>
    </row>
    <row r="879">
      <c r="L879" s="123"/>
      <c r="N879" s="123"/>
      <c r="O879" s="213"/>
    </row>
    <row r="880">
      <c r="L880" s="123"/>
      <c r="N880" s="123"/>
      <c r="O880" s="213"/>
    </row>
    <row r="881">
      <c r="L881" s="123"/>
      <c r="N881" s="123"/>
      <c r="O881" s="213"/>
    </row>
    <row r="882">
      <c r="L882" s="123"/>
      <c r="N882" s="123"/>
      <c r="O882" s="213"/>
    </row>
    <row r="883">
      <c r="L883" s="123"/>
      <c r="N883" s="123"/>
      <c r="O883" s="213"/>
    </row>
    <row r="884">
      <c r="L884" s="123"/>
      <c r="N884" s="123"/>
      <c r="O884" s="213"/>
    </row>
    <row r="885">
      <c r="L885" s="123"/>
      <c r="N885" s="123"/>
      <c r="O885" s="213"/>
    </row>
    <row r="886">
      <c r="L886" s="123"/>
      <c r="N886" s="123"/>
      <c r="O886" s="213"/>
    </row>
    <row r="887">
      <c r="L887" s="123"/>
      <c r="N887" s="123"/>
      <c r="O887" s="213"/>
    </row>
    <row r="888">
      <c r="L888" s="123"/>
      <c r="N888" s="123"/>
      <c r="O888" s="213"/>
    </row>
    <row r="889">
      <c r="L889" s="123"/>
      <c r="N889" s="123"/>
      <c r="O889" s="213"/>
    </row>
    <row r="890">
      <c r="L890" s="123"/>
      <c r="N890" s="123"/>
      <c r="O890" s="213"/>
    </row>
    <row r="891">
      <c r="L891" s="123"/>
      <c r="N891" s="123"/>
      <c r="O891" s="213"/>
    </row>
    <row r="892">
      <c r="L892" s="123"/>
      <c r="N892" s="123"/>
      <c r="O892" s="213"/>
    </row>
    <row r="893">
      <c r="L893" s="123"/>
      <c r="N893" s="123"/>
      <c r="O893" s="213"/>
    </row>
    <row r="894">
      <c r="L894" s="123"/>
      <c r="N894" s="123"/>
      <c r="O894" s="213"/>
    </row>
    <row r="895">
      <c r="L895" s="123"/>
      <c r="N895" s="123"/>
      <c r="O895" s="213"/>
    </row>
    <row r="896">
      <c r="L896" s="123"/>
      <c r="N896" s="123"/>
      <c r="O896" s="213"/>
    </row>
    <row r="897">
      <c r="L897" s="123"/>
      <c r="N897" s="123"/>
      <c r="O897" s="213"/>
    </row>
    <row r="898">
      <c r="L898" s="123"/>
      <c r="N898" s="123"/>
      <c r="O898" s="213"/>
    </row>
    <row r="899">
      <c r="L899" s="123"/>
      <c r="N899" s="123"/>
      <c r="O899" s="213"/>
    </row>
    <row r="900">
      <c r="L900" s="123"/>
      <c r="N900" s="123"/>
      <c r="O900" s="213"/>
    </row>
    <row r="901">
      <c r="L901" s="123"/>
      <c r="N901" s="123"/>
      <c r="O901" s="213"/>
    </row>
    <row r="902">
      <c r="L902" s="123"/>
      <c r="N902" s="123"/>
      <c r="O902" s="213"/>
    </row>
    <row r="903">
      <c r="L903" s="123"/>
      <c r="N903" s="123"/>
      <c r="O903" s="213"/>
    </row>
    <row r="904">
      <c r="L904" s="123"/>
      <c r="N904" s="123"/>
      <c r="O904" s="213"/>
    </row>
    <row r="905">
      <c r="L905" s="123"/>
      <c r="N905" s="123"/>
      <c r="O905" s="213"/>
    </row>
    <row r="906">
      <c r="L906" s="123"/>
      <c r="N906" s="123"/>
      <c r="O906" s="213"/>
    </row>
    <row r="907">
      <c r="L907" s="123"/>
      <c r="N907" s="123"/>
      <c r="O907" s="213"/>
    </row>
    <row r="908">
      <c r="L908" s="123"/>
      <c r="N908" s="123"/>
      <c r="O908" s="213"/>
    </row>
    <row r="909">
      <c r="L909" s="123"/>
      <c r="N909" s="123"/>
      <c r="O909" s="213"/>
    </row>
    <row r="910">
      <c r="L910" s="123"/>
      <c r="N910" s="123"/>
      <c r="O910" s="213"/>
    </row>
    <row r="911">
      <c r="L911" s="123"/>
      <c r="N911" s="123"/>
      <c r="O911" s="213"/>
    </row>
    <row r="912">
      <c r="L912" s="123"/>
      <c r="N912" s="123"/>
      <c r="O912" s="213"/>
    </row>
    <row r="913">
      <c r="L913" s="123"/>
      <c r="N913" s="123"/>
      <c r="O913" s="213"/>
    </row>
    <row r="914">
      <c r="L914" s="123"/>
      <c r="N914" s="123"/>
      <c r="O914" s="213"/>
    </row>
    <row r="915">
      <c r="L915" s="123"/>
      <c r="N915" s="123"/>
      <c r="O915" s="213"/>
    </row>
    <row r="916">
      <c r="L916" s="123"/>
      <c r="N916" s="123"/>
      <c r="O916" s="213"/>
    </row>
    <row r="917">
      <c r="L917" s="123"/>
      <c r="N917" s="123"/>
      <c r="O917" s="213"/>
    </row>
    <row r="918">
      <c r="L918" s="123"/>
      <c r="N918" s="123"/>
      <c r="O918" s="213"/>
    </row>
    <row r="919">
      <c r="L919" s="123"/>
      <c r="N919" s="123"/>
      <c r="O919" s="213"/>
    </row>
    <row r="920">
      <c r="L920" s="123"/>
      <c r="N920" s="123"/>
      <c r="O920" s="213"/>
    </row>
    <row r="921">
      <c r="L921" s="123"/>
      <c r="N921" s="123"/>
      <c r="O921" s="213"/>
    </row>
    <row r="922">
      <c r="L922" s="123"/>
      <c r="N922" s="123"/>
      <c r="O922" s="213"/>
    </row>
    <row r="923">
      <c r="L923" s="123"/>
      <c r="N923" s="123"/>
      <c r="O923" s="213"/>
    </row>
    <row r="924">
      <c r="L924" s="123"/>
      <c r="N924" s="123"/>
      <c r="O924" s="213"/>
    </row>
    <row r="925">
      <c r="L925" s="123"/>
      <c r="N925" s="123"/>
      <c r="O925" s="213"/>
    </row>
    <row r="926">
      <c r="L926" s="123"/>
      <c r="N926" s="123"/>
      <c r="O926" s="213"/>
    </row>
    <row r="927">
      <c r="L927" s="123"/>
      <c r="N927" s="123"/>
      <c r="O927" s="213"/>
    </row>
    <row r="928">
      <c r="L928" s="123"/>
      <c r="N928" s="123"/>
      <c r="O928" s="213"/>
    </row>
    <row r="929">
      <c r="L929" s="123"/>
      <c r="N929" s="123"/>
      <c r="O929" s="213"/>
    </row>
    <row r="930">
      <c r="L930" s="123"/>
      <c r="N930" s="123"/>
      <c r="O930" s="213"/>
    </row>
    <row r="931">
      <c r="L931" s="123"/>
      <c r="N931" s="123"/>
      <c r="O931" s="213"/>
    </row>
    <row r="932">
      <c r="L932" s="123"/>
      <c r="N932" s="123"/>
      <c r="O932" s="213"/>
    </row>
    <row r="933">
      <c r="L933" s="123"/>
      <c r="N933" s="123"/>
      <c r="O933" s="213"/>
    </row>
    <row r="934">
      <c r="L934" s="123"/>
      <c r="N934" s="123"/>
      <c r="O934" s="213"/>
    </row>
    <row r="935">
      <c r="L935" s="123"/>
      <c r="N935" s="123"/>
      <c r="O935" s="213"/>
    </row>
    <row r="936">
      <c r="L936" s="123"/>
      <c r="N936" s="123"/>
      <c r="O936" s="213"/>
    </row>
    <row r="937">
      <c r="L937" s="123"/>
      <c r="N937" s="123"/>
      <c r="O937" s="213"/>
    </row>
    <row r="938">
      <c r="L938" s="123"/>
      <c r="N938" s="123"/>
      <c r="O938" s="213"/>
    </row>
    <row r="939">
      <c r="L939" s="123"/>
      <c r="N939" s="123"/>
      <c r="O939" s="213"/>
    </row>
    <row r="940">
      <c r="L940" s="123"/>
      <c r="N940" s="123"/>
      <c r="O940" s="213"/>
    </row>
    <row r="941">
      <c r="L941" s="123"/>
      <c r="N941" s="123"/>
      <c r="O941" s="213"/>
    </row>
    <row r="942">
      <c r="L942" s="123"/>
      <c r="N942" s="123"/>
      <c r="O942" s="213"/>
    </row>
    <row r="943">
      <c r="L943" s="123"/>
      <c r="N943" s="123"/>
      <c r="O943" s="213"/>
    </row>
    <row r="944">
      <c r="L944" s="123"/>
      <c r="N944" s="123"/>
      <c r="O944" s="213"/>
    </row>
    <row r="945">
      <c r="L945" s="123"/>
      <c r="N945" s="123"/>
      <c r="O945" s="213"/>
    </row>
    <row r="946">
      <c r="L946" s="123"/>
      <c r="N946" s="123"/>
      <c r="O946" s="213"/>
    </row>
    <row r="947">
      <c r="L947" s="123"/>
      <c r="N947" s="123"/>
      <c r="O947" s="213"/>
    </row>
    <row r="948">
      <c r="L948" s="123"/>
      <c r="N948" s="123"/>
      <c r="O948" s="213"/>
    </row>
    <row r="949">
      <c r="L949" s="123"/>
      <c r="N949" s="123"/>
      <c r="O949" s="213"/>
    </row>
    <row r="950">
      <c r="L950" s="123"/>
      <c r="N950" s="123"/>
      <c r="O950" s="213"/>
    </row>
    <row r="951">
      <c r="L951" s="123"/>
      <c r="N951" s="123"/>
      <c r="O951" s="213"/>
    </row>
    <row r="952">
      <c r="L952" s="123"/>
      <c r="N952" s="123"/>
      <c r="O952" s="213"/>
    </row>
    <row r="953">
      <c r="L953" s="123"/>
      <c r="N953" s="123"/>
      <c r="O953" s="213"/>
    </row>
    <row r="954">
      <c r="L954" s="123"/>
      <c r="N954" s="123"/>
      <c r="O954" s="213"/>
    </row>
    <row r="955">
      <c r="L955" s="123"/>
      <c r="N955" s="123"/>
      <c r="O955" s="213"/>
    </row>
    <row r="956">
      <c r="L956" s="123"/>
      <c r="N956" s="123"/>
      <c r="O956" s="213"/>
    </row>
    <row r="957">
      <c r="L957" s="123"/>
      <c r="N957" s="123"/>
      <c r="O957" s="213"/>
    </row>
    <row r="958">
      <c r="L958" s="123"/>
      <c r="N958" s="123"/>
      <c r="O958" s="213"/>
    </row>
    <row r="959">
      <c r="L959" s="123"/>
      <c r="N959" s="123"/>
      <c r="O959" s="213"/>
    </row>
    <row r="960">
      <c r="L960" s="123"/>
      <c r="N960" s="123"/>
      <c r="O960" s="213"/>
    </row>
    <row r="961">
      <c r="L961" s="123"/>
      <c r="N961" s="123"/>
      <c r="O961" s="213"/>
    </row>
    <row r="962">
      <c r="L962" s="123"/>
      <c r="N962" s="123"/>
      <c r="O962" s="213"/>
    </row>
    <row r="963">
      <c r="L963" s="123"/>
      <c r="N963" s="123"/>
      <c r="O963" s="213"/>
    </row>
    <row r="964">
      <c r="L964" s="123"/>
      <c r="N964" s="123"/>
      <c r="O964" s="213"/>
    </row>
    <row r="965">
      <c r="L965" s="123"/>
      <c r="N965" s="123"/>
      <c r="O965" s="213"/>
    </row>
    <row r="966">
      <c r="L966" s="123"/>
      <c r="N966" s="123"/>
      <c r="O966" s="213"/>
    </row>
    <row r="967">
      <c r="L967" s="123"/>
      <c r="N967" s="123"/>
      <c r="O967" s="213"/>
    </row>
    <row r="968">
      <c r="L968" s="123"/>
      <c r="N968" s="123"/>
      <c r="O968" s="213"/>
    </row>
    <row r="969">
      <c r="L969" s="123"/>
      <c r="N969" s="123"/>
      <c r="O969" s="213"/>
    </row>
    <row r="970">
      <c r="L970" s="123"/>
      <c r="N970" s="123"/>
      <c r="O970" s="213"/>
    </row>
    <row r="971">
      <c r="L971" s="123"/>
      <c r="N971" s="123"/>
      <c r="O971" s="213"/>
    </row>
    <row r="972">
      <c r="L972" s="123"/>
      <c r="N972" s="123"/>
      <c r="O972" s="213"/>
    </row>
    <row r="973">
      <c r="L973" s="123"/>
      <c r="N973" s="123"/>
      <c r="O973" s="213"/>
    </row>
    <row r="974">
      <c r="L974" s="123"/>
      <c r="N974" s="123"/>
      <c r="O974" s="213"/>
    </row>
    <row r="975">
      <c r="L975" s="123"/>
      <c r="N975" s="123"/>
      <c r="O975" s="213"/>
    </row>
    <row r="976">
      <c r="L976" s="123"/>
      <c r="N976" s="123"/>
      <c r="O976" s="213"/>
    </row>
    <row r="977">
      <c r="L977" s="123"/>
      <c r="N977" s="123"/>
      <c r="O977" s="213"/>
    </row>
    <row r="978">
      <c r="L978" s="123"/>
      <c r="N978" s="123"/>
      <c r="O978" s="213"/>
    </row>
    <row r="979">
      <c r="L979" s="123"/>
      <c r="N979" s="123"/>
      <c r="O979" s="213"/>
    </row>
    <row r="980">
      <c r="L980" s="123"/>
      <c r="N980" s="123"/>
      <c r="O980" s="213"/>
    </row>
    <row r="981">
      <c r="L981" s="123"/>
      <c r="N981" s="123"/>
      <c r="O981" s="213"/>
    </row>
    <row r="982">
      <c r="L982" s="123"/>
      <c r="N982" s="123"/>
      <c r="O982" s="213"/>
    </row>
    <row r="983">
      <c r="L983" s="123"/>
      <c r="N983" s="123"/>
      <c r="O983" s="213"/>
    </row>
    <row r="984">
      <c r="L984" s="123"/>
      <c r="N984" s="123"/>
      <c r="O984" s="213"/>
    </row>
    <row r="985">
      <c r="L985" s="123"/>
      <c r="N985" s="123"/>
      <c r="O985" s="213"/>
    </row>
    <row r="986">
      <c r="L986" s="123"/>
      <c r="N986" s="123"/>
      <c r="O986" s="213"/>
    </row>
    <row r="987">
      <c r="L987" s="123"/>
      <c r="N987" s="123"/>
      <c r="O987" s="213"/>
    </row>
    <row r="988">
      <c r="L988" s="123"/>
      <c r="N988" s="123"/>
      <c r="O988" s="213"/>
    </row>
    <row r="989">
      <c r="L989" s="123"/>
      <c r="N989" s="123"/>
      <c r="O989" s="213"/>
    </row>
    <row r="990">
      <c r="L990" s="123"/>
      <c r="N990" s="123"/>
      <c r="O990" s="213"/>
    </row>
    <row r="991">
      <c r="L991" s="123"/>
      <c r="N991" s="123"/>
      <c r="O991" s="213"/>
    </row>
    <row r="992">
      <c r="L992" s="123"/>
      <c r="N992" s="123"/>
      <c r="O992" s="213"/>
    </row>
    <row r="993">
      <c r="L993" s="123"/>
      <c r="N993" s="123"/>
      <c r="O993" s="213"/>
    </row>
    <row r="994">
      <c r="L994" s="123"/>
      <c r="N994" s="123"/>
      <c r="O994" s="213"/>
    </row>
    <row r="995">
      <c r="L995" s="123"/>
      <c r="N995" s="123"/>
      <c r="O995" s="213"/>
    </row>
    <row r="996">
      <c r="L996" s="123"/>
      <c r="N996" s="123"/>
      <c r="O996" s="213"/>
    </row>
    <row r="997">
      <c r="L997" s="123"/>
      <c r="N997" s="123"/>
      <c r="O997" s="213"/>
    </row>
    <row r="998">
      <c r="L998" s="123"/>
      <c r="N998" s="123"/>
      <c r="O998" s="213"/>
    </row>
    <row r="999">
      <c r="L999" s="123"/>
      <c r="N999" s="123"/>
      <c r="O999" s="213"/>
    </row>
  </sheetData>
  <hyperlinks>
    <hyperlink r:id="rId1" ref="AJ2"/>
    <hyperlink r:id="rId2" ref="AJ3"/>
    <hyperlink r:id="rId3" ref="AJ4"/>
    <hyperlink r:id="rId4" ref="AJ5"/>
    <hyperlink r:id="rId5" ref="AJ6"/>
    <hyperlink r:id="rId6" ref="AJ7"/>
    <hyperlink r:id="rId7" ref="AJ8"/>
    <hyperlink r:id="rId8" ref="AJ9"/>
    <hyperlink r:id="rId9" ref="AJ10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25" max="28" width="18.88"/>
  </cols>
  <sheetData>
    <row r="1">
      <c r="A1" s="158" t="s">
        <v>1421</v>
      </c>
      <c r="B1" s="144" t="s">
        <v>378</v>
      </c>
      <c r="C1" s="144" t="s">
        <v>379</v>
      </c>
      <c r="D1" s="144" t="s">
        <v>380</v>
      </c>
      <c r="E1" s="144" t="s">
        <v>381</v>
      </c>
      <c r="F1" s="144" t="s">
        <v>508</v>
      </c>
      <c r="G1" s="146" t="s">
        <v>1422</v>
      </c>
      <c r="H1" s="144" t="s">
        <v>510</v>
      </c>
      <c r="I1" s="144" t="s">
        <v>1423</v>
      </c>
      <c r="J1" s="144" t="s">
        <v>691</v>
      </c>
      <c r="K1" s="144" t="s">
        <v>511</v>
      </c>
      <c r="L1" s="144" t="s">
        <v>1424</v>
      </c>
      <c r="M1" s="158" t="s">
        <v>1425</v>
      </c>
      <c r="N1" s="215" t="s">
        <v>1426</v>
      </c>
      <c r="O1" s="215" t="s">
        <v>1427</v>
      </c>
      <c r="P1" s="216" t="s">
        <v>1428</v>
      </c>
      <c r="Q1" s="215" t="s">
        <v>1429</v>
      </c>
      <c r="R1" s="215" t="s">
        <v>1430</v>
      </c>
      <c r="S1" s="215" t="s">
        <v>1431</v>
      </c>
      <c r="T1" s="215" t="s">
        <v>1432</v>
      </c>
      <c r="U1" s="215" t="s">
        <v>1433</v>
      </c>
      <c r="V1" s="215" t="s">
        <v>1434</v>
      </c>
      <c r="W1" s="215" t="s">
        <v>1435</v>
      </c>
      <c r="X1" s="146" t="s">
        <v>1436</v>
      </c>
      <c r="Y1" s="160" t="s">
        <v>1437</v>
      </c>
      <c r="Z1" s="160" t="s">
        <v>1438</v>
      </c>
      <c r="AA1" s="160" t="s">
        <v>1439</v>
      </c>
      <c r="AB1" s="160" t="s">
        <v>1440</v>
      </c>
    </row>
    <row r="2">
      <c r="A2" s="135">
        <v>45510.0</v>
      </c>
      <c r="B2" s="135">
        <v>45548.0</v>
      </c>
      <c r="C2" s="17" t="s">
        <v>546</v>
      </c>
      <c r="D2" s="17">
        <v>700.0</v>
      </c>
      <c r="E2" s="17" t="s">
        <v>1441</v>
      </c>
      <c r="F2" s="17" t="s">
        <v>1442</v>
      </c>
      <c r="G2" s="17" t="s">
        <v>1443</v>
      </c>
      <c r="H2" s="17" t="s">
        <v>541</v>
      </c>
      <c r="I2" s="17" t="s">
        <v>1444</v>
      </c>
      <c r="J2" s="17" t="s">
        <v>1445</v>
      </c>
      <c r="K2" s="17">
        <v>66.0</v>
      </c>
      <c r="L2" s="17">
        <v>22.0</v>
      </c>
      <c r="M2" s="141">
        <f t="shared" ref="M2:M7" si="1">if(H2="Akses",150000,IF(H2="Tidak Akses",300000,0))</f>
        <v>300000</v>
      </c>
      <c r="N2" s="217">
        <v>45.0</v>
      </c>
      <c r="O2" s="217">
        <v>10.0</v>
      </c>
      <c r="P2" s="218">
        <f t="shared" ref="P2:P46" si="2">10*K2</f>
        <v>660</v>
      </c>
      <c r="Q2" s="217">
        <v>15.0</v>
      </c>
      <c r="R2" s="217">
        <v>30.0</v>
      </c>
      <c r="S2" s="217">
        <v>10.0</v>
      </c>
      <c r="T2" s="217">
        <f t="shared" ref="T2:T46" si="3">30*L2</f>
        <v>660</v>
      </c>
      <c r="U2" s="217">
        <v>10.0</v>
      </c>
      <c r="V2" s="219">
        <f t="shared" ref="V2:V46" si="4">30*L2</f>
        <v>660</v>
      </c>
      <c r="W2" s="217">
        <v>10.0</v>
      </c>
      <c r="X2" s="217">
        <f t="shared" ref="X2:X46" si="5">N2+O2+P2+Q2+R2+S2+T2+U2+V2+W2</f>
        <v>2110</v>
      </c>
      <c r="Y2" s="220" t="s">
        <v>1446</v>
      </c>
      <c r="Z2" s="133" t="s">
        <v>1447</v>
      </c>
      <c r="AA2" s="134" t="str">
        <f>HYPERLINK("https://drive.google.com/file/d/1WlSZslAiMeFaB9Bsz-g0dd4nnjZhV_6p/view?usp=drivesdk","Antibakteri_700")</f>
        <v>Antibakteri_700</v>
      </c>
      <c r="AB2" s="17" t="s">
        <v>1448</v>
      </c>
    </row>
    <row r="3">
      <c r="A3" s="135">
        <v>45524.0</v>
      </c>
      <c r="B3" s="135">
        <v>45548.0</v>
      </c>
      <c r="C3" s="17" t="s">
        <v>546</v>
      </c>
      <c r="D3" s="17">
        <v>726.0</v>
      </c>
      <c r="E3" s="17" t="s">
        <v>1449</v>
      </c>
      <c r="F3" s="17" t="s">
        <v>1450</v>
      </c>
      <c r="G3" s="17" t="s">
        <v>1132</v>
      </c>
      <c r="H3" s="17" t="s">
        <v>541</v>
      </c>
      <c r="I3" s="17" t="s">
        <v>1444</v>
      </c>
      <c r="J3" s="17" t="s">
        <v>1445</v>
      </c>
      <c r="K3" s="17">
        <v>16.0</v>
      </c>
      <c r="L3" s="17">
        <v>4.0</v>
      </c>
      <c r="M3" s="141">
        <f t="shared" si="1"/>
        <v>300000</v>
      </c>
      <c r="N3" s="217">
        <v>45.0</v>
      </c>
      <c r="O3" s="217">
        <v>10.0</v>
      </c>
      <c r="P3" s="218">
        <f t="shared" si="2"/>
        <v>160</v>
      </c>
      <c r="Q3" s="217">
        <v>15.0</v>
      </c>
      <c r="R3" s="217">
        <v>30.0</v>
      </c>
      <c r="S3" s="217">
        <v>10.0</v>
      </c>
      <c r="T3" s="217">
        <f t="shared" si="3"/>
        <v>120</v>
      </c>
      <c r="U3" s="217">
        <v>10.0</v>
      </c>
      <c r="V3" s="219">
        <f t="shared" si="4"/>
        <v>120</v>
      </c>
      <c r="W3" s="217">
        <v>10.0</v>
      </c>
      <c r="X3" s="217">
        <f t="shared" si="5"/>
        <v>530</v>
      </c>
      <c r="Y3" s="17" t="s">
        <v>1451</v>
      </c>
      <c r="Z3" s="133" t="s">
        <v>1452</v>
      </c>
      <c r="AA3" s="134" t="str">
        <f>HYPERLINK("https://drive.google.com/file/d/1ncR57gNe3Lnu2C_FP4Da4miIhVhW68I5/view?usp=drivesdk","Antibakteri_726")</f>
        <v>Antibakteri_726</v>
      </c>
      <c r="AB3" s="17" t="s">
        <v>1453</v>
      </c>
    </row>
    <row r="4">
      <c r="A4" s="135">
        <v>45552.0</v>
      </c>
      <c r="B4" s="135">
        <v>45590.0</v>
      </c>
      <c r="C4" s="17" t="s">
        <v>546</v>
      </c>
      <c r="D4" s="17">
        <v>779.0</v>
      </c>
      <c r="E4" s="17" t="s">
        <v>1454</v>
      </c>
      <c r="F4" s="17" t="s">
        <v>1455</v>
      </c>
      <c r="G4" s="17" t="s">
        <v>1456</v>
      </c>
      <c r="H4" s="17" t="s">
        <v>621</v>
      </c>
      <c r="I4" s="17" t="s">
        <v>1444</v>
      </c>
      <c r="J4" s="17" t="s">
        <v>572</v>
      </c>
      <c r="K4" s="17">
        <v>36.0</v>
      </c>
      <c r="L4" s="17">
        <v>12.0</v>
      </c>
      <c r="M4" s="141">
        <f t="shared" si="1"/>
        <v>150000</v>
      </c>
      <c r="N4" s="217">
        <v>45.0</v>
      </c>
      <c r="O4" s="217">
        <v>10.0</v>
      </c>
      <c r="P4" s="218">
        <f t="shared" si="2"/>
        <v>360</v>
      </c>
      <c r="Q4" s="217">
        <v>15.0</v>
      </c>
      <c r="R4" s="217">
        <v>30.0</v>
      </c>
      <c r="S4" s="217">
        <v>10.0</v>
      </c>
      <c r="T4" s="217">
        <f t="shared" si="3"/>
        <v>360</v>
      </c>
      <c r="U4" s="217">
        <v>10.0</v>
      </c>
      <c r="V4" s="219">
        <f t="shared" si="4"/>
        <v>360</v>
      </c>
      <c r="W4" s="217">
        <v>10.0</v>
      </c>
      <c r="X4" s="217">
        <f t="shared" si="5"/>
        <v>1210</v>
      </c>
      <c r="Y4" s="17" t="s">
        <v>1457</v>
      </c>
      <c r="Z4" s="133" t="s">
        <v>1458</v>
      </c>
      <c r="AA4" s="221" t="s">
        <v>1459</v>
      </c>
      <c r="AB4" s="17" t="s">
        <v>1460</v>
      </c>
    </row>
    <row r="5">
      <c r="A5" s="135">
        <v>45560.0</v>
      </c>
      <c r="B5" s="135">
        <v>45590.0</v>
      </c>
      <c r="C5" s="17" t="s">
        <v>546</v>
      </c>
      <c r="D5" s="17">
        <v>801.0</v>
      </c>
      <c r="E5" s="17" t="s">
        <v>1454</v>
      </c>
      <c r="F5" s="17" t="s">
        <v>1461</v>
      </c>
      <c r="G5" s="17" t="s">
        <v>1456</v>
      </c>
      <c r="H5" s="17" t="s">
        <v>621</v>
      </c>
      <c r="I5" s="17" t="s">
        <v>1444</v>
      </c>
      <c r="J5" s="17" t="s">
        <v>572</v>
      </c>
      <c r="K5" s="17">
        <v>20.0</v>
      </c>
      <c r="L5" s="17">
        <v>4.0</v>
      </c>
      <c r="M5" s="141">
        <f t="shared" si="1"/>
        <v>150000</v>
      </c>
      <c r="N5" s="217">
        <v>45.0</v>
      </c>
      <c r="O5" s="217">
        <v>10.0</v>
      </c>
      <c r="P5" s="218">
        <f t="shared" si="2"/>
        <v>200</v>
      </c>
      <c r="Q5" s="217">
        <v>15.0</v>
      </c>
      <c r="R5" s="217">
        <v>30.0</v>
      </c>
      <c r="S5" s="217">
        <v>10.0</v>
      </c>
      <c r="T5" s="217">
        <f t="shared" si="3"/>
        <v>120</v>
      </c>
      <c r="U5" s="217">
        <v>10.0</v>
      </c>
      <c r="V5" s="219">
        <f t="shared" si="4"/>
        <v>120</v>
      </c>
      <c r="W5" s="217">
        <v>10.0</v>
      </c>
      <c r="X5" s="217">
        <f t="shared" si="5"/>
        <v>570</v>
      </c>
      <c r="Y5" s="17" t="s">
        <v>1462</v>
      </c>
      <c r="Z5" s="133" t="s">
        <v>1463</v>
      </c>
      <c r="AA5" s="134" t="str">
        <f>HYPERLINK("https://drive.google.com/file/d/1kg1G_eM3Tirvi-eD8nNaT6_hrfyyxNL6/view?usp=drivesdk","Antibakteri_801")</f>
        <v>Antibakteri_801</v>
      </c>
      <c r="AB5" s="17" t="s">
        <v>1464</v>
      </c>
    </row>
    <row r="6">
      <c r="A6" s="135">
        <v>45572.0</v>
      </c>
      <c r="B6" s="135">
        <v>45590.0</v>
      </c>
      <c r="C6" s="17" t="s">
        <v>546</v>
      </c>
      <c r="D6" s="17">
        <v>822.0</v>
      </c>
      <c r="E6" s="17" t="s">
        <v>1465</v>
      </c>
      <c r="F6" s="17" t="s">
        <v>1450</v>
      </c>
      <c r="G6" s="17" t="s">
        <v>1132</v>
      </c>
      <c r="H6" s="17" t="s">
        <v>621</v>
      </c>
      <c r="I6" s="17" t="s">
        <v>1444</v>
      </c>
      <c r="J6" s="17" t="s">
        <v>572</v>
      </c>
      <c r="K6" s="17">
        <v>12.0</v>
      </c>
      <c r="L6" s="17">
        <v>4.0</v>
      </c>
      <c r="M6" s="141">
        <f t="shared" si="1"/>
        <v>150000</v>
      </c>
      <c r="N6" s="217">
        <v>45.0</v>
      </c>
      <c r="O6" s="217">
        <v>10.0</v>
      </c>
      <c r="P6" s="218">
        <f t="shared" si="2"/>
        <v>120</v>
      </c>
      <c r="Q6" s="217">
        <v>15.0</v>
      </c>
      <c r="R6" s="217">
        <v>30.0</v>
      </c>
      <c r="S6" s="217">
        <v>10.0</v>
      </c>
      <c r="T6" s="217">
        <f t="shared" si="3"/>
        <v>120</v>
      </c>
      <c r="U6" s="217">
        <v>10.0</v>
      </c>
      <c r="V6" s="219">
        <f t="shared" si="4"/>
        <v>120</v>
      </c>
      <c r="W6" s="217">
        <v>10.0</v>
      </c>
      <c r="X6" s="217">
        <f t="shared" si="5"/>
        <v>490</v>
      </c>
      <c r="Y6" s="17" t="s">
        <v>1466</v>
      </c>
      <c r="Z6" s="133" t="s">
        <v>1467</v>
      </c>
      <c r="AA6" s="134" t="str">
        <f>HYPERLINK("https://drive.google.com/file/d/1ozpIXNgzWwUrkdntH_c4OxvsBVBvenjB/view?usp=drivesdk","Antibakteri_822")</f>
        <v>Antibakteri_822</v>
      </c>
      <c r="AB6" s="17" t="s">
        <v>1468</v>
      </c>
    </row>
    <row r="7">
      <c r="A7" s="222">
        <v>45630.0</v>
      </c>
      <c r="B7" s="135">
        <v>45650.0</v>
      </c>
      <c r="C7" s="17" t="s">
        <v>546</v>
      </c>
      <c r="D7" s="17">
        <v>915.0</v>
      </c>
      <c r="E7" s="17" t="s">
        <v>1469</v>
      </c>
      <c r="F7" s="17">
        <v>4.311421071E9</v>
      </c>
      <c r="G7" s="17" t="s">
        <v>1470</v>
      </c>
      <c r="H7" s="17" t="s">
        <v>541</v>
      </c>
      <c r="I7" s="17" t="s">
        <v>1444</v>
      </c>
      <c r="J7" s="17" t="s">
        <v>572</v>
      </c>
      <c r="K7" s="17">
        <v>3.0</v>
      </c>
      <c r="L7" s="17">
        <v>2.0</v>
      </c>
      <c r="M7" s="141">
        <f t="shared" si="1"/>
        <v>300000</v>
      </c>
      <c r="N7" s="217">
        <v>45.0</v>
      </c>
      <c r="O7" s="217">
        <v>10.0</v>
      </c>
      <c r="P7" s="218">
        <f t="shared" si="2"/>
        <v>30</v>
      </c>
      <c r="Q7" s="217">
        <v>15.0</v>
      </c>
      <c r="R7" s="217">
        <v>30.0</v>
      </c>
      <c r="S7" s="217">
        <v>10.0</v>
      </c>
      <c r="T7" s="217">
        <f t="shared" si="3"/>
        <v>60</v>
      </c>
      <c r="U7" s="217">
        <v>10.0</v>
      </c>
      <c r="V7" s="219">
        <f t="shared" si="4"/>
        <v>60</v>
      </c>
      <c r="W7" s="217">
        <v>10.0</v>
      </c>
      <c r="X7" s="217">
        <f t="shared" si="5"/>
        <v>280</v>
      </c>
      <c r="Y7" s="17" t="s">
        <v>1471</v>
      </c>
      <c r="Z7" s="133" t="s">
        <v>1472</v>
      </c>
      <c r="AA7" s="134" t="str">
        <f>HYPERLINK("https://drive.google.com/file/d/1uvVgX-oQWtnQm1Tlw8Rh7FwUvfz3FlXx/view?usp=drivesdk","Antibakteri_915")</f>
        <v>Antibakteri_915</v>
      </c>
      <c r="AB7" s="17" t="s">
        <v>1473</v>
      </c>
    </row>
    <row r="8">
      <c r="A8" s="222">
        <v>45663.0</v>
      </c>
      <c r="B8" s="222">
        <v>45687.0</v>
      </c>
      <c r="C8" s="17" t="s">
        <v>546</v>
      </c>
      <c r="D8" s="17">
        <v>973.0</v>
      </c>
      <c r="E8" s="17" t="s">
        <v>1474</v>
      </c>
      <c r="F8" s="17" t="s">
        <v>1455</v>
      </c>
      <c r="G8" s="17" t="s">
        <v>1475</v>
      </c>
      <c r="H8" s="17" t="s">
        <v>621</v>
      </c>
      <c r="I8" s="17" t="s">
        <v>1444</v>
      </c>
      <c r="J8" s="17" t="s">
        <v>572</v>
      </c>
      <c r="K8" s="17">
        <v>16.0</v>
      </c>
      <c r="L8" s="17">
        <v>4.0</v>
      </c>
      <c r="M8" s="141">
        <v>200000.0</v>
      </c>
      <c r="N8" s="217">
        <v>45.0</v>
      </c>
      <c r="O8" s="217">
        <v>10.0</v>
      </c>
      <c r="P8" s="218">
        <f t="shared" si="2"/>
        <v>160</v>
      </c>
      <c r="Q8" s="217">
        <v>15.0</v>
      </c>
      <c r="R8" s="217">
        <v>30.0</v>
      </c>
      <c r="S8" s="217">
        <v>10.0</v>
      </c>
      <c r="T8" s="217">
        <f t="shared" si="3"/>
        <v>120</v>
      </c>
      <c r="U8" s="217">
        <v>10.0</v>
      </c>
      <c r="V8" s="219">
        <f t="shared" si="4"/>
        <v>120</v>
      </c>
      <c r="W8" s="217">
        <v>10.0</v>
      </c>
      <c r="X8" s="217">
        <f t="shared" si="5"/>
        <v>530</v>
      </c>
      <c r="Y8" s="17" t="s">
        <v>1476</v>
      </c>
      <c r="Z8" s="223" t="s">
        <v>1477</v>
      </c>
      <c r="AA8" s="134" t="str">
        <f>HYPERLINK("https://drive.google.com/file/d/1bO8HeZZBubngW1pQ9EyhtaosbYFJrvl-/view?usp=drivesdk","Antibakteri_973")</f>
        <v>Antibakteri_973</v>
      </c>
      <c r="AB8" s="17" t="s">
        <v>1478</v>
      </c>
    </row>
    <row r="9">
      <c r="A9" s="135">
        <v>45677.0</v>
      </c>
      <c r="B9" s="222">
        <v>45701.0</v>
      </c>
      <c r="C9" s="17" t="s">
        <v>546</v>
      </c>
      <c r="D9" s="17">
        <v>33.0</v>
      </c>
      <c r="E9" s="17" t="s">
        <v>1479</v>
      </c>
      <c r="F9" s="17" t="s">
        <v>1480</v>
      </c>
      <c r="G9" s="17" t="s">
        <v>1481</v>
      </c>
      <c r="H9" s="17" t="s">
        <v>621</v>
      </c>
      <c r="I9" s="17" t="s">
        <v>1444</v>
      </c>
      <c r="J9" s="17" t="s">
        <v>572</v>
      </c>
      <c r="K9" s="17">
        <v>32.0</v>
      </c>
      <c r="L9" s="17">
        <v>8.0</v>
      </c>
      <c r="M9" s="141">
        <v>200000.0</v>
      </c>
      <c r="N9" s="217">
        <v>45.0</v>
      </c>
      <c r="O9" s="217">
        <v>10.0</v>
      </c>
      <c r="P9" s="218">
        <f t="shared" si="2"/>
        <v>320</v>
      </c>
      <c r="Q9" s="217">
        <v>15.0</v>
      </c>
      <c r="R9" s="217">
        <v>30.0</v>
      </c>
      <c r="S9" s="217">
        <v>10.0</v>
      </c>
      <c r="T9" s="217">
        <f t="shared" si="3"/>
        <v>240</v>
      </c>
      <c r="U9" s="217">
        <v>10.0</v>
      </c>
      <c r="V9" s="219">
        <f t="shared" si="4"/>
        <v>240</v>
      </c>
      <c r="W9" s="217">
        <v>10.0</v>
      </c>
      <c r="X9" s="217">
        <f t="shared" si="5"/>
        <v>930</v>
      </c>
      <c r="Y9" s="17" t="s">
        <v>1482</v>
      </c>
      <c r="Z9" s="133" t="s">
        <v>1483</v>
      </c>
      <c r="AA9" s="224" t="str">
        <f>HYPERLINK("https://drive.google.com/file/d/1gQSa2EpmY16qdn5Sa9bToUYQmyLz6xCM/view?usp=drivesdk","Antibakteri_33")</f>
        <v>Antibakteri_33</v>
      </c>
      <c r="AB9" s="17" t="s">
        <v>1484</v>
      </c>
    </row>
    <row r="10">
      <c r="A10" s="135">
        <v>45727.0</v>
      </c>
      <c r="B10" s="222">
        <v>45734.0</v>
      </c>
      <c r="C10" s="17" t="s">
        <v>546</v>
      </c>
      <c r="D10" s="17">
        <v>157.0</v>
      </c>
      <c r="E10" s="17" t="s">
        <v>1485</v>
      </c>
      <c r="F10" s="17">
        <v>4.311421073E9</v>
      </c>
      <c r="G10" s="17" t="s">
        <v>1486</v>
      </c>
      <c r="H10" s="17" t="s">
        <v>1487</v>
      </c>
      <c r="I10" s="17" t="s">
        <v>1444</v>
      </c>
      <c r="J10" s="17" t="s">
        <v>572</v>
      </c>
      <c r="K10" s="17">
        <v>12.0</v>
      </c>
      <c r="L10" s="17">
        <v>4.0</v>
      </c>
      <c r="M10" s="141">
        <v>300000.0</v>
      </c>
      <c r="N10" s="217">
        <v>45.0</v>
      </c>
      <c r="O10" s="217">
        <v>10.0</v>
      </c>
      <c r="P10" s="218">
        <f t="shared" si="2"/>
        <v>120</v>
      </c>
      <c r="Q10" s="217">
        <v>15.0</v>
      </c>
      <c r="R10" s="217">
        <v>30.0</v>
      </c>
      <c r="S10" s="217">
        <v>10.0</v>
      </c>
      <c r="T10" s="217">
        <f t="shared" si="3"/>
        <v>120</v>
      </c>
      <c r="U10" s="217">
        <v>10.0</v>
      </c>
      <c r="V10" s="219">
        <f t="shared" si="4"/>
        <v>120</v>
      </c>
      <c r="W10" s="217">
        <v>10.0</v>
      </c>
      <c r="X10" s="217">
        <f t="shared" si="5"/>
        <v>490</v>
      </c>
      <c r="Y10" s="17" t="s">
        <v>1488</v>
      </c>
      <c r="Z10" s="133" t="s">
        <v>1489</v>
      </c>
      <c r="AA10" s="134" t="str">
        <f>HYPERLINK("https://drive.google.com/file/d/1S6cNBHs1LBl7dHKr4clc5sixBHAxhfrH/view?usp=drivesdk","Antibakteri_157")</f>
        <v>Antibakteri_157</v>
      </c>
      <c r="AB10" s="17" t="s">
        <v>1490</v>
      </c>
    </row>
    <row r="11">
      <c r="A11" s="153">
        <v>45769.0</v>
      </c>
      <c r="B11" s="153">
        <v>45786.0</v>
      </c>
      <c r="C11" s="17" t="s">
        <v>546</v>
      </c>
      <c r="D11" s="17">
        <v>219.0</v>
      </c>
      <c r="E11" s="156" t="s">
        <v>1491</v>
      </c>
      <c r="F11" s="156" t="s">
        <v>1492</v>
      </c>
      <c r="G11" s="17" t="s">
        <v>1493</v>
      </c>
      <c r="H11" s="17" t="s">
        <v>621</v>
      </c>
      <c r="I11" s="17" t="s">
        <v>1444</v>
      </c>
      <c r="J11" s="17" t="s">
        <v>572</v>
      </c>
      <c r="K11" s="17">
        <v>6.0</v>
      </c>
      <c r="L11" s="17">
        <v>2.0</v>
      </c>
      <c r="M11" s="141">
        <v>200000.0</v>
      </c>
      <c r="N11" s="217">
        <v>45.0</v>
      </c>
      <c r="O11" s="217">
        <v>10.0</v>
      </c>
      <c r="P11" s="218">
        <f t="shared" si="2"/>
        <v>60</v>
      </c>
      <c r="Q11" s="217">
        <v>15.0</v>
      </c>
      <c r="R11" s="217">
        <v>30.0</v>
      </c>
      <c r="S11" s="217">
        <v>10.0</v>
      </c>
      <c r="T11" s="217">
        <f t="shared" si="3"/>
        <v>60</v>
      </c>
      <c r="U11" s="217">
        <v>10.0</v>
      </c>
      <c r="V11" s="219">
        <f t="shared" si="4"/>
        <v>60</v>
      </c>
      <c r="W11" s="217">
        <v>10.0</v>
      </c>
      <c r="X11" s="217">
        <f t="shared" si="5"/>
        <v>310</v>
      </c>
      <c r="Y11" s="17" t="s">
        <v>1494</v>
      </c>
      <c r="Z11" s="133" t="s">
        <v>1495</v>
      </c>
      <c r="AA11" s="134" t="str">
        <f>HYPERLINK("https://drive.google.com/file/d/16p2NrbxbGbkYsRS7yWMMOwmhSSNzaeRh/view?usp=drivesdk","Antibakteri_219")</f>
        <v>Antibakteri_219</v>
      </c>
      <c r="AB11" s="17" t="s">
        <v>1496</v>
      </c>
    </row>
    <row r="12">
      <c r="A12" s="153">
        <v>45776.0</v>
      </c>
      <c r="B12" s="153">
        <v>45786.0</v>
      </c>
      <c r="C12" s="17" t="s">
        <v>546</v>
      </c>
      <c r="D12" s="17">
        <v>237.0</v>
      </c>
      <c r="E12" s="17" t="s">
        <v>1497</v>
      </c>
      <c r="F12" s="17" t="s">
        <v>1498</v>
      </c>
      <c r="G12" s="17" t="s">
        <v>1481</v>
      </c>
      <c r="H12" s="17" t="s">
        <v>1487</v>
      </c>
      <c r="I12" s="17" t="s">
        <v>1444</v>
      </c>
      <c r="J12" s="17" t="s">
        <v>572</v>
      </c>
      <c r="K12" s="17">
        <v>2.0</v>
      </c>
      <c r="L12" s="17">
        <v>2.0</v>
      </c>
      <c r="M12" s="141">
        <v>200000.0</v>
      </c>
      <c r="N12" s="217">
        <v>45.0</v>
      </c>
      <c r="O12" s="217">
        <v>10.0</v>
      </c>
      <c r="P12" s="218">
        <f t="shared" si="2"/>
        <v>20</v>
      </c>
      <c r="Q12" s="217">
        <v>15.0</v>
      </c>
      <c r="R12" s="217">
        <v>30.0</v>
      </c>
      <c r="S12" s="217">
        <v>10.0</v>
      </c>
      <c r="T12" s="217">
        <f t="shared" si="3"/>
        <v>60</v>
      </c>
      <c r="U12" s="217">
        <v>10.0</v>
      </c>
      <c r="V12" s="219">
        <f t="shared" si="4"/>
        <v>60</v>
      </c>
      <c r="W12" s="217">
        <v>10.0</v>
      </c>
      <c r="X12" s="217">
        <f t="shared" si="5"/>
        <v>270</v>
      </c>
      <c r="Y12" s="17" t="s">
        <v>1499</v>
      </c>
      <c r="Z12" s="133" t="s">
        <v>1500</v>
      </c>
      <c r="AA12" s="134" t="str">
        <f>HYPERLINK("https://drive.google.com/file/d/1wZQjy-19s6TD4x7WzuOyW3QVoFjlwU5o/view?usp=drivesdk","Antibakteri_237")</f>
        <v>Antibakteri_237</v>
      </c>
      <c r="AB12" s="17" t="s">
        <v>1501</v>
      </c>
    </row>
    <row r="13">
      <c r="A13" s="153">
        <v>45784.0</v>
      </c>
      <c r="B13" s="153">
        <v>45786.0</v>
      </c>
      <c r="C13" s="17" t="s">
        <v>546</v>
      </c>
      <c r="D13" s="17">
        <v>254.0</v>
      </c>
      <c r="E13" s="17" t="s">
        <v>1502</v>
      </c>
      <c r="F13" s="17">
        <v>4.31142105E9</v>
      </c>
      <c r="G13" s="17" t="s">
        <v>1503</v>
      </c>
      <c r="H13" s="17" t="s">
        <v>1487</v>
      </c>
      <c r="I13" s="17" t="s">
        <v>1444</v>
      </c>
      <c r="J13" s="17" t="s">
        <v>572</v>
      </c>
      <c r="K13" s="17">
        <v>8.0</v>
      </c>
      <c r="L13" s="17">
        <v>2.0</v>
      </c>
      <c r="M13" s="141">
        <v>300000.0</v>
      </c>
      <c r="N13" s="217">
        <v>45.0</v>
      </c>
      <c r="O13" s="217">
        <v>10.0</v>
      </c>
      <c r="P13" s="218">
        <f t="shared" si="2"/>
        <v>80</v>
      </c>
      <c r="Q13" s="217">
        <v>15.0</v>
      </c>
      <c r="R13" s="217">
        <v>30.0</v>
      </c>
      <c r="S13" s="217">
        <v>10.0</v>
      </c>
      <c r="T13" s="217">
        <f t="shared" si="3"/>
        <v>60</v>
      </c>
      <c r="U13" s="217">
        <v>10.0</v>
      </c>
      <c r="V13" s="219">
        <f t="shared" si="4"/>
        <v>60</v>
      </c>
      <c r="W13" s="217">
        <v>10.0</v>
      </c>
      <c r="X13" s="217">
        <f t="shared" si="5"/>
        <v>330</v>
      </c>
      <c r="Y13" s="17" t="s">
        <v>1504</v>
      </c>
      <c r="Z13" s="133" t="s">
        <v>1505</v>
      </c>
      <c r="AA13" s="134" t="str">
        <f>HYPERLINK("https://drive.google.com/file/d/1OfNAiqqQuUS7JiXl8QZUlD-XcQqfkaKl/view?usp=drivesdk","Antibakteri_254")</f>
        <v>Antibakteri_254</v>
      </c>
      <c r="AB13" s="17" t="s">
        <v>1506</v>
      </c>
    </row>
    <row r="14">
      <c r="A14" s="153">
        <v>45776.0</v>
      </c>
      <c r="B14" s="153">
        <v>45797.0</v>
      </c>
      <c r="C14" s="17" t="s">
        <v>546</v>
      </c>
      <c r="D14" s="169" t="s">
        <v>1507</v>
      </c>
      <c r="E14" s="17" t="s">
        <v>1474</v>
      </c>
      <c r="F14" s="17" t="s">
        <v>1455</v>
      </c>
      <c r="G14" s="17" t="s">
        <v>1456</v>
      </c>
      <c r="H14" s="17" t="s">
        <v>621</v>
      </c>
      <c r="I14" s="17" t="s">
        <v>1444</v>
      </c>
      <c r="J14" s="17" t="s">
        <v>572</v>
      </c>
      <c r="K14" s="17">
        <v>16.0</v>
      </c>
      <c r="L14" s="17">
        <v>4.0</v>
      </c>
      <c r="M14" s="141">
        <v>200000.0</v>
      </c>
      <c r="N14" s="217">
        <v>45.0</v>
      </c>
      <c r="O14" s="217">
        <v>10.0</v>
      </c>
      <c r="P14" s="218">
        <f t="shared" si="2"/>
        <v>160</v>
      </c>
      <c r="Q14" s="217">
        <v>15.0</v>
      </c>
      <c r="R14" s="217">
        <v>30.0</v>
      </c>
      <c r="S14" s="217">
        <v>10.0</v>
      </c>
      <c r="T14" s="217">
        <f t="shared" si="3"/>
        <v>120</v>
      </c>
      <c r="U14" s="217">
        <v>10.0</v>
      </c>
      <c r="V14" s="219">
        <f t="shared" si="4"/>
        <v>120</v>
      </c>
      <c r="W14" s="217">
        <v>10.0</v>
      </c>
      <c r="X14" s="217">
        <f t="shared" si="5"/>
        <v>530</v>
      </c>
      <c r="Y14" s="17" t="s">
        <v>1508</v>
      </c>
      <c r="Z14" s="223" t="s">
        <v>1509</v>
      </c>
      <c r="AA14" s="134" t="str">
        <f>HYPERLINK("https://drive.google.com/file/d/1gmJR-z_oCPTOlEY3gcWpoZAS0bnrpe1p/view?usp=drivesdk","Antibakteri_236+244")</f>
        <v>Antibakteri_236+244</v>
      </c>
      <c r="AB14" s="17" t="s">
        <v>1510</v>
      </c>
    </row>
    <row r="15">
      <c r="A15" s="153">
        <v>45792.0</v>
      </c>
      <c r="B15" s="153">
        <v>45805.0</v>
      </c>
      <c r="C15" s="17" t="s">
        <v>546</v>
      </c>
      <c r="D15" s="17">
        <v>287.0</v>
      </c>
      <c r="E15" s="156" t="s">
        <v>1491</v>
      </c>
      <c r="F15" s="156" t="s">
        <v>1492</v>
      </c>
      <c r="G15" s="17" t="s">
        <v>1493</v>
      </c>
      <c r="H15" s="17" t="s">
        <v>621</v>
      </c>
      <c r="I15" s="17" t="s">
        <v>1444</v>
      </c>
      <c r="J15" s="17" t="s">
        <v>572</v>
      </c>
      <c r="K15" s="17">
        <v>2.0</v>
      </c>
      <c r="L15" s="17">
        <v>2.0</v>
      </c>
      <c r="M15" s="141">
        <v>200000.0</v>
      </c>
      <c r="N15" s="217">
        <v>45.0</v>
      </c>
      <c r="O15" s="217">
        <v>10.0</v>
      </c>
      <c r="P15" s="218">
        <f t="shared" si="2"/>
        <v>20</v>
      </c>
      <c r="Q15" s="217">
        <v>15.0</v>
      </c>
      <c r="R15" s="217">
        <v>30.0</v>
      </c>
      <c r="S15" s="217">
        <v>10.0</v>
      </c>
      <c r="T15" s="217">
        <f t="shared" si="3"/>
        <v>60</v>
      </c>
      <c r="U15" s="217">
        <v>10.0</v>
      </c>
      <c r="V15" s="219">
        <f t="shared" si="4"/>
        <v>60</v>
      </c>
      <c r="W15" s="217">
        <v>10.0</v>
      </c>
      <c r="X15" s="217">
        <f t="shared" si="5"/>
        <v>270</v>
      </c>
      <c r="Y15" s="17" t="s">
        <v>1511</v>
      </c>
      <c r="Z15" s="133" t="s">
        <v>1512</v>
      </c>
      <c r="AA15" s="134" t="str">
        <f>HYPERLINK("https://drive.google.com/file/d/1VcfFacrCL46sJR9aX5Yoj1ZJyrQqZiUT/view?usp=drivesdk","Antibakteri_287")</f>
        <v>Antibakteri_287</v>
      </c>
      <c r="AB15" s="17" t="s">
        <v>1513</v>
      </c>
    </row>
    <row r="16">
      <c r="A16" s="225">
        <v>44743.0</v>
      </c>
      <c r="B16" s="153">
        <v>45819.0</v>
      </c>
      <c r="C16" s="17" t="s">
        <v>546</v>
      </c>
      <c r="D16" s="17">
        <v>148.0</v>
      </c>
      <c r="E16" s="17" t="s">
        <v>1514</v>
      </c>
      <c r="F16" s="17" t="s">
        <v>155</v>
      </c>
      <c r="G16" s="17" t="s">
        <v>155</v>
      </c>
      <c r="H16" s="17" t="s">
        <v>1487</v>
      </c>
      <c r="I16" s="17" t="s">
        <v>1444</v>
      </c>
      <c r="J16" s="17" t="s">
        <v>572</v>
      </c>
      <c r="K16" s="17">
        <v>6.0</v>
      </c>
      <c r="L16" s="17">
        <v>2.0</v>
      </c>
      <c r="M16" s="141">
        <v>350000.0</v>
      </c>
      <c r="N16" s="217">
        <v>45.0</v>
      </c>
      <c r="O16" s="217">
        <v>10.0</v>
      </c>
      <c r="P16" s="218">
        <f t="shared" si="2"/>
        <v>60</v>
      </c>
      <c r="Q16" s="217">
        <v>15.0</v>
      </c>
      <c r="R16" s="217">
        <v>30.0</v>
      </c>
      <c r="S16" s="217">
        <v>10.0</v>
      </c>
      <c r="T16" s="217">
        <f t="shared" si="3"/>
        <v>60</v>
      </c>
      <c r="U16" s="217">
        <v>10.0</v>
      </c>
      <c r="V16" s="219">
        <f t="shared" si="4"/>
        <v>60</v>
      </c>
      <c r="W16" s="217">
        <v>10.0</v>
      </c>
      <c r="X16" s="217">
        <f t="shared" si="5"/>
        <v>310</v>
      </c>
      <c r="Y16" s="17" t="s">
        <v>1515</v>
      </c>
      <c r="Z16" s="133" t="s">
        <v>1516</v>
      </c>
      <c r="AA16" s="134" t="str">
        <f>HYPERLINK("https://drive.google.com/file/d/11klDD80MZuvHBcgCikfZ7vlTiUUqvtFI/view?usp=drivesdk","Antibakteri_148")</f>
        <v>Antibakteri_148</v>
      </c>
      <c r="AB16" s="17" t="s">
        <v>1517</v>
      </c>
    </row>
    <row r="17">
      <c r="A17" s="153">
        <v>45818.0</v>
      </c>
      <c r="B17" s="153">
        <v>45820.0</v>
      </c>
      <c r="C17" s="17" t="s">
        <v>546</v>
      </c>
      <c r="D17" s="17">
        <v>374.0</v>
      </c>
      <c r="E17" s="17" t="s">
        <v>1518</v>
      </c>
      <c r="F17" s="17" t="s">
        <v>1519</v>
      </c>
      <c r="G17" s="17" t="s">
        <v>1520</v>
      </c>
      <c r="H17" s="17" t="s">
        <v>1487</v>
      </c>
      <c r="I17" s="17" t="s">
        <v>1444</v>
      </c>
      <c r="J17" s="17" t="s">
        <v>572</v>
      </c>
      <c r="K17" s="17">
        <v>8.0</v>
      </c>
      <c r="L17" s="17">
        <v>2.0</v>
      </c>
      <c r="M17" s="141">
        <v>200000.0</v>
      </c>
      <c r="N17" s="217">
        <v>45.0</v>
      </c>
      <c r="O17" s="217">
        <v>10.0</v>
      </c>
      <c r="P17" s="218">
        <f t="shared" si="2"/>
        <v>80</v>
      </c>
      <c r="Q17" s="217">
        <v>15.0</v>
      </c>
      <c r="R17" s="217">
        <v>30.0</v>
      </c>
      <c r="S17" s="217">
        <v>10.0</v>
      </c>
      <c r="T17" s="217">
        <f t="shared" si="3"/>
        <v>60</v>
      </c>
      <c r="U17" s="217">
        <v>10.0</v>
      </c>
      <c r="V17" s="219">
        <f t="shared" si="4"/>
        <v>60</v>
      </c>
      <c r="W17" s="217">
        <v>10.0</v>
      </c>
      <c r="X17" s="217">
        <f t="shared" si="5"/>
        <v>330</v>
      </c>
      <c r="Y17" s="17" t="s">
        <v>1521</v>
      </c>
      <c r="Z17" s="133" t="s">
        <v>1522</v>
      </c>
      <c r="AA17" s="134" t="str">
        <f>HYPERLINK("https://drive.google.com/file/d/1X1YlwsphnBKth7sLKPoEwr-BGut89SFs/view?usp=drivesdk","Antibakteri_374")</f>
        <v>Antibakteri_374</v>
      </c>
      <c r="AB17" s="17" t="s">
        <v>1523</v>
      </c>
    </row>
    <row r="18">
      <c r="A18" s="153">
        <v>45818.0</v>
      </c>
      <c r="B18" s="153">
        <v>45820.0</v>
      </c>
      <c r="C18" s="17" t="s">
        <v>546</v>
      </c>
      <c r="D18" s="17">
        <v>375.0</v>
      </c>
      <c r="E18" s="17" t="s">
        <v>1524</v>
      </c>
      <c r="F18" s="136" t="s">
        <v>1525</v>
      </c>
      <c r="G18" s="136" t="s">
        <v>1526</v>
      </c>
      <c r="H18" s="17" t="s">
        <v>621</v>
      </c>
      <c r="I18" s="17" t="s">
        <v>1444</v>
      </c>
      <c r="J18" s="17" t="s">
        <v>572</v>
      </c>
      <c r="K18" s="17">
        <v>16.0</v>
      </c>
      <c r="L18" s="17">
        <v>4.0</v>
      </c>
      <c r="M18" s="141">
        <v>200000.0</v>
      </c>
      <c r="N18" s="217">
        <v>45.0</v>
      </c>
      <c r="O18" s="217">
        <v>10.0</v>
      </c>
      <c r="P18" s="218">
        <f t="shared" si="2"/>
        <v>160</v>
      </c>
      <c r="Q18" s="217">
        <v>15.0</v>
      </c>
      <c r="R18" s="217">
        <v>30.0</v>
      </c>
      <c r="S18" s="217">
        <v>10.0</v>
      </c>
      <c r="T18" s="217">
        <f t="shared" si="3"/>
        <v>120</v>
      </c>
      <c r="U18" s="217">
        <v>10.0</v>
      </c>
      <c r="V18" s="219">
        <f t="shared" si="4"/>
        <v>120</v>
      </c>
      <c r="W18" s="217">
        <v>10.0</v>
      </c>
      <c r="X18" s="217">
        <f t="shared" si="5"/>
        <v>530</v>
      </c>
      <c r="Y18" s="17" t="s">
        <v>1527</v>
      </c>
      <c r="Z18" s="133" t="s">
        <v>1528</v>
      </c>
      <c r="AA18" s="134" t="str">
        <f>HYPERLINK("https://drive.google.com/file/d/17jRfNYpxsXoVqjQN5OB16b6IbXyo4LKo/view?usp=drivesdk","Antibakteri_375")</f>
        <v>Antibakteri_375</v>
      </c>
      <c r="AB18" s="17" t="s">
        <v>1523</v>
      </c>
    </row>
    <row r="19">
      <c r="A19" s="153">
        <v>45803.0</v>
      </c>
      <c r="B19" s="153">
        <v>45820.0</v>
      </c>
      <c r="C19" s="17" t="s">
        <v>546</v>
      </c>
      <c r="D19" s="17">
        <v>321.0</v>
      </c>
      <c r="E19" s="136" t="s">
        <v>1529</v>
      </c>
      <c r="F19" s="136" t="s">
        <v>1530</v>
      </c>
      <c r="G19" s="136" t="s">
        <v>1531</v>
      </c>
      <c r="H19" s="17" t="s">
        <v>1487</v>
      </c>
      <c r="I19" s="17" t="s">
        <v>1444</v>
      </c>
      <c r="J19" s="17" t="s">
        <v>572</v>
      </c>
      <c r="K19" s="17">
        <v>4.0</v>
      </c>
      <c r="L19" s="17">
        <v>2.0</v>
      </c>
      <c r="M19" s="141">
        <v>200000.0</v>
      </c>
      <c r="N19" s="217">
        <v>45.0</v>
      </c>
      <c r="O19" s="217">
        <v>10.0</v>
      </c>
      <c r="P19" s="218">
        <f t="shared" si="2"/>
        <v>40</v>
      </c>
      <c r="Q19" s="217">
        <v>15.0</v>
      </c>
      <c r="R19" s="217">
        <v>30.0</v>
      </c>
      <c r="S19" s="217">
        <v>10.0</v>
      </c>
      <c r="T19" s="217">
        <f t="shared" si="3"/>
        <v>60</v>
      </c>
      <c r="U19" s="217">
        <v>10.0</v>
      </c>
      <c r="V19" s="219">
        <f t="shared" si="4"/>
        <v>60</v>
      </c>
      <c r="W19" s="217">
        <v>10.0</v>
      </c>
      <c r="X19" s="217">
        <f t="shared" si="5"/>
        <v>290</v>
      </c>
      <c r="Y19" s="17" t="s">
        <v>1532</v>
      </c>
      <c r="Z19" s="133" t="s">
        <v>1533</v>
      </c>
      <c r="AA19" s="134" t="str">
        <f>HYPERLINK("https://drive.google.com/file/d/1LG-XIGzrvGqwdk32B0MkA9jDK7_Dijg9/view?usp=drivesdk","Antibakteri_321")</f>
        <v>Antibakteri_321</v>
      </c>
      <c r="AB19" s="17" t="s">
        <v>1523</v>
      </c>
    </row>
    <row r="20">
      <c r="A20" s="153">
        <v>45791.0</v>
      </c>
      <c r="B20" s="153">
        <v>45831.0</v>
      </c>
      <c r="C20" s="17" t="s">
        <v>546</v>
      </c>
      <c r="D20" s="17">
        <v>281.0</v>
      </c>
      <c r="E20" s="156" t="s">
        <v>1491</v>
      </c>
      <c r="F20" s="156" t="s">
        <v>1492</v>
      </c>
      <c r="G20" s="17" t="s">
        <v>1493</v>
      </c>
      <c r="H20" s="17" t="s">
        <v>621</v>
      </c>
      <c r="I20" s="17" t="s">
        <v>1444</v>
      </c>
      <c r="J20" s="17" t="s">
        <v>572</v>
      </c>
      <c r="K20" s="17">
        <v>3.0</v>
      </c>
      <c r="L20" s="17">
        <v>2.0</v>
      </c>
      <c r="M20" s="141">
        <v>200000.0</v>
      </c>
      <c r="N20" s="217">
        <v>45.0</v>
      </c>
      <c r="O20" s="217">
        <v>10.0</v>
      </c>
      <c r="P20" s="218">
        <f t="shared" si="2"/>
        <v>30</v>
      </c>
      <c r="Q20" s="217">
        <v>15.0</v>
      </c>
      <c r="R20" s="217">
        <v>30.0</v>
      </c>
      <c r="S20" s="217">
        <v>10.0</v>
      </c>
      <c r="T20" s="217">
        <f t="shared" si="3"/>
        <v>60</v>
      </c>
      <c r="U20" s="217">
        <v>10.0</v>
      </c>
      <c r="V20" s="219">
        <f t="shared" si="4"/>
        <v>60</v>
      </c>
      <c r="W20" s="217">
        <v>10.0</v>
      </c>
      <c r="X20" s="217">
        <f t="shared" si="5"/>
        <v>280</v>
      </c>
      <c r="Y20" s="17" t="s">
        <v>1534</v>
      </c>
      <c r="Z20" s="133" t="s">
        <v>1535</v>
      </c>
      <c r="AA20" s="134" t="str">
        <f>HYPERLINK("https://drive.google.com/file/d/10CkVdy48s8OgOvAVZDWbRyJX9WzvjSdA/view?usp=drivesdk","Antibakteri_281")</f>
        <v>Antibakteri_281</v>
      </c>
      <c r="AB20" s="17" t="s">
        <v>1536</v>
      </c>
    </row>
    <row r="21">
      <c r="A21" s="153">
        <v>45826.0</v>
      </c>
      <c r="B21" s="153">
        <v>45832.0</v>
      </c>
      <c r="C21" s="17" t="s">
        <v>546</v>
      </c>
      <c r="D21" s="17">
        <v>414.0</v>
      </c>
      <c r="E21" s="136" t="s">
        <v>1537</v>
      </c>
      <c r="F21" s="150">
        <v>4.311421058E9</v>
      </c>
      <c r="G21" s="17" t="s">
        <v>1538</v>
      </c>
      <c r="H21" s="17" t="s">
        <v>1487</v>
      </c>
      <c r="I21" s="17" t="s">
        <v>1444</v>
      </c>
      <c r="J21" s="17" t="s">
        <v>572</v>
      </c>
      <c r="K21" s="17">
        <v>12.0</v>
      </c>
      <c r="L21" s="17">
        <v>6.0</v>
      </c>
      <c r="M21" s="141">
        <v>300000.0</v>
      </c>
      <c r="N21" s="217">
        <v>45.0</v>
      </c>
      <c r="O21" s="217">
        <v>10.0</v>
      </c>
      <c r="P21" s="218">
        <f t="shared" si="2"/>
        <v>120</v>
      </c>
      <c r="Q21" s="217">
        <v>15.0</v>
      </c>
      <c r="R21" s="217">
        <v>30.0</v>
      </c>
      <c r="S21" s="217">
        <v>10.0</v>
      </c>
      <c r="T21" s="217">
        <f t="shared" si="3"/>
        <v>180</v>
      </c>
      <c r="U21" s="217">
        <v>10.0</v>
      </c>
      <c r="V21" s="219">
        <f t="shared" si="4"/>
        <v>180</v>
      </c>
      <c r="W21" s="217">
        <v>10.0</v>
      </c>
      <c r="X21" s="217">
        <f t="shared" si="5"/>
        <v>610</v>
      </c>
      <c r="Y21" s="17" t="s">
        <v>1539</v>
      </c>
      <c r="Z21" s="133" t="s">
        <v>1540</v>
      </c>
      <c r="AA21" s="134" t="str">
        <f>HYPERLINK("https://drive.google.com/file/d/12HHm7isD8_CLfs7vJVAyDnxb14LHCme1/view?usp=drivesdk","Antibakteri_414")</f>
        <v>Antibakteri_414</v>
      </c>
      <c r="AB21" s="17" t="s">
        <v>1541</v>
      </c>
    </row>
    <row r="22">
      <c r="A22" s="153">
        <v>45826.0</v>
      </c>
      <c r="B22" s="153">
        <v>45832.0</v>
      </c>
      <c r="C22" s="17" t="s">
        <v>546</v>
      </c>
      <c r="D22" s="17">
        <v>413.0</v>
      </c>
      <c r="E22" s="136" t="s">
        <v>1542</v>
      </c>
      <c r="F22" s="150">
        <v>4.311421037E9</v>
      </c>
      <c r="G22" s="136" t="s">
        <v>1543</v>
      </c>
      <c r="H22" s="17" t="s">
        <v>1487</v>
      </c>
      <c r="I22" s="17" t="s">
        <v>1444</v>
      </c>
      <c r="J22" s="17" t="s">
        <v>572</v>
      </c>
      <c r="K22" s="17">
        <v>4.0</v>
      </c>
      <c r="L22" s="17">
        <v>2.0</v>
      </c>
      <c r="M22" s="141">
        <v>300000.0</v>
      </c>
      <c r="N22" s="217">
        <v>45.0</v>
      </c>
      <c r="O22" s="217">
        <v>10.0</v>
      </c>
      <c r="P22" s="218">
        <f t="shared" si="2"/>
        <v>40</v>
      </c>
      <c r="Q22" s="217">
        <v>15.0</v>
      </c>
      <c r="R22" s="217">
        <v>30.0</v>
      </c>
      <c r="S22" s="217">
        <v>10.0</v>
      </c>
      <c r="T22" s="217">
        <f t="shared" si="3"/>
        <v>60</v>
      </c>
      <c r="U22" s="217">
        <v>10.0</v>
      </c>
      <c r="V22" s="219">
        <f t="shared" si="4"/>
        <v>60</v>
      </c>
      <c r="W22" s="217">
        <v>10.0</v>
      </c>
      <c r="X22" s="217">
        <f t="shared" si="5"/>
        <v>290</v>
      </c>
      <c r="Y22" s="17" t="s">
        <v>1544</v>
      </c>
      <c r="Z22" s="133" t="s">
        <v>1545</v>
      </c>
      <c r="AA22" s="134" t="str">
        <f>HYPERLINK("https://drive.google.com/file/d/1iIAJZ4HhFb188Awh9gVX5-Pwyt6SFPKK/view?usp=drivesdk","Antibakteri_413")</f>
        <v>Antibakteri_413</v>
      </c>
      <c r="AB22" s="17" t="s">
        <v>1541</v>
      </c>
    </row>
    <row r="23">
      <c r="A23" s="153">
        <v>45826.0</v>
      </c>
      <c r="B23" s="153">
        <v>45832.0</v>
      </c>
      <c r="C23" s="17" t="s">
        <v>546</v>
      </c>
      <c r="D23" s="17">
        <v>420.0</v>
      </c>
      <c r="E23" s="17" t="s">
        <v>1546</v>
      </c>
      <c r="F23" s="136" t="s">
        <v>1547</v>
      </c>
      <c r="G23" s="136" t="s">
        <v>1548</v>
      </c>
      <c r="H23" s="17" t="s">
        <v>621</v>
      </c>
      <c r="I23" s="17" t="s">
        <v>1444</v>
      </c>
      <c r="J23" s="17" t="s">
        <v>572</v>
      </c>
      <c r="K23" s="17">
        <v>4.0</v>
      </c>
      <c r="L23" s="17">
        <v>4.0</v>
      </c>
      <c r="M23" s="141">
        <v>200000.0</v>
      </c>
      <c r="N23" s="217">
        <v>45.0</v>
      </c>
      <c r="O23" s="217">
        <v>10.0</v>
      </c>
      <c r="P23" s="218">
        <f t="shared" si="2"/>
        <v>40</v>
      </c>
      <c r="Q23" s="217">
        <v>15.0</v>
      </c>
      <c r="R23" s="217">
        <v>30.0</v>
      </c>
      <c r="S23" s="217">
        <v>10.0</v>
      </c>
      <c r="T23" s="217">
        <f t="shared" si="3"/>
        <v>120</v>
      </c>
      <c r="U23" s="217">
        <v>10.0</v>
      </c>
      <c r="V23" s="219">
        <f t="shared" si="4"/>
        <v>120</v>
      </c>
      <c r="W23" s="217">
        <v>10.0</v>
      </c>
      <c r="X23" s="217">
        <f t="shared" si="5"/>
        <v>410</v>
      </c>
      <c r="Y23" s="17" t="s">
        <v>1549</v>
      </c>
      <c r="Z23" s="133" t="s">
        <v>1550</v>
      </c>
      <c r="AA23" s="134" t="str">
        <f>HYPERLINK("https://drive.google.com/file/d/14vkdJT_DsAiHLG0puz0o2u2CMCXJ0mvG/view?usp=drivesdk","Antibakteri_420")</f>
        <v>Antibakteri_420</v>
      </c>
      <c r="AB23" s="17" t="s">
        <v>1541</v>
      </c>
    </row>
    <row r="24">
      <c r="A24" s="153">
        <v>45825.0</v>
      </c>
      <c r="B24" s="153">
        <v>45832.0</v>
      </c>
      <c r="C24" s="17" t="s">
        <v>546</v>
      </c>
      <c r="D24" s="17">
        <v>411.0</v>
      </c>
      <c r="E24" s="136" t="s">
        <v>1551</v>
      </c>
      <c r="F24" s="136" t="s">
        <v>1525</v>
      </c>
      <c r="G24" s="136" t="s">
        <v>1552</v>
      </c>
      <c r="I24" s="17" t="s">
        <v>1444</v>
      </c>
      <c r="J24" s="17" t="s">
        <v>572</v>
      </c>
      <c r="K24" s="17">
        <v>3.0</v>
      </c>
      <c r="L24" s="17">
        <v>4.0</v>
      </c>
      <c r="M24" s="141">
        <v>200000.0</v>
      </c>
      <c r="N24" s="217">
        <v>45.0</v>
      </c>
      <c r="O24" s="217">
        <v>10.0</v>
      </c>
      <c r="P24" s="218">
        <f t="shared" si="2"/>
        <v>30</v>
      </c>
      <c r="Q24" s="217">
        <v>15.0</v>
      </c>
      <c r="R24" s="217">
        <v>30.0</v>
      </c>
      <c r="S24" s="217">
        <v>10.0</v>
      </c>
      <c r="T24" s="217">
        <f t="shared" si="3"/>
        <v>120</v>
      </c>
      <c r="U24" s="217">
        <v>10.0</v>
      </c>
      <c r="V24" s="219">
        <f t="shared" si="4"/>
        <v>120</v>
      </c>
      <c r="W24" s="217">
        <v>10.0</v>
      </c>
      <c r="X24" s="217">
        <f t="shared" si="5"/>
        <v>400</v>
      </c>
      <c r="Y24" s="17" t="s">
        <v>1553</v>
      </c>
      <c r="Z24" s="133" t="s">
        <v>1554</v>
      </c>
      <c r="AA24" s="134" t="str">
        <f>HYPERLINK("https://drive.google.com/file/d/1XxQ-9_HXN3L29QPyDYOGV3HD2OP7oiHa/view?usp=drivesdk","Antibakteri_411")</f>
        <v>Antibakteri_411</v>
      </c>
      <c r="AB24" s="17" t="s">
        <v>1555</v>
      </c>
    </row>
    <row r="25">
      <c r="A25" s="226">
        <v>45860.0</v>
      </c>
      <c r="B25" s="153">
        <v>45874.0</v>
      </c>
      <c r="C25" s="17" t="s">
        <v>546</v>
      </c>
      <c r="D25" s="17">
        <v>491.0</v>
      </c>
      <c r="E25" s="17" t="s">
        <v>1556</v>
      </c>
      <c r="F25" s="17" t="s">
        <v>1557</v>
      </c>
      <c r="G25" s="17" t="s">
        <v>1558</v>
      </c>
      <c r="H25" s="17" t="s">
        <v>621</v>
      </c>
      <c r="I25" s="17" t="s">
        <v>1444</v>
      </c>
      <c r="J25" s="17" t="s">
        <v>572</v>
      </c>
      <c r="K25" s="17">
        <v>4.0</v>
      </c>
      <c r="L25" s="17">
        <v>1.0</v>
      </c>
      <c r="M25" s="141">
        <v>200000.0</v>
      </c>
      <c r="N25" s="217">
        <v>45.0</v>
      </c>
      <c r="O25" s="217">
        <v>10.0</v>
      </c>
      <c r="P25" s="218">
        <f t="shared" si="2"/>
        <v>40</v>
      </c>
      <c r="Q25" s="217">
        <v>15.0</v>
      </c>
      <c r="R25" s="217">
        <v>30.0</v>
      </c>
      <c r="S25" s="217">
        <v>10.0</v>
      </c>
      <c r="T25" s="217">
        <f t="shared" si="3"/>
        <v>30</v>
      </c>
      <c r="U25" s="217">
        <v>10.0</v>
      </c>
      <c r="V25" s="219">
        <f t="shared" si="4"/>
        <v>30</v>
      </c>
      <c r="W25" s="217">
        <v>10.0</v>
      </c>
      <c r="X25" s="217">
        <f t="shared" si="5"/>
        <v>230</v>
      </c>
      <c r="Y25" s="17" t="s">
        <v>1559</v>
      </c>
      <c r="Z25" s="133" t="s">
        <v>1560</v>
      </c>
      <c r="AA25" s="134" t="str">
        <f>HYPERLINK("https://drive.google.com/file/d/1Iufuz7z5zFcr9lywhBSSICOcNrdzGYYA/view?usp=drivesdk","Antibakteri_491")</f>
        <v>Antibakteri_491</v>
      </c>
      <c r="AB25" s="17" t="s">
        <v>1561</v>
      </c>
    </row>
    <row r="26">
      <c r="A26" s="226">
        <v>45861.0</v>
      </c>
      <c r="B26" s="153">
        <v>45874.0</v>
      </c>
      <c r="C26" s="17" t="s">
        <v>546</v>
      </c>
      <c r="D26" s="17">
        <v>492.0</v>
      </c>
      <c r="E26" s="17" t="s">
        <v>1562</v>
      </c>
      <c r="F26" s="17" t="s">
        <v>1563</v>
      </c>
      <c r="G26" s="17" t="s">
        <v>1564</v>
      </c>
      <c r="H26" s="17" t="s">
        <v>621</v>
      </c>
      <c r="I26" s="17" t="s">
        <v>1444</v>
      </c>
      <c r="J26" s="17" t="s">
        <v>572</v>
      </c>
      <c r="K26" s="17">
        <v>1.0</v>
      </c>
      <c r="L26" s="17">
        <v>1.0</v>
      </c>
      <c r="M26" s="141">
        <v>300000.0</v>
      </c>
      <c r="N26" s="217">
        <v>45.0</v>
      </c>
      <c r="O26" s="217">
        <v>10.0</v>
      </c>
      <c r="P26" s="218">
        <f t="shared" si="2"/>
        <v>10</v>
      </c>
      <c r="Q26" s="217">
        <v>15.0</v>
      </c>
      <c r="R26" s="217">
        <v>30.0</v>
      </c>
      <c r="S26" s="217">
        <v>10.0</v>
      </c>
      <c r="T26" s="217">
        <f t="shared" si="3"/>
        <v>30</v>
      </c>
      <c r="U26" s="217">
        <v>10.0</v>
      </c>
      <c r="V26" s="219">
        <f t="shared" si="4"/>
        <v>30</v>
      </c>
      <c r="W26" s="217">
        <v>10.0</v>
      </c>
      <c r="X26" s="217">
        <f t="shared" si="5"/>
        <v>200</v>
      </c>
      <c r="Y26" s="17" t="s">
        <v>1565</v>
      </c>
      <c r="Z26" s="133" t="s">
        <v>1566</v>
      </c>
      <c r="AA26" s="134" t="str">
        <f>HYPERLINK("https://drive.google.com/file/d/1qN9qcBx5HLNbTBmo1SDYxSvYGgm3MajT/view?usp=drivesdk","Antibakteri_492")</f>
        <v>Antibakteri_492</v>
      </c>
      <c r="AB26" s="17" t="s">
        <v>1567</v>
      </c>
    </row>
    <row r="27">
      <c r="A27" s="226">
        <v>45877.0</v>
      </c>
      <c r="B27" s="153">
        <v>45890.0</v>
      </c>
      <c r="C27" s="17" t="s">
        <v>546</v>
      </c>
      <c r="D27" s="17">
        <v>529.0</v>
      </c>
      <c r="E27" s="17" t="s">
        <v>1568</v>
      </c>
      <c r="F27" s="17">
        <v>4.311421052E9</v>
      </c>
      <c r="G27" s="17" t="s">
        <v>1503</v>
      </c>
      <c r="H27" s="17" t="s">
        <v>1487</v>
      </c>
      <c r="I27" s="17" t="s">
        <v>1444</v>
      </c>
      <c r="J27" s="17" t="s">
        <v>572</v>
      </c>
      <c r="K27" s="17">
        <v>2.0</v>
      </c>
      <c r="L27" s="17">
        <v>2.0</v>
      </c>
      <c r="M27" s="141">
        <v>300000.0</v>
      </c>
      <c r="N27" s="217">
        <v>45.0</v>
      </c>
      <c r="O27" s="217">
        <v>10.0</v>
      </c>
      <c r="P27" s="218">
        <f t="shared" si="2"/>
        <v>20</v>
      </c>
      <c r="Q27" s="217">
        <v>15.0</v>
      </c>
      <c r="R27" s="217">
        <v>30.0</v>
      </c>
      <c r="S27" s="217">
        <v>10.0</v>
      </c>
      <c r="T27" s="217">
        <f t="shared" si="3"/>
        <v>60</v>
      </c>
      <c r="U27" s="217">
        <v>10.0</v>
      </c>
      <c r="V27" s="219">
        <f t="shared" si="4"/>
        <v>60</v>
      </c>
      <c r="W27" s="217">
        <v>10.0</v>
      </c>
      <c r="X27" s="217">
        <f t="shared" si="5"/>
        <v>270</v>
      </c>
      <c r="Y27" s="17" t="s">
        <v>1569</v>
      </c>
      <c r="Z27" s="133" t="s">
        <v>1570</v>
      </c>
      <c r="AA27" s="134" t="str">
        <f>HYPERLINK("https://drive.google.com/file/d/1DUZ9Cx_-2C4sdfGOggmCZx2ogHbdlLaB/view?usp=drivesdk","Antibakteri_529")</f>
        <v>Antibakteri_529</v>
      </c>
      <c r="AB27" s="17" t="s">
        <v>1571</v>
      </c>
    </row>
    <row r="28">
      <c r="A28" s="226">
        <v>45877.0</v>
      </c>
      <c r="B28" s="153">
        <v>45890.0</v>
      </c>
      <c r="C28" s="17" t="s">
        <v>546</v>
      </c>
      <c r="D28" s="17">
        <v>530.0</v>
      </c>
      <c r="E28" s="17" t="s">
        <v>1537</v>
      </c>
      <c r="F28" s="17">
        <v>4.311421058E9</v>
      </c>
      <c r="G28" s="17" t="s">
        <v>1503</v>
      </c>
      <c r="H28" s="17" t="s">
        <v>1487</v>
      </c>
      <c r="I28" s="17" t="s">
        <v>1444</v>
      </c>
      <c r="J28" s="17" t="s">
        <v>572</v>
      </c>
      <c r="K28" s="17">
        <v>12.0</v>
      </c>
      <c r="L28" s="17">
        <v>8.0</v>
      </c>
      <c r="M28" s="141">
        <v>300000.0</v>
      </c>
      <c r="N28" s="217">
        <v>45.0</v>
      </c>
      <c r="O28" s="217">
        <v>10.0</v>
      </c>
      <c r="P28" s="218">
        <f t="shared" si="2"/>
        <v>120</v>
      </c>
      <c r="Q28" s="217">
        <v>15.0</v>
      </c>
      <c r="R28" s="217">
        <v>30.0</v>
      </c>
      <c r="S28" s="217">
        <v>10.0</v>
      </c>
      <c r="T28" s="217">
        <f t="shared" si="3"/>
        <v>240</v>
      </c>
      <c r="U28" s="217">
        <v>10.0</v>
      </c>
      <c r="V28" s="219">
        <f t="shared" si="4"/>
        <v>240</v>
      </c>
      <c r="W28" s="217">
        <v>10.0</v>
      </c>
      <c r="X28" s="217">
        <f t="shared" si="5"/>
        <v>730</v>
      </c>
      <c r="Y28" s="17" t="s">
        <v>1572</v>
      </c>
      <c r="Z28" s="133" t="s">
        <v>1573</v>
      </c>
      <c r="AA28" s="134" t="str">
        <f>HYPERLINK("https://drive.google.com/file/d/1sz1uKpNSAgM4YTzSw29USsHmbZ7URmtp/view?usp=drivesdk","Antibakteri_530")</f>
        <v>Antibakteri_530</v>
      </c>
      <c r="AB28" s="17" t="s">
        <v>1571</v>
      </c>
    </row>
    <row r="29">
      <c r="A29" s="226">
        <v>45896.0</v>
      </c>
      <c r="B29" s="153">
        <v>45901.0</v>
      </c>
      <c r="C29" s="17" t="s">
        <v>546</v>
      </c>
      <c r="D29" s="17">
        <v>563.0</v>
      </c>
      <c r="E29" s="17" t="s">
        <v>635</v>
      </c>
      <c r="F29" s="17">
        <v>8973.0</v>
      </c>
      <c r="G29" s="17" t="s">
        <v>636</v>
      </c>
      <c r="H29" s="17" t="s">
        <v>621</v>
      </c>
      <c r="I29" s="17" t="s">
        <v>1444</v>
      </c>
      <c r="J29" s="17" t="s">
        <v>572</v>
      </c>
      <c r="K29" s="17">
        <v>3.0</v>
      </c>
      <c r="L29" s="17">
        <v>3.0</v>
      </c>
      <c r="M29" s="141">
        <v>300000.0</v>
      </c>
      <c r="N29" s="217">
        <v>45.0</v>
      </c>
      <c r="O29" s="217">
        <v>10.0</v>
      </c>
      <c r="P29" s="218">
        <f t="shared" si="2"/>
        <v>30</v>
      </c>
      <c r="Q29" s="217">
        <v>15.0</v>
      </c>
      <c r="R29" s="217">
        <v>30.0</v>
      </c>
      <c r="S29" s="217">
        <v>10.0</v>
      </c>
      <c r="T29" s="217">
        <f t="shared" si="3"/>
        <v>90</v>
      </c>
      <c r="U29" s="217">
        <v>10.0</v>
      </c>
      <c r="V29" s="219">
        <f t="shared" si="4"/>
        <v>90</v>
      </c>
      <c r="W29" s="217">
        <v>10.0</v>
      </c>
      <c r="X29" s="217">
        <f t="shared" si="5"/>
        <v>340</v>
      </c>
      <c r="Y29" s="17" t="s">
        <v>1574</v>
      </c>
      <c r="Z29" s="133" t="s">
        <v>1575</v>
      </c>
      <c r="AA29" s="134" t="str">
        <f>HYPERLINK("https://drive.google.com/file/d/1qFGH5t93zGOxAqoAXask6uY9Jh9QWwpu/view?usp=drivesdk","Antibakteri_563")</f>
        <v>Antibakteri_563</v>
      </c>
      <c r="AB29" s="17" t="s">
        <v>1576</v>
      </c>
    </row>
    <row r="30">
      <c r="A30" s="226">
        <v>45883.0</v>
      </c>
      <c r="B30" s="153">
        <v>45904.0</v>
      </c>
      <c r="C30" s="17" t="s">
        <v>546</v>
      </c>
      <c r="D30" s="17">
        <v>541.0</v>
      </c>
      <c r="E30" s="136" t="s">
        <v>1577</v>
      </c>
      <c r="F30" s="136" t="s">
        <v>1578</v>
      </c>
      <c r="G30" s="136" t="s">
        <v>1579</v>
      </c>
      <c r="H30" s="17" t="s">
        <v>621</v>
      </c>
      <c r="I30" s="17" t="s">
        <v>1444</v>
      </c>
      <c r="J30" s="17" t="s">
        <v>572</v>
      </c>
      <c r="K30" s="17">
        <v>9.0</v>
      </c>
      <c r="L30" s="17">
        <v>15.0</v>
      </c>
      <c r="M30" s="141">
        <v>300000.0</v>
      </c>
      <c r="N30" s="217">
        <v>45.0</v>
      </c>
      <c r="O30" s="217">
        <v>10.0</v>
      </c>
      <c r="P30" s="218">
        <f t="shared" si="2"/>
        <v>90</v>
      </c>
      <c r="Q30" s="217">
        <v>15.0</v>
      </c>
      <c r="R30" s="217">
        <v>30.0</v>
      </c>
      <c r="S30" s="217">
        <v>10.0</v>
      </c>
      <c r="T30" s="217">
        <f t="shared" si="3"/>
        <v>450</v>
      </c>
      <c r="U30" s="217">
        <v>10.0</v>
      </c>
      <c r="V30" s="219">
        <f t="shared" si="4"/>
        <v>450</v>
      </c>
      <c r="W30" s="217">
        <v>10.0</v>
      </c>
      <c r="X30" s="217">
        <f t="shared" si="5"/>
        <v>1120</v>
      </c>
      <c r="Y30" s="17" t="s">
        <v>1580</v>
      </c>
      <c r="Z30" s="133" t="s">
        <v>1581</v>
      </c>
      <c r="AA30" s="134" t="str">
        <f>HYPERLINK("https://drive.google.com/file/d/1UfcDfz6DXl7oTROpLmnEVCiSfvQYtxbG/view?usp=drivesdk","Antibakteri_541")</f>
        <v>Antibakteri_541</v>
      </c>
      <c r="AB30" s="17" t="s">
        <v>1582</v>
      </c>
    </row>
    <row r="31">
      <c r="A31" s="226">
        <v>45898.0</v>
      </c>
      <c r="B31" s="153">
        <v>45912.0</v>
      </c>
      <c r="C31" s="17" t="s">
        <v>546</v>
      </c>
      <c r="D31" s="17">
        <v>566.0</v>
      </c>
      <c r="E31" s="17" t="s">
        <v>1583</v>
      </c>
      <c r="F31" s="17" t="s">
        <v>155</v>
      </c>
      <c r="G31" s="17" t="s">
        <v>155</v>
      </c>
      <c r="H31" s="17" t="s">
        <v>1487</v>
      </c>
      <c r="I31" s="17" t="s">
        <v>1444</v>
      </c>
      <c r="J31" s="17" t="s">
        <v>572</v>
      </c>
      <c r="K31" s="17">
        <v>1.0</v>
      </c>
      <c r="L31" s="17">
        <v>1.0</v>
      </c>
      <c r="M31" s="141">
        <v>300000.0</v>
      </c>
      <c r="N31" s="217">
        <v>45.0</v>
      </c>
      <c r="O31" s="217">
        <v>10.0</v>
      </c>
      <c r="P31" s="218">
        <f t="shared" si="2"/>
        <v>10</v>
      </c>
      <c r="Q31" s="217">
        <v>15.0</v>
      </c>
      <c r="R31" s="217">
        <v>30.0</v>
      </c>
      <c r="S31" s="217">
        <v>10.0</v>
      </c>
      <c r="T31" s="217">
        <f t="shared" si="3"/>
        <v>30</v>
      </c>
      <c r="U31" s="217">
        <v>10.0</v>
      </c>
      <c r="V31" s="219">
        <f t="shared" si="4"/>
        <v>30</v>
      </c>
      <c r="W31" s="217">
        <v>10.0</v>
      </c>
      <c r="X31" s="217">
        <f t="shared" si="5"/>
        <v>200</v>
      </c>
      <c r="Y31" s="17" t="s">
        <v>1584</v>
      </c>
      <c r="Z31" s="133" t="s">
        <v>1585</v>
      </c>
      <c r="AA31" s="134" t="str">
        <f>HYPERLINK("https://drive.google.com/file/d/1nUGw6fO75iYCT0pGYHvKGhZHEX-51NRx/view?usp=drivesdk","Antibakteri_566")</f>
        <v>Antibakteri_566</v>
      </c>
      <c r="AB31" s="17" t="s">
        <v>1586</v>
      </c>
    </row>
    <row r="32">
      <c r="A32" s="226">
        <v>45908.0</v>
      </c>
      <c r="B32" s="153">
        <v>45912.0</v>
      </c>
      <c r="C32" s="17" t="s">
        <v>546</v>
      </c>
      <c r="D32" s="17">
        <v>575.0</v>
      </c>
      <c r="E32" s="17" t="s">
        <v>1556</v>
      </c>
      <c r="F32" s="17" t="s">
        <v>1557</v>
      </c>
      <c r="G32" s="17" t="s">
        <v>1558</v>
      </c>
      <c r="H32" s="17" t="s">
        <v>621</v>
      </c>
      <c r="I32" s="17" t="s">
        <v>1444</v>
      </c>
      <c r="J32" s="17" t="s">
        <v>572</v>
      </c>
      <c r="K32" s="17">
        <v>4.0</v>
      </c>
      <c r="L32" s="17">
        <v>1.0</v>
      </c>
      <c r="M32" s="141">
        <v>200000.0</v>
      </c>
      <c r="N32" s="217">
        <v>45.0</v>
      </c>
      <c r="O32" s="217">
        <v>10.0</v>
      </c>
      <c r="P32" s="218">
        <f t="shared" si="2"/>
        <v>40</v>
      </c>
      <c r="Q32" s="217">
        <v>15.0</v>
      </c>
      <c r="R32" s="217">
        <v>30.0</v>
      </c>
      <c r="S32" s="217">
        <v>10.0</v>
      </c>
      <c r="T32" s="217">
        <f t="shared" si="3"/>
        <v>30</v>
      </c>
      <c r="U32" s="217">
        <v>10.0</v>
      </c>
      <c r="V32" s="219">
        <f t="shared" si="4"/>
        <v>30</v>
      </c>
      <c r="W32" s="217">
        <v>10.0</v>
      </c>
      <c r="X32" s="217">
        <f t="shared" si="5"/>
        <v>230</v>
      </c>
      <c r="Y32" s="17" t="s">
        <v>1587</v>
      </c>
      <c r="Z32" s="133" t="s">
        <v>1588</v>
      </c>
      <c r="AA32" s="134" t="str">
        <f>HYPERLINK("https://drive.google.com/file/d/1InqrReDkhGXDzNpSN_alLvdJNRTZANmA/view?usp=drivesdk","Antibakteri_575")</f>
        <v>Antibakteri_575</v>
      </c>
      <c r="AB32" s="17" t="s">
        <v>1589</v>
      </c>
    </row>
    <row r="33">
      <c r="A33" s="226">
        <v>45911.0</v>
      </c>
      <c r="B33" s="153">
        <v>45922.0</v>
      </c>
      <c r="C33" s="17" t="s">
        <v>546</v>
      </c>
      <c r="D33" s="17">
        <v>592.0</v>
      </c>
      <c r="E33" s="17" t="s">
        <v>1590</v>
      </c>
      <c r="F33" s="17" t="s">
        <v>1591</v>
      </c>
      <c r="G33" s="17" t="s">
        <v>1592</v>
      </c>
      <c r="H33" s="17" t="s">
        <v>1487</v>
      </c>
      <c r="I33" s="17" t="s">
        <v>1444</v>
      </c>
      <c r="J33" s="17" t="s">
        <v>572</v>
      </c>
      <c r="K33" s="17">
        <v>24.0</v>
      </c>
      <c r="L33" s="17">
        <v>12.0</v>
      </c>
      <c r="M33" s="141">
        <v>200000.0</v>
      </c>
      <c r="N33" s="217">
        <v>45.0</v>
      </c>
      <c r="O33" s="217">
        <v>10.0</v>
      </c>
      <c r="P33" s="218">
        <f t="shared" si="2"/>
        <v>240</v>
      </c>
      <c r="Q33" s="217">
        <v>15.0</v>
      </c>
      <c r="R33" s="217">
        <v>30.0</v>
      </c>
      <c r="S33" s="217">
        <v>10.0</v>
      </c>
      <c r="T33" s="217">
        <f t="shared" si="3"/>
        <v>360</v>
      </c>
      <c r="U33" s="217">
        <v>10.0</v>
      </c>
      <c r="V33" s="219">
        <f t="shared" si="4"/>
        <v>360</v>
      </c>
      <c r="W33" s="217">
        <v>10.0</v>
      </c>
      <c r="X33" s="217">
        <f t="shared" si="5"/>
        <v>1090</v>
      </c>
      <c r="Y33" s="17" t="s">
        <v>1593</v>
      </c>
      <c r="Z33" s="133" t="s">
        <v>1594</v>
      </c>
      <c r="AA33" s="134" t="str">
        <f>HYPERLINK("https://drive.google.com/file/d/1W-zUHF17njNaLuH-k2BPtulz0GV3P-kf/view?usp=drivesdk","Antibakteri_592")</f>
        <v>Antibakteri_592</v>
      </c>
      <c r="AB33" s="17" t="s">
        <v>1595</v>
      </c>
    </row>
    <row r="34">
      <c r="A34" s="135">
        <v>45912.0</v>
      </c>
      <c r="B34" s="153">
        <v>45925.0</v>
      </c>
      <c r="C34" s="17" t="s">
        <v>546</v>
      </c>
      <c r="D34" s="17">
        <v>596.0</v>
      </c>
      <c r="E34" s="136" t="s">
        <v>1596</v>
      </c>
      <c r="F34" s="17" t="s">
        <v>1597</v>
      </c>
      <c r="G34" s="17" t="s">
        <v>1598</v>
      </c>
      <c r="H34" s="17" t="s">
        <v>621</v>
      </c>
      <c r="I34" s="17" t="s">
        <v>1444</v>
      </c>
      <c r="J34" s="17" t="s">
        <v>572</v>
      </c>
      <c r="K34" s="17">
        <v>4.0</v>
      </c>
      <c r="L34" s="17">
        <v>2.0</v>
      </c>
      <c r="M34" s="141">
        <v>200000.0</v>
      </c>
      <c r="N34" s="217">
        <v>45.0</v>
      </c>
      <c r="O34" s="217">
        <v>10.0</v>
      </c>
      <c r="P34" s="218">
        <f t="shared" si="2"/>
        <v>40</v>
      </c>
      <c r="Q34" s="217">
        <v>15.0</v>
      </c>
      <c r="R34" s="217">
        <v>30.0</v>
      </c>
      <c r="S34" s="217">
        <v>10.0</v>
      </c>
      <c r="T34" s="217">
        <f t="shared" si="3"/>
        <v>60</v>
      </c>
      <c r="U34" s="217">
        <v>10.0</v>
      </c>
      <c r="V34" s="219">
        <f t="shared" si="4"/>
        <v>60</v>
      </c>
      <c r="W34" s="217">
        <v>10.0</v>
      </c>
      <c r="X34" s="217">
        <f t="shared" si="5"/>
        <v>290</v>
      </c>
      <c r="Y34" s="17" t="s">
        <v>1599</v>
      </c>
      <c r="Z34" s="133" t="s">
        <v>1600</v>
      </c>
      <c r="AA34" s="134" t="str">
        <f>HYPERLINK("https://drive.google.com/file/d/1x3WInapxYXdCGBHHcb6kn9rOuWJitM_h/view?usp=drivesdk","Antibakteri_596")</f>
        <v>Antibakteri_596</v>
      </c>
      <c r="AB34" s="17" t="s">
        <v>1601</v>
      </c>
    </row>
    <row r="35">
      <c r="A35" s="226">
        <v>45924.0</v>
      </c>
      <c r="B35" s="226">
        <v>45930.0</v>
      </c>
      <c r="C35" s="17" t="s">
        <v>546</v>
      </c>
      <c r="D35" s="17">
        <v>585.0</v>
      </c>
      <c r="E35" s="17" t="s">
        <v>1562</v>
      </c>
      <c r="F35" s="17" t="s">
        <v>1578</v>
      </c>
      <c r="G35" s="17" t="s">
        <v>1564</v>
      </c>
      <c r="H35" s="17" t="s">
        <v>621</v>
      </c>
      <c r="I35" s="17" t="s">
        <v>1444</v>
      </c>
      <c r="J35" s="17" t="s">
        <v>572</v>
      </c>
      <c r="K35" s="17">
        <v>1.0</v>
      </c>
      <c r="L35" s="17">
        <v>2.0</v>
      </c>
      <c r="M35" s="141">
        <v>300000.0</v>
      </c>
      <c r="N35" s="217">
        <v>45.0</v>
      </c>
      <c r="O35" s="217">
        <v>10.0</v>
      </c>
      <c r="P35" s="218">
        <f t="shared" si="2"/>
        <v>10</v>
      </c>
      <c r="Q35" s="217">
        <v>15.0</v>
      </c>
      <c r="R35" s="217">
        <v>30.0</v>
      </c>
      <c r="S35" s="217">
        <v>10.0</v>
      </c>
      <c r="T35" s="217">
        <f t="shared" si="3"/>
        <v>60</v>
      </c>
      <c r="U35" s="217">
        <v>10.0</v>
      </c>
      <c r="V35" s="219">
        <f t="shared" si="4"/>
        <v>60</v>
      </c>
      <c r="W35" s="217">
        <v>10.0</v>
      </c>
      <c r="X35" s="217">
        <f t="shared" si="5"/>
        <v>260</v>
      </c>
      <c r="Y35" s="17" t="s">
        <v>1602</v>
      </c>
      <c r="Z35" s="133" t="s">
        <v>1603</v>
      </c>
      <c r="AA35" s="134" t="str">
        <f>HYPERLINK("https://drive.google.com/file/d/13Tjn4q3q9LRND0QHnbE78UEd9L6_iXr7/view?usp=drivesdk","Antibakteri_585")</f>
        <v>Antibakteri_585</v>
      </c>
      <c r="AB35" s="17" t="s">
        <v>1604</v>
      </c>
    </row>
    <row r="36">
      <c r="A36" s="135">
        <v>45917.0</v>
      </c>
      <c r="B36" s="226">
        <v>45930.0</v>
      </c>
      <c r="C36" s="17" t="s">
        <v>546</v>
      </c>
      <c r="D36" s="17">
        <v>602.0</v>
      </c>
      <c r="E36" s="136" t="s">
        <v>1605</v>
      </c>
      <c r="F36" s="136" t="s">
        <v>1606</v>
      </c>
      <c r="G36" s="136" t="s">
        <v>1607</v>
      </c>
      <c r="H36" s="17" t="s">
        <v>541</v>
      </c>
      <c r="I36" s="17" t="s">
        <v>1444</v>
      </c>
      <c r="J36" s="17" t="s">
        <v>572</v>
      </c>
      <c r="K36" s="17">
        <v>4.0</v>
      </c>
      <c r="L36" s="17">
        <v>4.0</v>
      </c>
      <c r="M36" s="141">
        <v>200000.0</v>
      </c>
      <c r="N36" s="217">
        <v>45.0</v>
      </c>
      <c r="O36" s="217">
        <v>10.0</v>
      </c>
      <c r="P36" s="218">
        <f t="shared" si="2"/>
        <v>40</v>
      </c>
      <c r="Q36" s="217">
        <v>15.0</v>
      </c>
      <c r="R36" s="217">
        <v>30.0</v>
      </c>
      <c r="S36" s="217">
        <v>10.0</v>
      </c>
      <c r="T36" s="217">
        <f t="shared" si="3"/>
        <v>120</v>
      </c>
      <c r="U36" s="217">
        <v>10.0</v>
      </c>
      <c r="V36" s="219">
        <f t="shared" si="4"/>
        <v>120</v>
      </c>
      <c r="W36" s="217">
        <v>10.0</v>
      </c>
      <c r="X36" s="217">
        <f t="shared" si="5"/>
        <v>410</v>
      </c>
      <c r="Y36" s="17" t="s">
        <v>1608</v>
      </c>
      <c r="Z36" s="133" t="s">
        <v>1609</v>
      </c>
      <c r="AA36" s="134" t="str">
        <f>HYPERLINK("https://drive.google.com/file/d/10CLJoQgFWph7PFOxFgxfz66wFXpoBLGv/view?usp=drivesdk","Antibakteri_602")</f>
        <v>Antibakteri_602</v>
      </c>
      <c r="AB36" s="17" t="s">
        <v>1604</v>
      </c>
    </row>
    <row r="37">
      <c r="A37" s="135">
        <v>45917.0</v>
      </c>
      <c r="B37" s="226">
        <v>45930.0</v>
      </c>
      <c r="C37" s="17" t="s">
        <v>546</v>
      </c>
      <c r="D37" s="17">
        <v>607.0</v>
      </c>
      <c r="E37" s="136" t="s">
        <v>1610</v>
      </c>
      <c r="F37" s="136" t="s">
        <v>1611</v>
      </c>
      <c r="G37" s="136" t="s">
        <v>1612</v>
      </c>
      <c r="H37" s="17" t="s">
        <v>541</v>
      </c>
      <c r="I37" s="17" t="s">
        <v>1444</v>
      </c>
      <c r="J37" s="17" t="s">
        <v>572</v>
      </c>
      <c r="K37" s="17">
        <v>8.0</v>
      </c>
      <c r="L37" s="17">
        <v>8.0</v>
      </c>
      <c r="M37" s="141">
        <v>200000.0</v>
      </c>
      <c r="N37" s="217">
        <v>45.0</v>
      </c>
      <c r="O37" s="217">
        <v>10.0</v>
      </c>
      <c r="P37" s="218">
        <f t="shared" si="2"/>
        <v>80</v>
      </c>
      <c r="Q37" s="217">
        <v>15.0</v>
      </c>
      <c r="R37" s="217">
        <v>30.0</v>
      </c>
      <c r="S37" s="217">
        <v>10.0</v>
      </c>
      <c r="T37" s="217">
        <f t="shared" si="3"/>
        <v>240</v>
      </c>
      <c r="U37" s="217">
        <v>10.0</v>
      </c>
      <c r="V37" s="219">
        <f t="shared" si="4"/>
        <v>240</v>
      </c>
      <c r="W37" s="217">
        <v>10.0</v>
      </c>
      <c r="X37" s="217">
        <f t="shared" si="5"/>
        <v>690</v>
      </c>
      <c r="Y37" s="17" t="s">
        <v>1613</v>
      </c>
      <c r="Z37" s="133" t="s">
        <v>1614</v>
      </c>
      <c r="AA37" s="134" t="str">
        <f>HYPERLINK("https://drive.google.com/file/d/1MqijRUA783Yu46vZG0Ux8-lB2PO7rzLc/view?usp=drivesdk","Antibakteri_607")</f>
        <v>Antibakteri_607</v>
      </c>
      <c r="AB37" s="17" t="s">
        <v>1615</v>
      </c>
    </row>
    <row r="38">
      <c r="A38" s="135">
        <v>45932.0</v>
      </c>
      <c r="B38" s="135">
        <v>45933.0</v>
      </c>
      <c r="C38" s="17" t="s">
        <v>546</v>
      </c>
      <c r="D38" s="17">
        <v>650.0</v>
      </c>
      <c r="E38" s="17" t="s">
        <v>1616</v>
      </c>
      <c r="F38" s="17" t="s">
        <v>155</v>
      </c>
      <c r="G38" s="17" t="s">
        <v>554</v>
      </c>
      <c r="H38" s="17" t="s">
        <v>541</v>
      </c>
      <c r="I38" s="17" t="s">
        <v>1444</v>
      </c>
      <c r="J38" s="17" t="s">
        <v>572</v>
      </c>
      <c r="K38" s="17">
        <v>3.0</v>
      </c>
      <c r="L38" s="17">
        <v>1.0</v>
      </c>
      <c r="M38" s="141">
        <v>300000.0</v>
      </c>
      <c r="N38" s="217">
        <v>45.0</v>
      </c>
      <c r="O38" s="217">
        <v>10.0</v>
      </c>
      <c r="P38" s="218">
        <f t="shared" si="2"/>
        <v>30</v>
      </c>
      <c r="Q38" s="217">
        <v>15.0</v>
      </c>
      <c r="R38" s="217">
        <v>30.0</v>
      </c>
      <c r="S38" s="217">
        <v>10.0</v>
      </c>
      <c r="T38" s="217">
        <f t="shared" si="3"/>
        <v>30</v>
      </c>
      <c r="U38" s="217">
        <v>10.0</v>
      </c>
      <c r="V38" s="219">
        <f t="shared" si="4"/>
        <v>30</v>
      </c>
      <c r="W38" s="217">
        <v>10.0</v>
      </c>
      <c r="X38" s="217">
        <f t="shared" si="5"/>
        <v>220</v>
      </c>
      <c r="Y38" s="17" t="s">
        <v>1617</v>
      </c>
      <c r="Z38" s="133" t="s">
        <v>1618</v>
      </c>
      <c r="AA38" s="134" t="str">
        <f>HYPERLINK("https://drive.google.com/file/d/13KQpPhMxI74Ae6zkN-YqXQR6TBToxr7K/view?usp=drivesdk","Antibakteri_650")</f>
        <v>Antibakteri_650</v>
      </c>
      <c r="AB38" s="17" t="s">
        <v>1619</v>
      </c>
    </row>
    <row r="39">
      <c r="A39" s="135">
        <v>45937.0</v>
      </c>
      <c r="B39" s="135">
        <v>45951.0</v>
      </c>
      <c r="C39" s="17" t="s">
        <v>546</v>
      </c>
      <c r="D39" s="17">
        <v>662.0</v>
      </c>
      <c r="E39" s="17" t="s">
        <v>1596</v>
      </c>
      <c r="F39" s="17" t="s">
        <v>1597</v>
      </c>
      <c r="G39" s="17" t="s">
        <v>1620</v>
      </c>
      <c r="H39" s="17" t="s">
        <v>621</v>
      </c>
      <c r="I39" s="17" t="s">
        <v>1444</v>
      </c>
      <c r="J39" s="17" t="s">
        <v>572</v>
      </c>
      <c r="K39" s="17">
        <v>3.0</v>
      </c>
      <c r="L39" s="17">
        <v>1.0</v>
      </c>
      <c r="M39" s="141">
        <v>200000.0</v>
      </c>
      <c r="N39" s="217">
        <v>45.0</v>
      </c>
      <c r="O39" s="217">
        <v>10.0</v>
      </c>
      <c r="P39" s="218">
        <f t="shared" si="2"/>
        <v>30</v>
      </c>
      <c r="Q39" s="217">
        <v>15.0</v>
      </c>
      <c r="R39" s="217">
        <v>30.0</v>
      </c>
      <c r="S39" s="217">
        <v>10.0</v>
      </c>
      <c r="T39" s="217">
        <f t="shared" si="3"/>
        <v>30</v>
      </c>
      <c r="U39" s="217">
        <v>10.0</v>
      </c>
      <c r="V39" s="219">
        <f t="shared" si="4"/>
        <v>30</v>
      </c>
      <c r="W39" s="217">
        <v>10.0</v>
      </c>
      <c r="X39" s="217">
        <f t="shared" si="5"/>
        <v>220</v>
      </c>
      <c r="Y39" s="17" t="s">
        <v>1621</v>
      </c>
      <c r="Z39" s="133" t="s">
        <v>1622</v>
      </c>
      <c r="AA39" s="134" t="str">
        <f>HYPERLINK("https://drive.google.com/file/d/16MaKB_GhB3ZuLTv5zrfFruUgPAkeNNgz/view?usp=drivesdk","Antibakteri_662")</f>
        <v>Antibakteri_662</v>
      </c>
      <c r="AB39" s="17" t="s">
        <v>1623</v>
      </c>
    </row>
    <row r="40">
      <c r="A40" s="135">
        <v>45940.0</v>
      </c>
      <c r="B40" s="135">
        <v>45951.0</v>
      </c>
      <c r="C40" s="17" t="s">
        <v>546</v>
      </c>
      <c r="D40" s="17">
        <v>672.0</v>
      </c>
      <c r="E40" s="17" t="s">
        <v>1624</v>
      </c>
      <c r="F40" s="17" t="s">
        <v>1625</v>
      </c>
      <c r="G40" s="17" t="s">
        <v>1520</v>
      </c>
      <c r="H40" s="17" t="s">
        <v>621</v>
      </c>
      <c r="I40" s="17" t="s">
        <v>1444</v>
      </c>
      <c r="J40" s="17" t="s">
        <v>572</v>
      </c>
      <c r="K40" s="17">
        <v>5.0</v>
      </c>
      <c r="L40" s="17">
        <v>4.0</v>
      </c>
      <c r="M40" s="141">
        <v>200000.0</v>
      </c>
      <c r="N40" s="217">
        <v>45.0</v>
      </c>
      <c r="O40" s="217">
        <v>10.0</v>
      </c>
      <c r="P40" s="218">
        <f t="shared" si="2"/>
        <v>50</v>
      </c>
      <c r="Q40" s="217">
        <v>15.0</v>
      </c>
      <c r="R40" s="217">
        <v>30.0</v>
      </c>
      <c r="S40" s="217">
        <v>10.0</v>
      </c>
      <c r="T40" s="217">
        <f t="shared" si="3"/>
        <v>120</v>
      </c>
      <c r="U40" s="217">
        <v>10.0</v>
      </c>
      <c r="V40" s="219">
        <f t="shared" si="4"/>
        <v>120</v>
      </c>
      <c r="W40" s="217">
        <v>10.0</v>
      </c>
      <c r="X40" s="217">
        <f t="shared" si="5"/>
        <v>420</v>
      </c>
      <c r="Y40" s="17" t="s">
        <v>1626</v>
      </c>
      <c r="Z40" s="133" t="s">
        <v>1627</v>
      </c>
      <c r="AA40" s="134" t="str">
        <f>HYPERLINK("https://drive.google.com/file/d/1dqbb4bfbSWV2oD_Y-WvItnF0WbhEIGTr/view?usp=drivesdk","Antibakteri_672")</f>
        <v>Antibakteri_672</v>
      </c>
      <c r="AB40" s="17" t="s">
        <v>1623</v>
      </c>
    </row>
    <row r="41">
      <c r="A41" s="135">
        <v>45945.0</v>
      </c>
      <c r="B41" s="135">
        <v>45959.0</v>
      </c>
      <c r="C41" s="17" t="s">
        <v>546</v>
      </c>
      <c r="D41" s="17">
        <v>683.0</v>
      </c>
      <c r="E41" s="17" t="s">
        <v>1628</v>
      </c>
      <c r="F41" s="17" t="s">
        <v>1629</v>
      </c>
      <c r="G41" s="17" t="s">
        <v>1592</v>
      </c>
      <c r="H41" s="17" t="s">
        <v>541</v>
      </c>
      <c r="I41" s="17" t="s">
        <v>1444</v>
      </c>
      <c r="J41" s="17" t="s">
        <v>572</v>
      </c>
      <c r="K41" s="17">
        <v>7.0</v>
      </c>
      <c r="L41" s="17">
        <v>4.0</v>
      </c>
      <c r="M41" s="141">
        <v>200000.0</v>
      </c>
      <c r="N41" s="217">
        <v>45.0</v>
      </c>
      <c r="O41" s="217">
        <v>10.0</v>
      </c>
      <c r="P41" s="218">
        <f t="shared" si="2"/>
        <v>70</v>
      </c>
      <c r="Q41" s="217">
        <v>15.0</v>
      </c>
      <c r="R41" s="217">
        <v>30.0</v>
      </c>
      <c r="S41" s="217">
        <v>10.0</v>
      </c>
      <c r="T41" s="217">
        <f t="shared" si="3"/>
        <v>120</v>
      </c>
      <c r="U41" s="217">
        <v>10.0</v>
      </c>
      <c r="V41" s="219">
        <f t="shared" si="4"/>
        <v>120</v>
      </c>
      <c r="W41" s="217">
        <v>10.0</v>
      </c>
      <c r="X41" s="217">
        <f t="shared" si="5"/>
        <v>440</v>
      </c>
      <c r="Y41" s="17" t="s">
        <v>1630</v>
      </c>
      <c r="Z41" s="133" t="s">
        <v>1631</v>
      </c>
      <c r="AA41" s="134" t="str">
        <f>HYPERLINK("https://drive.google.com/file/d/1GdGSs_WL0tueA6gqFBSESfsxAkRo5eE4/view?usp=drivesdk","Antibakteri_683")</f>
        <v>Antibakteri_683</v>
      </c>
      <c r="AB41" s="17" t="s">
        <v>1632</v>
      </c>
    </row>
    <row r="42">
      <c r="A42" s="135">
        <v>45952.0</v>
      </c>
      <c r="B42" s="135">
        <v>45959.0</v>
      </c>
      <c r="C42" s="17" t="s">
        <v>546</v>
      </c>
      <c r="D42" s="17">
        <v>639.0</v>
      </c>
      <c r="E42" s="17" t="s">
        <v>1479</v>
      </c>
      <c r="F42" s="17" t="s">
        <v>1480</v>
      </c>
      <c r="G42" s="17" t="s">
        <v>1520</v>
      </c>
      <c r="H42" s="17" t="s">
        <v>621</v>
      </c>
      <c r="I42" s="17" t="s">
        <v>1444</v>
      </c>
      <c r="J42" s="17" t="s">
        <v>572</v>
      </c>
      <c r="K42" s="17">
        <v>4.0</v>
      </c>
      <c r="L42" s="17">
        <v>4.0</v>
      </c>
      <c r="M42" s="141">
        <v>200000.0</v>
      </c>
      <c r="N42" s="217">
        <v>45.0</v>
      </c>
      <c r="O42" s="217">
        <v>10.0</v>
      </c>
      <c r="P42" s="218">
        <f t="shared" si="2"/>
        <v>40</v>
      </c>
      <c r="Q42" s="217">
        <v>15.0</v>
      </c>
      <c r="R42" s="217">
        <v>30.0</v>
      </c>
      <c r="S42" s="217">
        <v>10.0</v>
      </c>
      <c r="T42" s="217">
        <f t="shared" si="3"/>
        <v>120</v>
      </c>
      <c r="U42" s="217">
        <v>10.0</v>
      </c>
      <c r="V42" s="219">
        <f t="shared" si="4"/>
        <v>120</v>
      </c>
      <c r="W42" s="217">
        <v>10.0</v>
      </c>
      <c r="X42" s="217">
        <f t="shared" si="5"/>
        <v>410</v>
      </c>
      <c r="Y42" s="17" t="s">
        <v>1633</v>
      </c>
      <c r="Z42" s="133" t="s">
        <v>1634</v>
      </c>
      <c r="AA42" s="134" t="str">
        <f>HYPERLINK("https://drive.google.com/file/d/1mpN3JRRroRGcbthCskm4VdCIDEINrz2-/view?usp=drivesdk","Antibakteri_639")</f>
        <v>Antibakteri_639</v>
      </c>
      <c r="AB42" s="17" t="s">
        <v>1635</v>
      </c>
    </row>
    <row r="43">
      <c r="A43" s="135">
        <v>45966.0</v>
      </c>
      <c r="B43" s="135">
        <v>45978.0</v>
      </c>
      <c r="C43" s="17" t="s">
        <v>546</v>
      </c>
      <c r="D43" s="17">
        <v>743.0</v>
      </c>
      <c r="E43" s="17" t="s">
        <v>1636</v>
      </c>
      <c r="F43" s="17" t="s">
        <v>1637</v>
      </c>
      <c r="G43" s="17" t="s">
        <v>1638</v>
      </c>
      <c r="H43" s="17" t="s">
        <v>541</v>
      </c>
      <c r="I43" s="17" t="s">
        <v>1444</v>
      </c>
      <c r="J43" s="17" t="s">
        <v>572</v>
      </c>
      <c r="K43" s="17">
        <v>1.0</v>
      </c>
      <c r="L43" s="17">
        <v>2.0</v>
      </c>
      <c r="M43" s="141">
        <v>300000.0</v>
      </c>
      <c r="N43" s="217">
        <v>45.0</v>
      </c>
      <c r="O43" s="217">
        <v>10.0</v>
      </c>
      <c r="P43" s="218">
        <f t="shared" si="2"/>
        <v>10</v>
      </c>
      <c r="Q43" s="217">
        <v>15.0</v>
      </c>
      <c r="R43" s="217">
        <v>30.0</v>
      </c>
      <c r="S43" s="217">
        <v>10.0</v>
      </c>
      <c r="T43" s="217">
        <f t="shared" si="3"/>
        <v>60</v>
      </c>
      <c r="U43" s="217">
        <v>10.0</v>
      </c>
      <c r="V43" s="219">
        <f t="shared" si="4"/>
        <v>60</v>
      </c>
      <c r="W43" s="217">
        <v>10.0</v>
      </c>
      <c r="X43" s="217">
        <f t="shared" si="5"/>
        <v>260</v>
      </c>
      <c r="Y43" s="17" t="s">
        <v>1639</v>
      </c>
      <c r="Z43" s="133" t="s">
        <v>1640</v>
      </c>
      <c r="AA43" s="134" t="str">
        <f>HYPERLINK("https://drive.google.com/file/d/1rM6qreuzoFS3cm0vT68dCquaFwvlyQjK/view?usp=drivesdk","Antibakteri_743")</f>
        <v>Antibakteri_743</v>
      </c>
      <c r="AB43" s="17" t="s">
        <v>1641</v>
      </c>
    </row>
    <row r="44">
      <c r="A44" s="135">
        <v>45971.0</v>
      </c>
      <c r="B44" s="135">
        <v>45978.0</v>
      </c>
      <c r="C44" s="17" t="s">
        <v>546</v>
      </c>
      <c r="D44" s="17">
        <v>755.0</v>
      </c>
      <c r="E44" s="17" t="s">
        <v>1642</v>
      </c>
      <c r="F44" s="17" t="s">
        <v>1557</v>
      </c>
      <c r="G44" s="17" t="s">
        <v>1558</v>
      </c>
      <c r="H44" s="17" t="s">
        <v>621</v>
      </c>
      <c r="I44" s="17" t="s">
        <v>1444</v>
      </c>
      <c r="J44" s="17" t="s">
        <v>572</v>
      </c>
      <c r="K44" s="17">
        <v>4.0</v>
      </c>
      <c r="L44" s="17">
        <v>1.0</v>
      </c>
      <c r="M44" s="141">
        <v>200000.0</v>
      </c>
      <c r="N44" s="217">
        <v>45.0</v>
      </c>
      <c r="O44" s="217">
        <v>10.0</v>
      </c>
      <c r="P44" s="218">
        <f t="shared" si="2"/>
        <v>40</v>
      </c>
      <c r="Q44" s="217">
        <v>15.0</v>
      </c>
      <c r="R44" s="217">
        <v>30.0</v>
      </c>
      <c r="S44" s="217">
        <v>10.0</v>
      </c>
      <c r="T44" s="217">
        <f t="shared" si="3"/>
        <v>30</v>
      </c>
      <c r="U44" s="217">
        <v>10.0</v>
      </c>
      <c r="V44" s="219">
        <f t="shared" si="4"/>
        <v>30</v>
      </c>
      <c r="W44" s="217">
        <v>10.0</v>
      </c>
      <c r="X44" s="217">
        <f t="shared" si="5"/>
        <v>230</v>
      </c>
      <c r="Y44" s="17" t="s">
        <v>1643</v>
      </c>
      <c r="Z44" s="133" t="s">
        <v>1644</v>
      </c>
      <c r="AA44" s="134" t="str">
        <f>HYPERLINK("https://drive.google.com/file/d/1NNh2W49LEintvQgQrXeiG1XOFXxPTfr4/view?usp=drivesdk","Antibakteri_755")</f>
        <v>Antibakteri_755</v>
      </c>
      <c r="AB44" s="17" t="s">
        <v>1641</v>
      </c>
    </row>
    <row r="45">
      <c r="A45" s="135">
        <v>45951.0</v>
      </c>
      <c r="B45" s="135">
        <v>45982.0</v>
      </c>
      <c r="C45" s="17" t="s">
        <v>546</v>
      </c>
      <c r="D45" s="17">
        <v>697.0</v>
      </c>
      <c r="E45" s="17" t="s">
        <v>1645</v>
      </c>
      <c r="F45" s="150">
        <v>2.28114012E8</v>
      </c>
      <c r="G45" s="136" t="s">
        <v>1646</v>
      </c>
      <c r="H45" s="17" t="s">
        <v>541</v>
      </c>
      <c r="I45" s="17" t="s">
        <v>1444</v>
      </c>
      <c r="J45" s="17" t="s">
        <v>572</v>
      </c>
      <c r="K45" s="17">
        <v>4.0</v>
      </c>
      <c r="L45" s="17">
        <v>3.0</v>
      </c>
      <c r="M45" s="141">
        <v>300000.0</v>
      </c>
      <c r="N45" s="217">
        <v>45.0</v>
      </c>
      <c r="O45" s="217">
        <v>10.0</v>
      </c>
      <c r="P45" s="218">
        <f t="shared" si="2"/>
        <v>40</v>
      </c>
      <c r="Q45" s="217">
        <v>15.0</v>
      </c>
      <c r="R45" s="217">
        <v>30.0</v>
      </c>
      <c r="S45" s="217">
        <v>10.0</v>
      </c>
      <c r="T45" s="217">
        <f t="shared" si="3"/>
        <v>90</v>
      </c>
      <c r="U45" s="217">
        <v>10.0</v>
      </c>
      <c r="V45" s="219">
        <f t="shared" si="4"/>
        <v>90</v>
      </c>
      <c r="W45" s="217">
        <v>10.0</v>
      </c>
      <c r="X45" s="217">
        <f t="shared" si="5"/>
        <v>350</v>
      </c>
      <c r="Y45" s="17" t="s">
        <v>1647</v>
      </c>
      <c r="Z45" s="133" t="s">
        <v>1648</v>
      </c>
      <c r="AA45" s="134" t="str">
        <f>HYPERLINK("https://drive.google.com/file/d/1_Nn9NeYuQe00li8M4uunWrcJAU_3wu8v/view?usp=drivesdk","Antibakteri_697")</f>
        <v>Antibakteri_697</v>
      </c>
      <c r="AB45" s="17" t="s">
        <v>1649</v>
      </c>
    </row>
    <row r="46">
      <c r="A46" s="135">
        <v>45951.0</v>
      </c>
      <c r="B46" s="135">
        <v>45982.0</v>
      </c>
      <c r="C46" s="17" t="s">
        <v>546</v>
      </c>
      <c r="D46" s="17">
        <v>698.0</v>
      </c>
      <c r="E46" s="17" t="s">
        <v>1650</v>
      </c>
      <c r="F46" s="150">
        <v>2.28114048E8</v>
      </c>
      <c r="G46" s="136" t="s">
        <v>1651</v>
      </c>
      <c r="I46" s="17" t="s">
        <v>1444</v>
      </c>
      <c r="J46" s="17" t="s">
        <v>572</v>
      </c>
      <c r="K46" s="17">
        <v>3.0</v>
      </c>
      <c r="L46" s="17">
        <v>3.0</v>
      </c>
      <c r="M46" s="141">
        <v>300000.0</v>
      </c>
      <c r="N46" s="217">
        <v>45.0</v>
      </c>
      <c r="O46" s="217">
        <v>10.0</v>
      </c>
      <c r="P46" s="218">
        <f t="shared" si="2"/>
        <v>30</v>
      </c>
      <c r="Q46" s="217">
        <v>15.0</v>
      </c>
      <c r="R46" s="217">
        <v>30.0</v>
      </c>
      <c r="S46" s="217">
        <v>10.0</v>
      </c>
      <c r="T46" s="217">
        <f t="shared" si="3"/>
        <v>90</v>
      </c>
      <c r="U46" s="217">
        <v>10.0</v>
      </c>
      <c r="V46" s="219">
        <f t="shared" si="4"/>
        <v>90</v>
      </c>
      <c r="W46" s="217">
        <v>10.0</v>
      </c>
      <c r="X46" s="217">
        <f t="shared" si="5"/>
        <v>340</v>
      </c>
      <c r="Y46" s="17" t="s">
        <v>1652</v>
      </c>
      <c r="Z46" s="133" t="s">
        <v>1653</v>
      </c>
      <c r="AA46" s="134" t="str">
        <f>HYPERLINK("https://drive.google.com/file/d/12kv3YeAdl9X1t0I2_7XU12IPwkuWAIL9/view?usp=drivesdk","Antibakteri_698")</f>
        <v>Antibakteri_698</v>
      </c>
      <c r="AB46" s="17" t="s">
        <v>1649</v>
      </c>
    </row>
  </sheetData>
  <hyperlinks>
    <hyperlink r:id="rId1" ref="Z2"/>
    <hyperlink r:id="rId2" ref="Z3"/>
    <hyperlink r:id="rId3" ref="Z4"/>
    <hyperlink r:id="rId4" ref="Z5"/>
    <hyperlink r:id="rId5" ref="Z6"/>
    <hyperlink r:id="rId6" ref="Z7"/>
    <hyperlink r:id="rId7" ref="Z8"/>
    <hyperlink r:id="rId8" ref="Z9"/>
    <hyperlink r:id="rId9" ref="Z10"/>
    <hyperlink r:id="rId10" ref="Z11"/>
    <hyperlink r:id="rId11" ref="Z12"/>
    <hyperlink r:id="rId12" ref="Z13"/>
    <hyperlink r:id="rId13" ref="Z14"/>
    <hyperlink r:id="rId14" ref="Z15"/>
    <hyperlink r:id="rId15" ref="Z16"/>
    <hyperlink r:id="rId16" ref="Z17"/>
    <hyperlink r:id="rId17" ref="Z18"/>
    <hyperlink r:id="rId18" ref="Z19"/>
    <hyperlink r:id="rId19" ref="Z20"/>
    <hyperlink r:id="rId20" ref="Z21"/>
    <hyperlink r:id="rId21" ref="Z22"/>
    <hyperlink r:id="rId22" ref="Z23"/>
    <hyperlink r:id="rId23" ref="Z24"/>
    <hyperlink r:id="rId24" ref="Z25"/>
    <hyperlink r:id="rId25" ref="Z26"/>
    <hyperlink r:id="rId26" ref="Z27"/>
    <hyperlink r:id="rId27" ref="Z28"/>
    <hyperlink r:id="rId28" ref="Z29"/>
    <hyperlink r:id="rId29" ref="Z30"/>
    <hyperlink r:id="rId30" ref="Z31"/>
    <hyperlink r:id="rId31" ref="Z32"/>
    <hyperlink r:id="rId32" ref="Z33"/>
    <hyperlink r:id="rId33" ref="Z34"/>
    <hyperlink r:id="rId34" ref="Z35"/>
    <hyperlink r:id="rId35" ref="Z36"/>
    <hyperlink r:id="rId36" ref="Z37"/>
    <hyperlink r:id="rId37" ref="Z38"/>
    <hyperlink r:id="rId38" ref="Z39"/>
    <hyperlink r:id="rId39" ref="Z40"/>
    <hyperlink r:id="rId40" ref="Z41"/>
    <hyperlink r:id="rId41" ref="Z42"/>
    <hyperlink r:id="rId42" ref="Z43"/>
    <hyperlink r:id="rId43" ref="Z44"/>
    <hyperlink r:id="rId44" ref="Z45"/>
    <hyperlink r:id="rId45" ref="Z46"/>
  </hyperlinks>
  <drawing r:id="rId4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2.75"/>
    <col customWidth="1" min="3" max="3" width="7.63"/>
    <col customWidth="1" hidden="1" min="4" max="4" width="21.0"/>
    <col hidden="1" min="5" max="5" width="12.63"/>
    <col customWidth="1" hidden="1" min="6" max="6" width="31.25"/>
    <col hidden="1" min="7" max="7" width="12.63"/>
    <col customWidth="1" min="8" max="8" width="30.25"/>
    <col customWidth="1" min="9" max="9" width="15.88"/>
    <col customWidth="1" hidden="1" min="10" max="10" width="10.38"/>
    <col customWidth="1" hidden="1" min="11" max="11" width="11.13"/>
    <col hidden="1" min="12" max="13" width="12.63"/>
    <col customWidth="1" min="25" max="28" width="18.88"/>
  </cols>
  <sheetData>
    <row r="1">
      <c r="A1" s="146" t="s">
        <v>1654</v>
      </c>
      <c r="B1" s="143" t="s">
        <v>378</v>
      </c>
      <c r="C1" s="144" t="s">
        <v>380</v>
      </c>
      <c r="D1" s="144" t="s">
        <v>381</v>
      </c>
      <c r="E1" s="144" t="s">
        <v>508</v>
      </c>
      <c r="F1" s="145" t="s">
        <v>1655</v>
      </c>
      <c r="G1" s="144" t="s">
        <v>510</v>
      </c>
      <c r="H1" s="144" t="s">
        <v>690</v>
      </c>
      <c r="I1" s="144" t="s">
        <v>691</v>
      </c>
      <c r="J1" s="146" t="s">
        <v>511</v>
      </c>
      <c r="K1" s="146" t="s">
        <v>1656</v>
      </c>
      <c r="L1" s="146" t="s">
        <v>1657</v>
      </c>
      <c r="M1" s="146" t="s">
        <v>1658</v>
      </c>
      <c r="N1" s="146" t="s">
        <v>1659</v>
      </c>
      <c r="O1" s="146" t="s">
        <v>1660</v>
      </c>
      <c r="P1" s="146" t="s">
        <v>1661</v>
      </c>
      <c r="Q1" s="146" t="s">
        <v>1662</v>
      </c>
      <c r="R1" s="146" t="s">
        <v>1663</v>
      </c>
      <c r="S1" s="146" t="s">
        <v>1664</v>
      </c>
      <c r="T1" s="146" t="s">
        <v>1665</v>
      </c>
      <c r="U1" s="146" t="s">
        <v>1666</v>
      </c>
      <c r="V1" s="146" t="s">
        <v>1667</v>
      </c>
      <c r="W1" s="146" t="s">
        <v>1668</v>
      </c>
      <c r="X1" s="147" t="s">
        <v>379</v>
      </c>
      <c r="Y1" s="160" t="s">
        <v>1669</v>
      </c>
      <c r="Z1" s="160" t="s">
        <v>1670</v>
      </c>
      <c r="AA1" s="160" t="s">
        <v>1671</v>
      </c>
      <c r="AB1" s="160" t="s">
        <v>1672</v>
      </c>
      <c r="AC1" s="200"/>
      <c r="AD1" s="200"/>
    </row>
    <row r="2">
      <c r="A2" s="227">
        <v>45519.0</v>
      </c>
      <c r="B2" s="227">
        <v>45526.0</v>
      </c>
      <c r="C2" s="228">
        <v>716.0</v>
      </c>
      <c r="D2" s="145" t="s">
        <v>1673</v>
      </c>
      <c r="E2" s="145" t="s">
        <v>1674</v>
      </c>
      <c r="F2" s="145" t="s">
        <v>1675</v>
      </c>
      <c r="G2" s="145" t="s">
        <v>621</v>
      </c>
      <c r="H2" s="145" t="s">
        <v>1676</v>
      </c>
      <c r="I2" s="145" t="s">
        <v>716</v>
      </c>
      <c r="J2" s="145">
        <v>3.0</v>
      </c>
      <c r="K2" s="145">
        <v>3.0</v>
      </c>
      <c r="L2" s="229">
        <v>3.0</v>
      </c>
      <c r="M2" s="229">
        <v>0.0</v>
      </c>
      <c r="N2" s="229">
        <v>150000.0</v>
      </c>
      <c r="O2" s="141">
        <f t="shared" ref="O2:O153" si="1">J2*N2</f>
        <v>450000</v>
      </c>
      <c r="P2" s="145">
        <v>20.0</v>
      </c>
      <c r="Q2" s="145">
        <f>5*K2</f>
        <v>15</v>
      </c>
      <c r="R2" s="145">
        <f>20*K2</f>
        <v>60</v>
      </c>
      <c r="S2" s="145">
        <v>0.0</v>
      </c>
      <c r="T2" s="145">
        <f>30*K2</f>
        <v>90</v>
      </c>
      <c r="U2" s="230">
        <f>10*K2</f>
        <v>30</v>
      </c>
      <c r="V2" s="145">
        <v>5.0</v>
      </c>
      <c r="W2" s="230">
        <f t="shared" ref="W2:W57" si="2">SUM(P2:V2)</f>
        <v>220</v>
      </c>
      <c r="X2" s="145" t="s">
        <v>453</v>
      </c>
      <c r="Y2" s="145" t="s">
        <v>1677</v>
      </c>
      <c r="Z2" s="231" t="s">
        <v>1678</v>
      </c>
      <c r="AA2" s="232" t="str">
        <f>HYPERLINK("https://drive.google.com/file/d/1HYGM0R2bItqjHxy1hC8uJF8ndq99gEp8/view?usp=drivesdk","PSA_Fiona Indah Setia Putri_716")</f>
        <v>PSA_Fiona Indah Setia Putri_716</v>
      </c>
      <c r="AB2" s="145" t="s">
        <v>1679</v>
      </c>
    </row>
    <row r="3">
      <c r="A3" s="227">
        <v>45523.0</v>
      </c>
      <c r="B3" s="201">
        <v>45531.0</v>
      </c>
      <c r="C3" s="206">
        <v>724.0</v>
      </c>
      <c r="D3" s="155" t="s">
        <v>1680</v>
      </c>
      <c r="E3" s="155" t="s">
        <v>1131</v>
      </c>
      <c r="F3" s="155" t="s">
        <v>1681</v>
      </c>
      <c r="G3" s="155" t="s">
        <v>621</v>
      </c>
      <c r="H3" s="155" t="s">
        <v>1682</v>
      </c>
      <c r="I3" s="155" t="s">
        <v>716</v>
      </c>
      <c r="J3" s="155">
        <v>2.0</v>
      </c>
      <c r="K3" s="155">
        <v>4.0</v>
      </c>
      <c r="L3" s="229">
        <v>2.0</v>
      </c>
      <c r="M3" s="229">
        <v>2.0</v>
      </c>
      <c r="N3" s="229">
        <v>150000.0</v>
      </c>
      <c r="O3" s="141">
        <f t="shared" si="1"/>
        <v>300000</v>
      </c>
      <c r="P3" s="145">
        <v>20.0</v>
      </c>
      <c r="Q3" s="145">
        <v>0.0</v>
      </c>
      <c r="R3" s="145">
        <v>30.0</v>
      </c>
      <c r="S3" s="145">
        <v>60.0</v>
      </c>
      <c r="T3" s="145">
        <v>90.0</v>
      </c>
      <c r="U3" s="145">
        <v>40.0</v>
      </c>
      <c r="V3" s="145">
        <v>5.0</v>
      </c>
      <c r="W3" s="230">
        <f t="shared" si="2"/>
        <v>245</v>
      </c>
      <c r="X3" s="145" t="s">
        <v>453</v>
      </c>
      <c r="Y3" s="145" t="s">
        <v>1683</v>
      </c>
      <c r="Z3" s="231" t="s">
        <v>1684</v>
      </c>
      <c r="AA3" s="232" t="str">
        <f>HYPERLINK("https://drive.google.com/file/d/15n1zeDBkg7XXuXTflammVmKSsJ7mDKdA/view?usp=drivesdk","PSA_Hana Prasita L_724")</f>
        <v>PSA_Hana Prasita L_724</v>
      </c>
      <c r="AB3" s="145" t="s">
        <v>1685</v>
      </c>
    </row>
    <row r="4">
      <c r="A4" s="227">
        <v>45527.0</v>
      </c>
      <c r="B4" s="201">
        <v>45531.0</v>
      </c>
      <c r="C4" s="206">
        <v>732.0</v>
      </c>
      <c r="D4" s="155" t="s">
        <v>1686</v>
      </c>
      <c r="E4" s="155" t="s">
        <v>1687</v>
      </c>
      <c r="F4" s="155" t="s">
        <v>1688</v>
      </c>
      <c r="G4" s="155" t="s">
        <v>621</v>
      </c>
      <c r="H4" s="155" t="s">
        <v>1682</v>
      </c>
      <c r="I4" s="155" t="s">
        <v>716</v>
      </c>
      <c r="J4" s="155">
        <v>3.0</v>
      </c>
      <c r="K4" s="155">
        <v>6.0</v>
      </c>
      <c r="L4" s="229">
        <v>3.0</v>
      </c>
      <c r="M4" s="229">
        <v>3.0</v>
      </c>
      <c r="N4" s="229">
        <v>150000.0</v>
      </c>
      <c r="O4" s="141">
        <f t="shared" si="1"/>
        <v>450000</v>
      </c>
      <c r="P4" s="155">
        <v>20.0</v>
      </c>
      <c r="Q4" s="155">
        <v>0.0</v>
      </c>
      <c r="R4" s="155">
        <v>45.0</v>
      </c>
      <c r="S4" s="155">
        <v>90.0</v>
      </c>
      <c r="T4" s="155">
        <v>135.0</v>
      </c>
      <c r="U4" s="155">
        <v>60.0</v>
      </c>
      <c r="V4" s="155">
        <v>5.0</v>
      </c>
      <c r="W4" s="230">
        <f t="shared" si="2"/>
        <v>355</v>
      </c>
      <c r="X4" s="145" t="s">
        <v>453</v>
      </c>
      <c r="Y4" s="155" t="s">
        <v>1689</v>
      </c>
      <c r="Z4" s="166" t="s">
        <v>1690</v>
      </c>
      <c r="AA4" s="205" t="str">
        <f>HYPERLINK("https://drive.google.com/file/d/1W1FH10uNPADp8Wm1YvD7Zi7pdgel3WRD/view?usp=drivesdk","PSA_Agung Prakoso_732")</f>
        <v>PSA_Agung Prakoso_732</v>
      </c>
      <c r="AB4" s="155" t="s">
        <v>1691</v>
      </c>
    </row>
    <row r="5">
      <c r="A5" s="227">
        <v>45527.0</v>
      </c>
      <c r="B5" s="201">
        <v>45531.0</v>
      </c>
      <c r="C5" s="206">
        <v>728.0</v>
      </c>
      <c r="D5" s="155" t="s">
        <v>1692</v>
      </c>
      <c r="E5" s="155" t="s">
        <v>155</v>
      </c>
      <c r="F5" s="155" t="s">
        <v>1693</v>
      </c>
      <c r="G5" s="155" t="s">
        <v>541</v>
      </c>
      <c r="H5" s="155" t="s">
        <v>1682</v>
      </c>
      <c r="I5" s="155" t="s">
        <v>766</v>
      </c>
      <c r="J5" s="155">
        <v>3.0</v>
      </c>
      <c r="K5" s="155">
        <v>5.0</v>
      </c>
      <c r="L5" s="229">
        <v>3.0</v>
      </c>
      <c r="M5" s="229">
        <v>2.0</v>
      </c>
      <c r="N5" s="229">
        <v>300000.0</v>
      </c>
      <c r="O5" s="141">
        <f t="shared" si="1"/>
        <v>900000</v>
      </c>
      <c r="P5" s="155">
        <v>20.0</v>
      </c>
      <c r="Q5" s="155">
        <v>0.0</v>
      </c>
      <c r="R5" s="155">
        <v>45.0</v>
      </c>
      <c r="S5" s="155">
        <v>60.0</v>
      </c>
      <c r="T5" s="155">
        <v>135.0</v>
      </c>
      <c r="U5" s="155">
        <v>50.0</v>
      </c>
      <c r="V5" s="155">
        <v>5.0</v>
      </c>
      <c r="W5" s="230">
        <f t="shared" si="2"/>
        <v>315</v>
      </c>
      <c r="X5" s="145" t="s">
        <v>453</v>
      </c>
      <c r="Y5" s="155" t="s">
        <v>1694</v>
      </c>
      <c r="Z5" s="166" t="s">
        <v>1695</v>
      </c>
      <c r="AA5" s="205" t="str">
        <f>HYPERLINK("https://drive.google.com/file/d/1QKPB2tYCb8zIinM8a0l8zfREHyFJl2vt/view?usp=drivesdk","PSA_Prof Agus S_728")</f>
        <v>PSA_Prof Agus S_728</v>
      </c>
      <c r="AB5" s="155" t="s">
        <v>1691</v>
      </c>
    </row>
    <row r="6">
      <c r="A6" s="227">
        <v>45533.0</v>
      </c>
      <c r="B6" s="227">
        <v>45534.0</v>
      </c>
      <c r="C6" s="206">
        <v>749.0</v>
      </c>
      <c r="D6" s="155" t="s">
        <v>1696</v>
      </c>
      <c r="E6" s="155" t="s">
        <v>1697</v>
      </c>
      <c r="F6" s="155" t="s">
        <v>799</v>
      </c>
      <c r="G6" s="155" t="s">
        <v>621</v>
      </c>
      <c r="H6" s="155" t="s">
        <v>1698</v>
      </c>
      <c r="I6" s="155" t="s">
        <v>716</v>
      </c>
      <c r="J6" s="155">
        <v>15.0</v>
      </c>
      <c r="K6" s="155">
        <v>15.0</v>
      </c>
      <c r="L6" s="155">
        <v>0.0</v>
      </c>
      <c r="M6" s="155">
        <v>15.0</v>
      </c>
      <c r="N6" s="229">
        <v>150000.0</v>
      </c>
      <c r="O6" s="141">
        <f t="shared" si="1"/>
        <v>2250000</v>
      </c>
      <c r="P6" s="155">
        <v>20.0</v>
      </c>
      <c r="Q6" s="155">
        <v>0.0</v>
      </c>
      <c r="R6" s="155">
        <v>150.0</v>
      </c>
      <c r="S6" s="155">
        <v>225.0</v>
      </c>
      <c r="T6" s="155">
        <v>0.0</v>
      </c>
      <c r="U6" s="155">
        <v>150.0</v>
      </c>
      <c r="V6" s="155">
        <v>5.0</v>
      </c>
      <c r="W6" s="230">
        <f t="shared" si="2"/>
        <v>550</v>
      </c>
      <c r="X6" s="145" t="s">
        <v>453</v>
      </c>
      <c r="Y6" s="155" t="s">
        <v>1699</v>
      </c>
      <c r="Z6" s="166" t="s">
        <v>1700</v>
      </c>
      <c r="AA6" s="205" t="str">
        <f>HYPERLINK("https://drive.google.com/file/d/1hq-6NgM6ovfvowoXPmb1p0ZJm7IcquAh/view?usp=drivesdk","PSA_Wahyu Nur S_749")</f>
        <v>PSA_Wahyu Nur S_749</v>
      </c>
      <c r="AB6" s="155" t="s">
        <v>1701</v>
      </c>
    </row>
    <row r="7">
      <c r="A7" s="227">
        <v>45530.0</v>
      </c>
      <c r="B7" s="227">
        <v>45537.0</v>
      </c>
      <c r="C7" s="206">
        <v>733.0</v>
      </c>
      <c r="D7" s="155" t="s">
        <v>1149</v>
      </c>
      <c r="E7" s="155" t="s">
        <v>1150</v>
      </c>
      <c r="F7" s="155" t="s">
        <v>1702</v>
      </c>
      <c r="G7" s="155" t="s">
        <v>621</v>
      </c>
      <c r="H7" s="155" t="s">
        <v>1682</v>
      </c>
      <c r="I7" s="155" t="s">
        <v>1051</v>
      </c>
      <c r="J7" s="155">
        <v>1.0</v>
      </c>
      <c r="K7" s="155">
        <v>2.0</v>
      </c>
      <c r="L7" s="155">
        <v>1.0</v>
      </c>
      <c r="M7" s="155">
        <v>1.0</v>
      </c>
      <c r="N7" s="229">
        <v>150000.0</v>
      </c>
      <c r="O7" s="141">
        <f t="shared" si="1"/>
        <v>150000</v>
      </c>
      <c r="P7" s="155">
        <v>20.0</v>
      </c>
      <c r="Q7" s="155">
        <v>0.0</v>
      </c>
      <c r="R7" s="155">
        <v>15.0</v>
      </c>
      <c r="S7" s="155">
        <v>30.0</v>
      </c>
      <c r="T7" s="155">
        <v>45.0</v>
      </c>
      <c r="U7" s="155">
        <v>20.0</v>
      </c>
      <c r="V7" s="155">
        <v>5.0</v>
      </c>
      <c r="W7" s="230">
        <f t="shared" si="2"/>
        <v>135</v>
      </c>
      <c r="X7" s="145" t="s">
        <v>453</v>
      </c>
      <c r="Y7" s="155" t="s">
        <v>1703</v>
      </c>
      <c r="Z7" s="166" t="s">
        <v>1704</v>
      </c>
      <c r="AA7" s="205" t="str">
        <f>HYPERLINK("https://drive.google.com/file/d/1CCYpgZoMCOInuGLEXs_UuWNTh7-IV10I/view?usp=drivesdk","PSA_Dwi Safitri_733")</f>
        <v>PSA_Dwi Safitri_733</v>
      </c>
      <c r="AB7" s="155" t="s">
        <v>1705</v>
      </c>
    </row>
    <row r="8">
      <c r="A8" s="227">
        <v>45490.0</v>
      </c>
      <c r="B8" s="227">
        <v>45492.0</v>
      </c>
      <c r="C8" s="206">
        <v>655.0</v>
      </c>
      <c r="D8" s="155" t="s">
        <v>1696</v>
      </c>
      <c r="E8" s="155" t="s">
        <v>1697</v>
      </c>
      <c r="F8" s="155" t="s">
        <v>799</v>
      </c>
      <c r="G8" s="155" t="s">
        <v>621</v>
      </c>
      <c r="H8" s="155" t="s">
        <v>1698</v>
      </c>
      <c r="I8" s="155" t="s">
        <v>1051</v>
      </c>
      <c r="J8" s="155">
        <v>2.0</v>
      </c>
      <c r="K8" s="155">
        <v>2.0</v>
      </c>
      <c r="L8" s="155">
        <v>0.0</v>
      </c>
      <c r="M8" s="155">
        <v>2.0</v>
      </c>
      <c r="N8" s="229">
        <v>150000.0</v>
      </c>
      <c r="O8" s="141">
        <f t="shared" si="1"/>
        <v>300000</v>
      </c>
      <c r="P8" s="155">
        <v>20.0</v>
      </c>
      <c r="Q8" s="155">
        <v>0.0</v>
      </c>
      <c r="R8" s="155">
        <v>30.0</v>
      </c>
      <c r="S8" s="155">
        <v>30.0</v>
      </c>
      <c r="T8" s="155">
        <v>0.0</v>
      </c>
      <c r="U8" s="155">
        <v>20.0</v>
      </c>
      <c r="V8" s="155">
        <v>5.0</v>
      </c>
      <c r="W8" s="230">
        <f t="shared" si="2"/>
        <v>105</v>
      </c>
      <c r="X8" s="145" t="s">
        <v>453</v>
      </c>
      <c r="Y8" s="155" t="s">
        <v>1706</v>
      </c>
      <c r="Z8" s="166" t="s">
        <v>1707</v>
      </c>
      <c r="AA8" s="205" t="str">
        <f>HYPERLINK("https://drive.google.com/file/d/1uesOUeLmoGj2sHgYdOt9lzKSbr4nKvu4/view?usp=drivesdk","PSA_Wahyu Nur S_655")</f>
        <v>PSA_Wahyu Nur S_655</v>
      </c>
      <c r="AB8" s="155" t="s">
        <v>1708</v>
      </c>
    </row>
    <row r="9">
      <c r="A9" s="227">
        <v>45530.0</v>
      </c>
      <c r="B9" s="227">
        <v>45537.0</v>
      </c>
      <c r="C9" s="168">
        <v>738.0</v>
      </c>
      <c r="D9" s="17" t="s">
        <v>1709</v>
      </c>
      <c r="E9" s="17" t="s">
        <v>1710</v>
      </c>
      <c r="F9" s="17" t="s">
        <v>1711</v>
      </c>
      <c r="G9" s="155" t="s">
        <v>621</v>
      </c>
      <c r="H9" s="155" t="s">
        <v>1682</v>
      </c>
      <c r="I9" s="17" t="s">
        <v>716</v>
      </c>
      <c r="J9" s="17">
        <v>1.0</v>
      </c>
      <c r="K9" s="17">
        <v>2.0</v>
      </c>
      <c r="L9" s="17">
        <v>1.0</v>
      </c>
      <c r="M9" s="17">
        <v>1.0</v>
      </c>
      <c r="N9" s="229">
        <v>150000.0</v>
      </c>
      <c r="O9" s="141">
        <f t="shared" si="1"/>
        <v>150000</v>
      </c>
      <c r="P9" s="17">
        <v>20.0</v>
      </c>
      <c r="Q9" s="17">
        <v>0.0</v>
      </c>
      <c r="R9" s="17">
        <v>15.0</v>
      </c>
      <c r="S9" s="17">
        <v>30.0</v>
      </c>
      <c r="T9" s="17">
        <v>45.0</v>
      </c>
      <c r="U9" s="17">
        <v>20.0</v>
      </c>
      <c r="V9" s="17">
        <v>5.0</v>
      </c>
      <c r="W9" s="230">
        <f t="shared" si="2"/>
        <v>135</v>
      </c>
      <c r="X9" s="145" t="s">
        <v>453</v>
      </c>
      <c r="Y9" s="17" t="s">
        <v>1712</v>
      </c>
      <c r="Z9" s="133" t="s">
        <v>1713</v>
      </c>
      <c r="AA9" s="134" t="str">
        <f>HYPERLINK("https://drive.google.com/file/d/1g9E5XC3njR1VqoKS6WABj1Ttjyfjehb6/view?usp=drivesdk","PSA_Putri Rovita Sari _738")</f>
        <v>PSA_Putri Rovita Sari _738</v>
      </c>
      <c r="AB9" s="17" t="s">
        <v>1714</v>
      </c>
    </row>
    <row r="10">
      <c r="A10" s="227">
        <v>45537.0</v>
      </c>
      <c r="B10" s="227">
        <v>45538.0</v>
      </c>
      <c r="C10" s="168">
        <v>754.0</v>
      </c>
      <c r="D10" s="136" t="s">
        <v>1715</v>
      </c>
      <c r="E10" s="233">
        <v>2.003023406E10</v>
      </c>
      <c r="F10" s="136" t="s">
        <v>1716</v>
      </c>
      <c r="G10" s="17" t="s">
        <v>541</v>
      </c>
      <c r="H10" s="145" t="s">
        <v>1676</v>
      </c>
      <c r="I10" s="17" t="s">
        <v>1051</v>
      </c>
      <c r="J10" s="17">
        <v>3.0</v>
      </c>
      <c r="K10" s="17">
        <v>3.0</v>
      </c>
      <c r="L10" s="17">
        <v>3.0</v>
      </c>
      <c r="M10" s="17">
        <v>0.0</v>
      </c>
      <c r="N10" s="229">
        <v>300000.0</v>
      </c>
      <c r="O10" s="141">
        <f t="shared" si="1"/>
        <v>900000</v>
      </c>
      <c r="P10" s="17">
        <v>20.0</v>
      </c>
      <c r="Q10" s="17">
        <v>15.0</v>
      </c>
      <c r="R10" s="17">
        <v>45.0</v>
      </c>
      <c r="S10" s="17">
        <v>0.0</v>
      </c>
      <c r="T10" s="17">
        <v>135.0</v>
      </c>
      <c r="U10" s="17">
        <v>30.0</v>
      </c>
      <c r="V10" s="17">
        <v>5.0</v>
      </c>
      <c r="W10" s="230">
        <f t="shared" si="2"/>
        <v>250</v>
      </c>
      <c r="X10" s="145" t="s">
        <v>453</v>
      </c>
      <c r="Y10" s="17" t="s">
        <v>1717</v>
      </c>
      <c r="Z10" s="133" t="s">
        <v>1718</v>
      </c>
      <c r="AA10" s="134" t="str">
        <f>HYPERLINK("https://drive.google.com/file/d/1L60QgJaUUcdV2faIM4fErzZJc0diVgsM/view?usp=drivesdk","PSA_Dede Arief Mahendra_754")</f>
        <v>PSA_Dede Arief Mahendra_754</v>
      </c>
      <c r="AB10" s="17" t="s">
        <v>1719</v>
      </c>
    </row>
    <row r="11">
      <c r="A11" s="227">
        <v>45538.0</v>
      </c>
      <c r="B11" s="227">
        <v>45540.0</v>
      </c>
      <c r="C11" s="168">
        <v>757.0</v>
      </c>
      <c r="D11" s="17" t="s">
        <v>1720</v>
      </c>
      <c r="E11" s="17" t="s">
        <v>1721</v>
      </c>
      <c r="F11" s="17" t="s">
        <v>1722</v>
      </c>
      <c r="G11" s="155" t="s">
        <v>621</v>
      </c>
      <c r="H11" s="145" t="s">
        <v>1676</v>
      </c>
      <c r="I11" s="17" t="s">
        <v>1051</v>
      </c>
      <c r="J11" s="17">
        <v>3.0</v>
      </c>
      <c r="K11" s="17">
        <v>3.0</v>
      </c>
      <c r="L11" s="17">
        <v>3.0</v>
      </c>
      <c r="M11" s="17">
        <v>0.0</v>
      </c>
      <c r="N11" s="229">
        <v>150000.0</v>
      </c>
      <c r="O11" s="141">
        <f t="shared" si="1"/>
        <v>450000</v>
      </c>
      <c r="P11" s="17">
        <v>20.0</v>
      </c>
      <c r="Q11" s="17">
        <v>15.0</v>
      </c>
      <c r="R11" s="17">
        <v>45.0</v>
      </c>
      <c r="S11" s="17">
        <v>0.0</v>
      </c>
      <c r="T11" s="17">
        <v>135.0</v>
      </c>
      <c r="U11" s="17">
        <v>30.0</v>
      </c>
      <c r="V11" s="17">
        <v>5.0</v>
      </c>
      <c r="W11" s="230">
        <f t="shared" si="2"/>
        <v>250</v>
      </c>
      <c r="X11" s="145" t="s">
        <v>453</v>
      </c>
      <c r="Y11" s="17" t="s">
        <v>1723</v>
      </c>
      <c r="Z11" s="133" t="s">
        <v>1724</v>
      </c>
      <c r="AA11" s="134" t="str">
        <f>HYPERLINK("https://drive.google.com/file/d/1hQ2lgvBdQoP374XrBp_dnfI4clLpJRyq/view?usp=drivesdk","PSA_Muhammad Aidil Samara_757")</f>
        <v>PSA_Muhammad Aidil Samara_757</v>
      </c>
      <c r="AB11" s="17" t="s">
        <v>1725</v>
      </c>
    </row>
    <row r="12">
      <c r="A12" s="227">
        <v>45540.0</v>
      </c>
      <c r="B12" s="227">
        <v>45540.0</v>
      </c>
      <c r="C12" s="168">
        <v>763.0</v>
      </c>
      <c r="D12" s="17" t="s">
        <v>1726</v>
      </c>
      <c r="E12" s="17" t="s">
        <v>1727</v>
      </c>
      <c r="F12" s="17" t="s">
        <v>1728</v>
      </c>
      <c r="G12" s="155" t="s">
        <v>621</v>
      </c>
      <c r="H12" s="145" t="s">
        <v>1676</v>
      </c>
      <c r="I12" s="17" t="s">
        <v>716</v>
      </c>
      <c r="J12" s="17">
        <v>3.0</v>
      </c>
      <c r="K12" s="17">
        <v>3.0</v>
      </c>
      <c r="L12" s="17">
        <v>3.0</v>
      </c>
      <c r="M12" s="17">
        <v>0.0</v>
      </c>
      <c r="N12" s="229">
        <v>150000.0</v>
      </c>
      <c r="O12" s="141">
        <f t="shared" si="1"/>
        <v>450000</v>
      </c>
      <c r="P12" s="17">
        <v>20.0</v>
      </c>
      <c r="Q12" s="17">
        <v>0.0</v>
      </c>
      <c r="R12" s="17">
        <v>45.0</v>
      </c>
      <c r="S12" s="17">
        <v>0.0</v>
      </c>
      <c r="T12" s="17">
        <v>135.0</v>
      </c>
      <c r="U12" s="17">
        <v>30.0</v>
      </c>
      <c r="V12" s="17">
        <v>5.0</v>
      </c>
      <c r="W12" s="230">
        <f t="shared" si="2"/>
        <v>235</v>
      </c>
      <c r="X12" s="145" t="s">
        <v>453</v>
      </c>
      <c r="Y12" s="17" t="s">
        <v>1729</v>
      </c>
      <c r="Z12" s="133" t="s">
        <v>1730</v>
      </c>
      <c r="AA12" s="134" t="str">
        <f>HYPERLINK("https://drive.google.com/file/d/16b_2U48wkRoOi6OBku7Yuhj-TUlmgC2_/view?usp=drivesdk","PSA_Keisha Mumtaz Tsabita Adam_763")</f>
        <v>PSA_Keisha Mumtaz Tsabita Adam_763</v>
      </c>
      <c r="AB12" s="17" t="s">
        <v>1725</v>
      </c>
    </row>
    <row r="13">
      <c r="A13" s="227">
        <v>45540.0</v>
      </c>
      <c r="B13" s="227">
        <v>45545.0</v>
      </c>
      <c r="C13" s="168">
        <v>761.0</v>
      </c>
      <c r="D13" s="17" t="s">
        <v>1731</v>
      </c>
      <c r="E13" s="17" t="s">
        <v>1732</v>
      </c>
      <c r="F13" s="17" t="s">
        <v>1118</v>
      </c>
      <c r="G13" s="155" t="s">
        <v>621</v>
      </c>
      <c r="H13" s="155" t="s">
        <v>1682</v>
      </c>
      <c r="I13" s="17" t="s">
        <v>1051</v>
      </c>
      <c r="J13" s="17">
        <v>1.0</v>
      </c>
      <c r="K13" s="17">
        <v>2.0</v>
      </c>
      <c r="L13" s="17">
        <v>1.0</v>
      </c>
      <c r="M13" s="17">
        <v>1.0</v>
      </c>
      <c r="N13" s="229">
        <v>150000.0</v>
      </c>
      <c r="O13" s="141">
        <f t="shared" si="1"/>
        <v>150000</v>
      </c>
      <c r="P13" s="17">
        <v>20.0</v>
      </c>
      <c r="Q13" s="17">
        <v>5.0</v>
      </c>
      <c r="R13" s="17">
        <v>15.0</v>
      </c>
      <c r="S13" s="17">
        <v>30.0</v>
      </c>
      <c r="T13" s="17">
        <v>45.0</v>
      </c>
      <c r="U13" s="17">
        <v>20.0</v>
      </c>
      <c r="V13" s="17">
        <v>5.0</v>
      </c>
      <c r="W13" s="230">
        <f t="shared" si="2"/>
        <v>140</v>
      </c>
      <c r="X13" s="145" t="s">
        <v>453</v>
      </c>
      <c r="Y13" s="17" t="s">
        <v>1733</v>
      </c>
      <c r="Z13" s="133" t="s">
        <v>1734</v>
      </c>
      <c r="AA13" s="134" t="str">
        <f>HYPERLINK("https://drive.google.com/file/d/1FkZy01peOdmk0z5z71l9dPUZIg712_hb/view?usp=drivesdk","PSA_Dian Yuliasih_761")</f>
        <v>PSA_Dian Yuliasih_761</v>
      </c>
      <c r="AB13" s="17" t="s">
        <v>1735</v>
      </c>
    </row>
    <row r="14">
      <c r="A14" s="227">
        <v>45497.0</v>
      </c>
      <c r="B14" s="227">
        <v>45552.0</v>
      </c>
      <c r="C14" s="168">
        <v>672.0</v>
      </c>
      <c r="D14" s="17" t="s">
        <v>1033</v>
      </c>
      <c r="E14" s="17" t="s">
        <v>1034</v>
      </c>
      <c r="F14" s="17" t="s">
        <v>1035</v>
      </c>
      <c r="G14" s="17" t="s">
        <v>621</v>
      </c>
      <c r="H14" s="155" t="s">
        <v>1682</v>
      </c>
      <c r="I14" s="17" t="s">
        <v>716</v>
      </c>
      <c r="J14" s="17">
        <v>18.0</v>
      </c>
      <c r="K14" s="17">
        <v>36.0</v>
      </c>
      <c r="L14" s="17">
        <v>18.0</v>
      </c>
      <c r="M14" s="17">
        <v>18.0</v>
      </c>
      <c r="N14" s="229">
        <v>150000.0</v>
      </c>
      <c r="O14" s="141">
        <f t="shared" si="1"/>
        <v>2700000</v>
      </c>
      <c r="P14" s="17">
        <v>40.0</v>
      </c>
      <c r="Q14" s="17">
        <v>0.0</v>
      </c>
      <c r="R14" s="17">
        <v>90.0</v>
      </c>
      <c r="S14" s="17">
        <v>270.0</v>
      </c>
      <c r="T14" s="17">
        <v>540.0</v>
      </c>
      <c r="U14" s="17">
        <v>180.0</v>
      </c>
      <c r="V14" s="17">
        <v>10.0</v>
      </c>
      <c r="W14" s="230">
        <f t="shared" si="2"/>
        <v>1130</v>
      </c>
      <c r="X14" s="145" t="s">
        <v>453</v>
      </c>
      <c r="Y14" s="17" t="s">
        <v>1736</v>
      </c>
      <c r="Z14" s="133" t="s">
        <v>1737</v>
      </c>
      <c r="AA14" s="134" t="str">
        <f>HYPERLINK("https://drive.google.com/file/d/1VzU4BdaY_73eJyZMUofuE_kuxowF8oqA/view?usp=drivesdk","PSA_Lia Umi Khasanah_672")</f>
        <v>PSA_Lia Umi Khasanah_672</v>
      </c>
      <c r="AB14" s="17" t="s">
        <v>1738</v>
      </c>
    </row>
    <row r="15">
      <c r="A15" s="227">
        <v>45379.0</v>
      </c>
      <c r="B15" s="227">
        <v>45383.0</v>
      </c>
      <c r="C15" s="168">
        <v>322.0</v>
      </c>
      <c r="D15" s="17" t="s">
        <v>1739</v>
      </c>
      <c r="E15" s="136" t="s">
        <v>1740</v>
      </c>
      <c r="F15" s="136" t="s">
        <v>1741</v>
      </c>
      <c r="G15" s="17" t="s">
        <v>621</v>
      </c>
      <c r="H15" s="155" t="s">
        <v>1698</v>
      </c>
      <c r="I15" s="17" t="s">
        <v>716</v>
      </c>
      <c r="J15" s="17">
        <v>10.0</v>
      </c>
      <c r="K15" s="17">
        <v>10.0</v>
      </c>
      <c r="L15" s="17">
        <v>0.0</v>
      </c>
      <c r="M15" s="17">
        <v>10.0</v>
      </c>
      <c r="N15" s="229">
        <v>150000.0</v>
      </c>
      <c r="O15" s="141">
        <f t="shared" si="1"/>
        <v>1500000</v>
      </c>
      <c r="P15" s="17">
        <v>20.0</v>
      </c>
      <c r="Q15" s="17">
        <v>0.0</v>
      </c>
      <c r="R15" s="17">
        <v>150.0</v>
      </c>
      <c r="S15" s="17">
        <v>150.0</v>
      </c>
      <c r="T15" s="17">
        <v>0.0</v>
      </c>
      <c r="U15" s="17">
        <v>100.0</v>
      </c>
      <c r="V15" s="17">
        <v>5.0</v>
      </c>
      <c r="W15" s="230">
        <f t="shared" si="2"/>
        <v>425</v>
      </c>
      <c r="X15" s="145" t="s">
        <v>453</v>
      </c>
      <c r="Y15" s="17" t="s">
        <v>1742</v>
      </c>
      <c r="Z15" s="133" t="s">
        <v>1743</v>
      </c>
      <c r="AA15" s="134" t="str">
        <f>HYPERLINK("https://drive.google.com/file/d/1dzq7dMsgs9bPamHtIESSEg9sXBO9qhgT/view?usp=drivesdk","PSA_Dyah Ellyawati Kusumaningtyas M_322")</f>
        <v>PSA_Dyah Ellyawati Kusumaningtyas M_322</v>
      </c>
      <c r="AB15" s="17" t="s">
        <v>1744</v>
      </c>
    </row>
    <row r="16">
      <c r="A16" s="227">
        <v>45555.0</v>
      </c>
      <c r="B16" s="227">
        <v>45558.0</v>
      </c>
      <c r="C16" s="168">
        <v>786.0</v>
      </c>
      <c r="D16" s="17" t="s">
        <v>1739</v>
      </c>
      <c r="E16" s="136" t="s">
        <v>1740</v>
      </c>
      <c r="F16" s="136" t="s">
        <v>1745</v>
      </c>
      <c r="G16" s="17" t="s">
        <v>621</v>
      </c>
      <c r="H16" s="155" t="s">
        <v>1682</v>
      </c>
      <c r="I16" s="17" t="s">
        <v>716</v>
      </c>
      <c r="J16" s="17">
        <v>1.0</v>
      </c>
      <c r="K16" s="17">
        <v>2.0</v>
      </c>
      <c r="L16" s="17">
        <v>1.0</v>
      </c>
      <c r="M16" s="17">
        <v>1.0</v>
      </c>
      <c r="N16" s="229">
        <v>150000.0</v>
      </c>
      <c r="O16" s="141">
        <f t="shared" si="1"/>
        <v>150000</v>
      </c>
      <c r="P16" s="17">
        <v>20.0</v>
      </c>
      <c r="Q16" s="17">
        <v>0.0</v>
      </c>
      <c r="R16" s="17">
        <v>0.0</v>
      </c>
      <c r="S16" s="17">
        <v>30.0</v>
      </c>
      <c r="T16" s="17">
        <v>30.0</v>
      </c>
      <c r="U16" s="17">
        <v>20.0</v>
      </c>
      <c r="V16" s="17">
        <v>5.0</v>
      </c>
      <c r="W16" s="230">
        <f t="shared" si="2"/>
        <v>105</v>
      </c>
      <c r="X16" s="145" t="s">
        <v>453</v>
      </c>
      <c r="Y16" s="17" t="s">
        <v>1746</v>
      </c>
      <c r="Z16" s="133" t="s">
        <v>1747</v>
      </c>
      <c r="AA16" s="134" t="str">
        <f>HYPERLINK("https://drive.google.com/file/d/1IcoJ79jyZyO2ltdnf7P-CugWquus-zTl/view?usp=drivesdk","PSA_Dyah Ellyawati Kusumaningtyas M_786")</f>
        <v>PSA_Dyah Ellyawati Kusumaningtyas M_786</v>
      </c>
      <c r="AB16" s="17" t="s">
        <v>1748</v>
      </c>
    </row>
    <row r="17">
      <c r="A17" s="227">
        <v>45555.0</v>
      </c>
      <c r="B17" s="227">
        <v>45558.0</v>
      </c>
      <c r="C17" s="168">
        <v>787.0</v>
      </c>
      <c r="D17" s="17" t="s">
        <v>1749</v>
      </c>
      <c r="E17" s="136" t="s">
        <v>1750</v>
      </c>
      <c r="F17" s="136" t="s">
        <v>1751</v>
      </c>
      <c r="G17" s="17" t="s">
        <v>621</v>
      </c>
      <c r="H17" s="145" t="s">
        <v>1676</v>
      </c>
      <c r="I17" s="17" t="s">
        <v>716</v>
      </c>
      <c r="J17" s="17">
        <v>2.0</v>
      </c>
      <c r="K17" s="17">
        <v>2.0</v>
      </c>
      <c r="L17" s="17">
        <v>2.0</v>
      </c>
      <c r="M17" s="17">
        <v>0.0</v>
      </c>
      <c r="N17" s="229">
        <v>150000.0</v>
      </c>
      <c r="O17" s="141">
        <f t="shared" si="1"/>
        <v>300000</v>
      </c>
      <c r="P17" s="17">
        <v>20.0</v>
      </c>
      <c r="Q17" s="17">
        <v>10.0</v>
      </c>
      <c r="R17" s="17">
        <v>0.0</v>
      </c>
      <c r="S17" s="17">
        <v>0.0</v>
      </c>
      <c r="T17" s="17">
        <v>60.0</v>
      </c>
      <c r="U17" s="17">
        <v>20.0</v>
      </c>
      <c r="V17" s="17">
        <v>5.0</v>
      </c>
      <c r="W17" s="230">
        <f t="shared" si="2"/>
        <v>115</v>
      </c>
      <c r="X17" s="145" t="s">
        <v>453</v>
      </c>
      <c r="Y17" s="17" t="s">
        <v>1752</v>
      </c>
      <c r="Z17" s="133" t="s">
        <v>1753</v>
      </c>
      <c r="AA17" s="134" t="str">
        <f>HYPERLINK("https://drive.google.com/file/d/1tlYFVA9783h3Giuk0TYUVkQFyCBSDQfH/view?usp=drivesdk","PSA_Sofiyah Fitriani Mursyidah_787")</f>
        <v>PSA_Sofiyah Fitriani Mursyidah_787</v>
      </c>
      <c r="AB17" s="17" t="s">
        <v>1748</v>
      </c>
    </row>
    <row r="18">
      <c r="A18" s="227">
        <v>45553.0</v>
      </c>
      <c r="B18" s="227">
        <v>45558.0</v>
      </c>
      <c r="C18" s="168">
        <v>782.0</v>
      </c>
      <c r="D18" s="136" t="s">
        <v>1720</v>
      </c>
      <c r="E18" s="136" t="s">
        <v>1721</v>
      </c>
      <c r="F18" s="136" t="s">
        <v>1722</v>
      </c>
      <c r="G18" s="17" t="s">
        <v>621</v>
      </c>
      <c r="H18" s="145" t="s">
        <v>1676</v>
      </c>
      <c r="I18" s="17" t="s">
        <v>716</v>
      </c>
      <c r="J18" s="17">
        <v>1.0</v>
      </c>
      <c r="K18" s="17">
        <v>1.0</v>
      </c>
      <c r="L18" s="17">
        <v>1.0</v>
      </c>
      <c r="M18" s="17">
        <v>0.0</v>
      </c>
      <c r="N18" s="229">
        <v>150000.0</v>
      </c>
      <c r="O18" s="141">
        <f t="shared" si="1"/>
        <v>150000</v>
      </c>
      <c r="P18" s="17">
        <v>20.0</v>
      </c>
      <c r="Q18" s="17">
        <v>5.0</v>
      </c>
      <c r="R18" s="17">
        <v>15.0</v>
      </c>
      <c r="S18" s="17">
        <v>0.0</v>
      </c>
      <c r="T18" s="17">
        <v>45.0</v>
      </c>
      <c r="U18" s="17">
        <v>10.0</v>
      </c>
      <c r="V18" s="17">
        <v>5.0</v>
      </c>
      <c r="W18" s="230">
        <f t="shared" si="2"/>
        <v>100</v>
      </c>
      <c r="X18" s="145" t="s">
        <v>453</v>
      </c>
      <c r="Y18" s="17" t="s">
        <v>1754</v>
      </c>
      <c r="Z18" s="133" t="s">
        <v>1755</v>
      </c>
      <c r="AA18" s="134" t="str">
        <f>HYPERLINK("https://drive.google.com/file/d/13yJmyOgKn7HP3i_yyosRgjrJhywL30yM/view?usp=drivesdk","PSA_Muhammad Aidil Samara_782")</f>
        <v>PSA_Muhammad Aidil Samara_782</v>
      </c>
      <c r="AB18" s="17" t="s">
        <v>1756</v>
      </c>
      <c r="AC18" s="17" t="s">
        <v>1757</v>
      </c>
    </row>
    <row r="19">
      <c r="A19" s="227">
        <v>45558.0</v>
      </c>
      <c r="B19" s="227">
        <v>45559.0</v>
      </c>
      <c r="C19" s="168">
        <v>793.0</v>
      </c>
      <c r="D19" s="17" t="s">
        <v>1136</v>
      </c>
      <c r="E19" s="136" t="s">
        <v>1137</v>
      </c>
      <c r="F19" s="136" t="s">
        <v>799</v>
      </c>
      <c r="G19" s="17" t="s">
        <v>621</v>
      </c>
      <c r="H19" s="155" t="s">
        <v>1698</v>
      </c>
      <c r="I19" s="17" t="s">
        <v>716</v>
      </c>
      <c r="J19" s="17">
        <v>10.0</v>
      </c>
      <c r="K19" s="17">
        <v>10.0</v>
      </c>
      <c r="L19" s="17">
        <v>0.0</v>
      </c>
      <c r="M19" s="17">
        <v>10.0</v>
      </c>
      <c r="N19" s="229">
        <v>150000.0</v>
      </c>
      <c r="O19" s="141">
        <f t="shared" si="1"/>
        <v>1500000</v>
      </c>
      <c r="P19" s="17">
        <v>20.0</v>
      </c>
      <c r="Q19" s="17">
        <v>0.0</v>
      </c>
      <c r="R19" s="17">
        <v>150.0</v>
      </c>
      <c r="S19" s="17">
        <v>150.0</v>
      </c>
      <c r="T19" s="17">
        <v>0.0</v>
      </c>
      <c r="U19" s="17">
        <v>100.0</v>
      </c>
      <c r="V19" s="17">
        <v>5.0</v>
      </c>
      <c r="W19" s="230">
        <f t="shared" si="2"/>
        <v>425</v>
      </c>
      <c r="X19" s="145" t="s">
        <v>453</v>
      </c>
      <c r="Y19" s="17" t="s">
        <v>1758</v>
      </c>
      <c r="Z19" s="133" t="s">
        <v>1759</v>
      </c>
      <c r="AA19" s="134" t="str">
        <f>HYPERLINK("https://drive.google.com/file/d/11ez0qu2NrMAJLGR24-gCDCG5wTfuhlh7/view?usp=drivesdk","PSA_Nur Rohmah Al Fiyani_793")</f>
        <v>PSA_Nur Rohmah Al Fiyani_793</v>
      </c>
      <c r="AB19" s="17" t="s">
        <v>1760</v>
      </c>
    </row>
    <row r="20">
      <c r="A20" s="227">
        <v>45554.0</v>
      </c>
      <c r="B20" s="227">
        <v>45559.0</v>
      </c>
      <c r="C20" s="168">
        <v>783.0</v>
      </c>
      <c r="D20" s="17" t="s">
        <v>1761</v>
      </c>
      <c r="E20" s="136" t="s">
        <v>1762</v>
      </c>
      <c r="F20" s="136" t="s">
        <v>1763</v>
      </c>
      <c r="G20" s="17" t="s">
        <v>621</v>
      </c>
      <c r="H20" s="145" t="s">
        <v>1676</v>
      </c>
      <c r="I20" s="17" t="s">
        <v>716</v>
      </c>
      <c r="J20" s="17">
        <v>1.0</v>
      </c>
      <c r="K20" s="17">
        <v>1.0</v>
      </c>
      <c r="L20" s="17">
        <v>1.0</v>
      </c>
      <c r="M20" s="17">
        <v>0.0</v>
      </c>
      <c r="N20" s="229">
        <v>150000.0</v>
      </c>
      <c r="O20" s="141">
        <f t="shared" si="1"/>
        <v>150000</v>
      </c>
      <c r="P20" s="17">
        <v>20.0</v>
      </c>
      <c r="Q20" s="17">
        <v>5.0</v>
      </c>
      <c r="R20" s="17">
        <v>15.0</v>
      </c>
      <c r="S20" s="17">
        <v>0.0</v>
      </c>
      <c r="T20" s="17">
        <v>45.0</v>
      </c>
      <c r="U20" s="17">
        <v>10.0</v>
      </c>
      <c r="V20" s="17">
        <v>5.0</v>
      </c>
      <c r="W20" s="230">
        <f t="shared" si="2"/>
        <v>100</v>
      </c>
      <c r="X20" s="145" t="s">
        <v>453</v>
      </c>
      <c r="Y20" s="17" t="s">
        <v>1764</v>
      </c>
      <c r="Z20" s="133" t="s">
        <v>1765</v>
      </c>
      <c r="AA20" s="134" t="str">
        <f>HYPERLINK("https://drive.google.com/file/d/1qBOEBTV58QIT8XpmbKHSCkIagIz4iYRF/view?usp=drivesdk","PSA_Tia Febrianti _783")</f>
        <v>PSA_Tia Febrianti _783</v>
      </c>
      <c r="AB20" s="17" t="s">
        <v>1760</v>
      </c>
    </row>
    <row r="21">
      <c r="A21" s="227">
        <v>45558.0</v>
      </c>
      <c r="B21" s="227">
        <v>45559.0</v>
      </c>
      <c r="C21" s="168">
        <v>792.0</v>
      </c>
      <c r="D21" s="136" t="s">
        <v>1766</v>
      </c>
      <c r="E21" s="136" t="s">
        <v>1697</v>
      </c>
      <c r="F21" s="136" t="s">
        <v>1767</v>
      </c>
      <c r="G21" s="17" t="s">
        <v>621</v>
      </c>
      <c r="H21" s="155" t="s">
        <v>1698</v>
      </c>
      <c r="I21" s="17" t="s">
        <v>716</v>
      </c>
      <c r="J21" s="17">
        <v>3.0</v>
      </c>
      <c r="K21" s="17">
        <v>3.0</v>
      </c>
      <c r="L21" s="17">
        <v>0.0</v>
      </c>
      <c r="M21" s="17">
        <v>3.0</v>
      </c>
      <c r="N21" s="229">
        <v>150000.0</v>
      </c>
      <c r="O21" s="141">
        <f t="shared" si="1"/>
        <v>450000</v>
      </c>
      <c r="P21" s="17">
        <v>20.0</v>
      </c>
      <c r="Q21" s="17">
        <v>0.0</v>
      </c>
      <c r="R21" s="17">
        <v>0.0</v>
      </c>
      <c r="S21" s="17">
        <v>45.0</v>
      </c>
      <c r="T21" s="17">
        <v>0.0</v>
      </c>
      <c r="U21" s="17">
        <v>30.0</v>
      </c>
      <c r="V21" s="17">
        <v>5.0</v>
      </c>
      <c r="W21" s="230">
        <f t="shared" si="2"/>
        <v>100</v>
      </c>
      <c r="X21" s="145" t="s">
        <v>453</v>
      </c>
      <c r="Y21" s="17" t="s">
        <v>1768</v>
      </c>
      <c r="Z21" s="133" t="s">
        <v>1769</v>
      </c>
      <c r="AA21" s="134" t="str">
        <f>HYPERLINK("https://drive.google.com/file/d/1BQorZxfGCXq4m7JCgW7nIC_pCN8tarLu/view?usp=drivesdk","PSA_Wahyu Nur Safitriono_792")</f>
        <v>PSA_Wahyu Nur Safitriono_792</v>
      </c>
      <c r="AB21" s="17" t="s">
        <v>1770</v>
      </c>
    </row>
    <row r="22">
      <c r="A22" s="227">
        <v>45560.0</v>
      </c>
      <c r="B22" s="227">
        <v>45561.0</v>
      </c>
      <c r="C22" s="168">
        <v>796.0</v>
      </c>
      <c r="D22" s="17" t="s">
        <v>1771</v>
      </c>
      <c r="E22" s="150">
        <v>3.0131819135E10</v>
      </c>
      <c r="F22" s="136" t="s">
        <v>1772</v>
      </c>
      <c r="G22" s="17" t="s">
        <v>541</v>
      </c>
      <c r="H22" s="145" t="s">
        <v>1676</v>
      </c>
      <c r="I22" s="17" t="s">
        <v>716</v>
      </c>
      <c r="J22" s="17">
        <v>1.0</v>
      </c>
      <c r="K22" s="17">
        <v>1.0</v>
      </c>
      <c r="L22" s="17">
        <v>1.0</v>
      </c>
      <c r="M22" s="17">
        <v>0.0</v>
      </c>
      <c r="N22" s="229">
        <v>300000.0</v>
      </c>
      <c r="O22" s="141">
        <f t="shared" si="1"/>
        <v>300000</v>
      </c>
      <c r="P22" s="17">
        <v>20.0</v>
      </c>
      <c r="Q22" s="17">
        <v>0.0</v>
      </c>
      <c r="R22" s="17">
        <v>15.0</v>
      </c>
      <c r="S22" s="17">
        <v>0.0</v>
      </c>
      <c r="T22" s="17">
        <v>60.0</v>
      </c>
      <c r="U22" s="17">
        <v>10.0</v>
      </c>
      <c r="V22" s="17">
        <v>5.0</v>
      </c>
      <c r="W22" s="230">
        <f t="shared" si="2"/>
        <v>110</v>
      </c>
      <c r="X22" s="145" t="s">
        <v>453</v>
      </c>
      <c r="Y22" s="17" t="s">
        <v>1773</v>
      </c>
      <c r="Z22" s="133" t="s">
        <v>1774</v>
      </c>
      <c r="AA22" s="134" t="str">
        <f>HYPERLINK("https://drive.google.com/file/d/1Zc-kg93wfE8krmH6Qjo0Sx3PsmOy9OKS/view?usp=drivesdk","PSA_Zacarich Widjoyo Arilo_796")</f>
        <v>PSA_Zacarich Widjoyo Arilo_796</v>
      </c>
      <c r="AB22" s="17" t="s">
        <v>1775</v>
      </c>
    </row>
    <row r="23">
      <c r="A23" s="227">
        <v>45560.0</v>
      </c>
      <c r="B23" s="227">
        <v>45561.0</v>
      </c>
      <c r="C23" s="168">
        <v>799.0</v>
      </c>
      <c r="D23" s="136" t="s">
        <v>1149</v>
      </c>
      <c r="E23" s="136" t="s">
        <v>1776</v>
      </c>
      <c r="F23" s="136" t="s">
        <v>1132</v>
      </c>
      <c r="G23" s="17" t="s">
        <v>621</v>
      </c>
      <c r="H23" s="145" t="s">
        <v>1676</v>
      </c>
      <c r="I23" s="17" t="s">
        <v>716</v>
      </c>
      <c r="J23" s="17">
        <v>1.0</v>
      </c>
      <c r="K23" s="17">
        <v>1.0</v>
      </c>
      <c r="L23" s="17">
        <v>1.0</v>
      </c>
      <c r="M23" s="17">
        <v>0.0</v>
      </c>
      <c r="N23" s="229">
        <v>150000.0</v>
      </c>
      <c r="O23" s="141">
        <f t="shared" si="1"/>
        <v>150000</v>
      </c>
      <c r="P23" s="17">
        <v>20.0</v>
      </c>
      <c r="Q23" s="17">
        <v>0.0</v>
      </c>
      <c r="R23" s="17">
        <v>15.0</v>
      </c>
      <c r="S23" s="17">
        <v>0.0</v>
      </c>
      <c r="T23" s="17">
        <v>45.0</v>
      </c>
      <c r="U23" s="17">
        <v>10.0</v>
      </c>
      <c r="V23" s="17">
        <v>5.0</v>
      </c>
      <c r="W23" s="230">
        <f t="shared" si="2"/>
        <v>95</v>
      </c>
      <c r="X23" s="145" t="s">
        <v>453</v>
      </c>
      <c r="Y23" s="17" t="s">
        <v>1777</v>
      </c>
      <c r="Z23" s="133" t="s">
        <v>1778</v>
      </c>
      <c r="AA23" s="134" t="str">
        <f>HYPERLINK("https://drive.google.com/file/d/1KTRzU0UzVIjUPbGga5_PtVwGUMref_GP/view?usp=drivesdk","PSA_Dwi Safitri_799")</f>
        <v>PSA_Dwi Safitri_799</v>
      </c>
      <c r="AB23" s="17" t="s">
        <v>1779</v>
      </c>
    </row>
    <row r="24">
      <c r="A24" s="227">
        <v>45469.0</v>
      </c>
      <c r="B24" s="227">
        <v>45469.0</v>
      </c>
      <c r="C24" s="168">
        <v>584.0</v>
      </c>
      <c r="D24" s="17" t="s">
        <v>1761</v>
      </c>
      <c r="E24" s="17" t="s">
        <v>1762</v>
      </c>
      <c r="F24" s="17" t="s">
        <v>1763</v>
      </c>
      <c r="G24" s="17" t="s">
        <v>621</v>
      </c>
      <c r="H24" s="145" t="s">
        <v>1676</v>
      </c>
      <c r="I24" s="17" t="s">
        <v>716</v>
      </c>
      <c r="J24" s="17">
        <v>1.0</v>
      </c>
      <c r="K24" s="17">
        <v>1.0</v>
      </c>
      <c r="L24" s="17">
        <v>1.0</v>
      </c>
      <c r="M24" s="17">
        <v>0.0</v>
      </c>
      <c r="N24" s="229">
        <v>150000.0</v>
      </c>
      <c r="O24" s="141">
        <f t="shared" si="1"/>
        <v>150000</v>
      </c>
      <c r="P24" s="17">
        <v>20.0</v>
      </c>
      <c r="Q24" s="17">
        <v>0.0</v>
      </c>
      <c r="R24" s="17">
        <v>15.0</v>
      </c>
      <c r="S24" s="17">
        <v>0.0</v>
      </c>
      <c r="T24" s="17">
        <v>45.0</v>
      </c>
      <c r="U24" s="17">
        <v>10.0</v>
      </c>
      <c r="V24" s="17">
        <v>5.0</v>
      </c>
      <c r="W24" s="230">
        <f t="shared" si="2"/>
        <v>95</v>
      </c>
      <c r="X24" s="145" t="s">
        <v>453</v>
      </c>
      <c r="Y24" s="17" t="s">
        <v>1780</v>
      </c>
      <c r="Z24" s="133" t="s">
        <v>1781</v>
      </c>
      <c r="AA24" s="134" t="str">
        <f>HYPERLINK("https://drive.google.com/file/d/18cYVhK7HbLwLX14LnbzeLhwtxsr9raaY/view?usp=drivesdk","PSA_Tia Febrianti _584")</f>
        <v>PSA_Tia Febrianti _584</v>
      </c>
      <c r="AB24" s="17" t="s">
        <v>1782</v>
      </c>
    </row>
    <row r="25">
      <c r="A25" s="227">
        <v>45565.0</v>
      </c>
      <c r="B25" s="227">
        <v>45566.0</v>
      </c>
      <c r="C25" s="168">
        <v>804.0</v>
      </c>
      <c r="D25" s="136" t="s">
        <v>1783</v>
      </c>
      <c r="E25" s="136" t="s">
        <v>1784</v>
      </c>
      <c r="F25" s="136" t="s">
        <v>1763</v>
      </c>
      <c r="G25" s="17" t="s">
        <v>621</v>
      </c>
      <c r="H25" s="145" t="s">
        <v>1676</v>
      </c>
      <c r="I25" s="17" t="s">
        <v>716</v>
      </c>
      <c r="J25" s="17">
        <v>1.0</v>
      </c>
      <c r="K25" s="17">
        <v>1.0</v>
      </c>
      <c r="L25" s="17">
        <v>1.0</v>
      </c>
      <c r="M25" s="17">
        <v>0.0</v>
      </c>
      <c r="N25" s="229">
        <v>150000.0</v>
      </c>
      <c r="O25" s="141">
        <f t="shared" si="1"/>
        <v>150000</v>
      </c>
      <c r="P25" s="17">
        <v>20.0</v>
      </c>
      <c r="Q25" s="17">
        <v>0.0</v>
      </c>
      <c r="R25" s="17">
        <v>15.0</v>
      </c>
      <c r="S25" s="17">
        <v>0.0</v>
      </c>
      <c r="T25" s="17">
        <v>45.0</v>
      </c>
      <c r="U25" s="17">
        <v>10.0</v>
      </c>
      <c r="V25" s="17">
        <v>5.0</v>
      </c>
      <c r="W25" s="230">
        <f t="shared" si="2"/>
        <v>95</v>
      </c>
      <c r="X25" s="145" t="s">
        <v>453</v>
      </c>
      <c r="Y25" s="17" t="s">
        <v>1785</v>
      </c>
      <c r="Z25" s="133" t="s">
        <v>1786</v>
      </c>
      <c r="AA25" s="134" t="str">
        <f>HYPERLINK("https://drive.google.com/file/d/1srcyVNK0O4Yekgv4mxQw7pN7Hu4BD_oE/view?usp=drivesdk","PSA_Milkazia Elda_804")</f>
        <v>PSA_Milkazia Elda_804</v>
      </c>
      <c r="AB25" s="17" t="s">
        <v>1787</v>
      </c>
    </row>
    <row r="26">
      <c r="A26" s="227">
        <v>45566.0</v>
      </c>
      <c r="B26" s="227">
        <v>45567.0</v>
      </c>
      <c r="C26" s="168">
        <v>807.0</v>
      </c>
      <c r="D26" s="17" t="s">
        <v>1788</v>
      </c>
      <c r="E26" s="17" t="s">
        <v>155</v>
      </c>
      <c r="F26" s="17" t="s">
        <v>155</v>
      </c>
      <c r="G26" s="17" t="s">
        <v>541</v>
      </c>
      <c r="H26" s="145" t="s">
        <v>1676</v>
      </c>
      <c r="I26" s="17" t="s">
        <v>716</v>
      </c>
      <c r="J26" s="17">
        <v>1.0</v>
      </c>
      <c r="K26" s="17">
        <v>1.0</v>
      </c>
      <c r="L26" s="17">
        <v>0.0</v>
      </c>
      <c r="M26" s="17">
        <v>1.0</v>
      </c>
      <c r="N26" s="229">
        <v>300000.0</v>
      </c>
      <c r="O26" s="141">
        <f t="shared" si="1"/>
        <v>300000</v>
      </c>
      <c r="P26" s="17">
        <v>20.0</v>
      </c>
      <c r="Q26" s="17">
        <v>0.0</v>
      </c>
      <c r="R26" s="17">
        <v>15.0</v>
      </c>
      <c r="S26" s="17">
        <v>30.0</v>
      </c>
      <c r="T26" s="17">
        <v>0.0</v>
      </c>
      <c r="U26" s="17">
        <v>10.0</v>
      </c>
      <c r="V26" s="17">
        <v>5.0</v>
      </c>
      <c r="W26" s="230">
        <f t="shared" si="2"/>
        <v>80</v>
      </c>
      <c r="X26" s="145" t="s">
        <v>453</v>
      </c>
      <c r="Y26" s="17" t="s">
        <v>1789</v>
      </c>
      <c r="Z26" s="133" t="s">
        <v>1790</v>
      </c>
      <c r="AA26" s="134" t="str">
        <f>HYPERLINK("https://drive.google.com/file/d/1SMG9fngGMAl6lgLzBE2IBmgvGxMe2Shh/view?usp=drivesdk","PSA_Heydar Ruffa _807")</f>
        <v>PSA_Heydar Ruffa _807</v>
      </c>
      <c r="AB26" s="17" t="s">
        <v>1791</v>
      </c>
    </row>
    <row r="27">
      <c r="A27" s="227">
        <v>45572.0</v>
      </c>
      <c r="B27" s="227">
        <v>45572.0</v>
      </c>
      <c r="C27" s="168">
        <v>815.0</v>
      </c>
      <c r="D27" s="17" t="s">
        <v>1792</v>
      </c>
      <c r="E27" s="17" t="s">
        <v>155</v>
      </c>
      <c r="F27" s="17" t="s">
        <v>1793</v>
      </c>
      <c r="G27" s="17" t="s">
        <v>541</v>
      </c>
      <c r="H27" s="155" t="s">
        <v>1682</v>
      </c>
      <c r="I27" s="17" t="s">
        <v>716</v>
      </c>
      <c r="J27" s="17">
        <v>1.0</v>
      </c>
      <c r="K27" s="17">
        <v>2.0</v>
      </c>
      <c r="L27" s="17">
        <v>1.0</v>
      </c>
      <c r="M27" s="17">
        <v>1.0</v>
      </c>
      <c r="N27" s="229">
        <v>300000.0</v>
      </c>
      <c r="O27" s="141">
        <f t="shared" si="1"/>
        <v>300000</v>
      </c>
      <c r="P27" s="17">
        <v>20.0</v>
      </c>
      <c r="Q27" s="17">
        <v>0.0</v>
      </c>
      <c r="R27" s="17">
        <v>15.0</v>
      </c>
      <c r="S27" s="17">
        <v>30.0</v>
      </c>
      <c r="T27" s="17">
        <v>45.0</v>
      </c>
      <c r="U27" s="17">
        <v>20.0</v>
      </c>
      <c r="V27" s="17">
        <v>5.0</v>
      </c>
      <c r="W27" s="230">
        <f t="shared" si="2"/>
        <v>135</v>
      </c>
      <c r="X27" s="145" t="s">
        <v>453</v>
      </c>
      <c r="Y27" s="17" t="s">
        <v>1794</v>
      </c>
      <c r="Z27" s="133" t="s">
        <v>1795</v>
      </c>
      <c r="AA27" s="134" t="str">
        <f>HYPERLINK("https://drive.google.com/file/d/1GYYvyeWDTkc751ptHwB_L2vkjy9adwPK/view?usp=drivesdk","PSA_Risha Oktia Kirana_815")</f>
        <v>PSA_Risha Oktia Kirana_815</v>
      </c>
      <c r="AB27" s="17" t="s">
        <v>1796</v>
      </c>
    </row>
    <row r="28">
      <c r="A28" s="227">
        <v>45572.0</v>
      </c>
      <c r="B28" s="227">
        <v>45573.0</v>
      </c>
      <c r="C28" s="168">
        <v>816.0</v>
      </c>
      <c r="D28" s="17" t="s">
        <v>1797</v>
      </c>
      <c r="E28" s="17" t="s">
        <v>1798</v>
      </c>
      <c r="F28" s="17" t="s">
        <v>1799</v>
      </c>
      <c r="G28" s="17" t="s">
        <v>541</v>
      </c>
      <c r="H28" s="155" t="s">
        <v>1682</v>
      </c>
      <c r="I28" s="17" t="s">
        <v>716</v>
      </c>
      <c r="J28" s="17">
        <v>1.0</v>
      </c>
      <c r="K28" s="17">
        <v>2.0</v>
      </c>
      <c r="L28" s="17">
        <v>1.0</v>
      </c>
      <c r="M28" s="17">
        <v>1.0</v>
      </c>
      <c r="N28" s="229">
        <v>300000.0</v>
      </c>
      <c r="O28" s="141">
        <f t="shared" si="1"/>
        <v>300000</v>
      </c>
      <c r="P28" s="17">
        <v>20.0</v>
      </c>
      <c r="Q28" s="17">
        <v>0.0</v>
      </c>
      <c r="R28" s="17">
        <v>15.0</v>
      </c>
      <c r="S28" s="17">
        <v>30.0</v>
      </c>
      <c r="T28" s="17">
        <v>45.0</v>
      </c>
      <c r="U28" s="17">
        <v>20.0</v>
      </c>
      <c r="V28" s="17">
        <v>5.0</v>
      </c>
      <c r="W28" s="230">
        <f t="shared" si="2"/>
        <v>135</v>
      </c>
      <c r="X28" s="145" t="s">
        <v>453</v>
      </c>
      <c r="Y28" s="17" t="s">
        <v>1800</v>
      </c>
      <c r="Z28" s="133" t="s">
        <v>1801</v>
      </c>
      <c r="AA28" s="134" t="str">
        <f>HYPERLINK("https://drive.google.com/file/d/1Hmq8nxhjVjrMm9rgyEUVe2RfifdP3W8g/view?usp=drivesdk","PSA_DHIMAS TIYA CANDRA_816")</f>
        <v>PSA_DHIMAS TIYA CANDRA_816</v>
      </c>
      <c r="AB28" s="17" t="s">
        <v>1802</v>
      </c>
    </row>
    <row r="29">
      <c r="A29" s="227">
        <v>45573.0</v>
      </c>
      <c r="B29" s="227">
        <v>45573.0</v>
      </c>
      <c r="C29" s="168">
        <v>820.0</v>
      </c>
      <c r="D29" s="17" t="s">
        <v>1766</v>
      </c>
      <c r="E29" s="17" t="s">
        <v>1697</v>
      </c>
      <c r="F29" s="17" t="s">
        <v>1803</v>
      </c>
      <c r="G29" s="17" t="s">
        <v>621</v>
      </c>
      <c r="H29" s="155" t="s">
        <v>1698</v>
      </c>
      <c r="I29" s="17" t="s">
        <v>716</v>
      </c>
      <c r="J29" s="17">
        <v>2.0</v>
      </c>
      <c r="K29" s="17">
        <v>2.0</v>
      </c>
      <c r="L29" s="17">
        <v>0.0</v>
      </c>
      <c r="M29" s="17">
        <v>2.0</v>
      </c>
      <c r="N29" s="229">
        <v>150000.0</v>
      </c>
      <c r="O29" s="141">
        <f t="shared" si="1"/>
        <v>300000</v>
      </c>
      <c r="P29" s="17">
        <v>20.0</v>
      </c>
      <c r="Q29" s="17">
        <v>0.0</v>
      </c>
      <c r="R29" s="17">
        <v>0.0</v>
      </c>
      <c r="S29" s="17">
        <v>30.0</v>
      </c>
      <c r="T29" s="17">
        <v>0.0</v>
      </c>
      <c r="U29" s="17">
        <v>20.0</v>
      </c>
      <c r="V29" s="17">
        <v>5.0</v>
      </c>
      <c r="W29" s="230">
        <f t="shared" si="2"/>
        <v>75</v>
      </c>
      <c r="X29" s="145" t="s">
        <v>453</v>
      </c>
      <c r="Y29" s="17" t="s">
        <v>1804</v>
      </c>
      <c r="Z29" s="133" t="s">
        <v>1805</v>
      </c>
      <c r="AA29" s="134" t="str">
        <f>HYPERLINK("https://drive.google.com/file/d/1hb3RxMGUmb5kVSfSCFEmt1f8dCihpiGZ/view?usp=drivesdk","PSA_Wahyu Nur Safitriono_820")</f>
        <v>PSA_Wahyu Nur Safitriono_820</v>
      </c>
      <c r="AB29" s="17" t="s">
        <v>1806</v>
      </c>
    </row>
    <row r="30">
      <c r="A30" s="227">
        <v>45573.0</v>
      </c>
      <c r="B30" s="227">
        <v>45579.0</v>
      </c>
      <c r="C30" s="168">
        <v>823.0</v>
      </c>
      <c r="D30" s="136" t="s">
        <v>1807</v>
      </c>
      <c r="E30" s="136" t="s">
        <v>1808</v>
      </c>
      <c r="F30" s="136" t="s">
        <v>1809</v>
      </c>
      <c r="G30" s="17" t="s">
        <v>621</v>
      </c>
      <c r="H30" s="145" t="s">
        <v>1676</v>
      </c>
      <c r="I30" s="17" t="s">
        <v>716</v>
      </c>
      <c r="J30" s="17">
        <v>3.0</v>
      </c>
      <c r="K30" s="17">
        <v>3.0</v>
      </c>
      <c r="L30" s="17">
        <v>3.0</v>
      </c>
      <c r="M30" s="17">
        <v>0.0</v>
      </c>
      <c r="N30" s="229">
        <v>150000.0</v>
      </c>
      <c r="O30" s="141">
        <f t="shared" si="1"/>
        <v>450000</v>
      </c>
      <c r="P30" s="17">
        <v>20.0</v>
      </c>
      <c r="Q30" s="17">
        <v>0.0</v>
      </c>
      <c r="R30" s="17">
        <v>45.0</v>
      </c>
      <c r="S30" s="17">
        <v>0.0</v>
      </c>
      <c r="T30" s="17">
        <v>135.0</v>
      </c>
      <c r="U30" s="17">
        <v>30.0</v>
      </c>
      <c r="V30" s="17">
        <v>5.0</v>
      </c>
      <c r="W30" s="230">
        <f t="shared" si="2"/>
        <v>235</v>
      </c>
      <c r="X30" s="145" t="s">
        <v>453</v>
      </c>
      <c r="Y30" s="17" t="s">
        <v>1810</v>
      </c>
      <c r="Z30" s="133" t="s">
        <v>1811</v>
      </c>
      <c r="AA30" s="134" t="str">
        <f>HYPERLINK("https://drive.google.com/file/d/1y5QwigTUrSP1vIYUGNuSdRkRJXfTTIhI/view?usp=drivesdk","PSA_Yusuf August Arrafii Rozak Mulki_823")</f>
        <v>PSA_Yusuf August Arrafii Rozak Mulki_823</v>
      </c>
      <c r="AB30" s="17" t="s">
        <v>1812</v>
      </c>
    </row>
    <row r="31">
      <c r="A31" s="227">
        <v>45576.0</v>
      </c>
      <c r="B31" s="227">
        <v>45580.0</v>
      </c>
      <c r="C31" s="168">
        <v>828.0</v>
      </c>
      <c r="D31" s="136" t="s">
        <v>1686</v>
      </c>
      <c r="E31" s="136" t="s">
        <v>1687</v>
      </c>
      <c r="F31" s="136" t="s">
        <v>1813</v>
      </c>
      <c r="G31" s="17" t="s">
        <v>621</v>
      </c>
      <c r="H31" s="145" t="s">
        <v>1676</v>
      </c>
      <c r="I31" s="17" t="s">
        <v>716</v>
      </c>
      <c r="J31" s="17">
        <v>1.0</v>
      </c>
      <c r="K31" s="17">
        <v>1.0</v>
      </c>
      <c r="L31" s="17">
        <v>1.0</v>
      </c>
      <c r="M31" s="17">
        <v>0.0</v>
      </c>
      <c r="N31" s="229">
        <v>150000.0</v>
      </c>
      <c r="O31" s="141">
        <f t="shared" si="1"/>
        <v>150000</v>
      </c>
      <c r="P31" s="17">
        <v>20.0</v>
      </c>
      <c r="Q31" s="17">
        <v>0.0</v>
      </c>
      <c r="R31" s="17">
        <v>15.0</v>
      </c>
      <c r="S31" s="17">
        <v>0.0</v>
      </c>
      <c r="T31" s="17">
        <v>60.0</v>
      </c>
      <c r="U31" s="17">
        <v>10.0</v>
      </c>
      <c r="V31" s="17">
        <v>5.0</v>
      </c>
      <c r="W31" s="230">
        <f t="shared" si="2"/>
        <v>110</v>
      </c>
      <c r="X31" s="145" t="s">
        <v>453</v>
      </c>
      <c r="Y31" s="17" t="s">
        <v>1814</v>
      </c>
      <c r="Z31" s="133" t="s">
        <v>1815</v>
      </c>
      <c r="AA31" s="134" t="str">
        <f>HYPERLINK("https://drive.google.com/file/d/1PiYJuXNkVxY2F3BtYfPWNEbHwvzG5gm5/view?usp=drivesdk","PSA_Agung Prakoso_828")</f>
        <v>PSA_Agung Prakoso_828</v>
      </c>
      <c r="AB31" s="17" t="s">
        <v>1816</v>
      </c>
    </row>
    <row r="32">
      <c r="A32" s="227">
        <v>45575.0</v>
      </c>
      <c r="B32" s="227">
        <v>45580.0</v>
      </c>
      <c r="C32" s="168">
        <v>826.0</v>
      </c>
      <c r="D32" s="136" t="s">
        <v>1817</v>
      </c>
      <c r="E32" s="136" t="s">
        <v>155</v>
      </c>
      <c r="F32" s="136" t="s">
        <v>1818</v>
      </c>
      <c r="G32" s="17" t="s">
        <v>541</v>
      </c>
      <c r="H32" s="145" t="s">
        <v>1676</v>
      </c>
      <c r="I32" s="17" t="s">
        <v>716</v>
      </c>
      <c r="J32" s="17">
        <v>4.0</v>
      </c>
      <c r="K32" s="17">
        <v>4.0</v>
      </c>
      <c r="L32" s="17">
        <v>4.0</v>
      </c>
      <c r="M32" s="17">
        <v>0.0</v>
      </c>
      <c r="N32" s="229">
        <v>300000.0</v>
      </c>
      <c r="O32" s="141">
        <f t="shared" si="1"/>
        <v>1200000</v>
      </c>
      <c r="P32" s="17">
        <v>20.0</v>
      </c>
      <c r="Q32" s="17">
        <v>20.0</v>
      </c>
      <c r="R32" s="17">
        <v>60.0</v>
      </c>
      <c r="S32" s="17">
        <v>0.0</v>
      </c>
      <c r="T32" s="17">
        <v>180.0</v>
      </c>
      <c r="U32" s="17">
        <v>40.0</v>
      </c>
      <c r="V32" s="17">
        <v>5.0</v>
      </c>
      <c r="W32" s="230">
        <f t="shared" si="2"/>
        <v>325</v>
      </c>
      <c r="X32" s="145" t="s">
        <v>453</v>
      </c>
      <c r="Y32" s="17" t="s">
        <v>1819</v>
      </c>
      <c r="Z32" s="133" t="s">
        <v>1820</v>
      </c>
      <c r="AA32" s="134" t="str">
        <f>HYPERLINK("https://drive.google.com/file/d/1YTsxJ1Vmp7_EXUEL2qA9KyDpfnD-28U3/view?usp=drivesdk","PSA_PT IFARS_826")</f>
        <v>PSA_PT IFARS_826</v>
      </c>
      <c r="AB32" s="17" t="s">
        <v>1821</v>
      </c>
    </row>
    <row r="33">
      <c r="A33" s="227">
        <v>45580.0</v>
      </c>
      <c r="B33" s="227">
        <v>45581.0</v>
      </c>
      <c r="C33" s="168">
        <v>831.0</v>
      </c>
      <c r="D33" s="136" t="s">
        <v>1739</v>
      </c>
      <c r="E33" s="136" t="s">
        <v>1740</v>
      </c>
      <c r="F33" s="136" t="s">
        <v>1144</v>
      </c>
      <c r="G33" s="17" t="s">
        <v>621</v>
      </c>
      <c r="H33" s="155" t="s">
        <v>1698</v>
      </c>
      <c r="I33" s="17" t="s">
        <v>716</v>
      </c>
      <c r="J33" s="17">
        <v>2.0</v>
      </c>
      <c r="K33" s="17">
        <v>2.0</v>
      </c>
      <c r="L33" s="17">
        <v>0.0</v>
      </c>
      <c r="M33" s="17">
        <v>2.0</v>
      </c>
      <c r="N33" s="229">
        <v>150000.0</v>
      </c>
      <c r="O33" s="141">
        <f t="shared" si="1"/>
        <v>300000</v>
      </c>
      <c r="P33" s="17">
        <v>20.0</v>
      </c>
      <c r="Q33" s="17">
        <v>0.0</v>
      </c>
      <c r="R33" s="17">
        <v>0.0</v>
      </c>
      <c r="S33" s="17">
        <v>60.0</v>
      </c>
      <c r="T33" s="17">
        <v>0.0</v>
      </c>
      <c r="U33" s="17">
        <v>20.0</v>
      </c>
      <c r="V33" s="17">
        <v>5.0</v>
      </c>
      <c r="W33" s="230">
        <f t="shared" si="2"/>
        <v>105</v>
      </c>
      <c r="X33" s="145" t="s">
        <v>453</v>
      </c>
      <c r="Y33" s="17" t="s">
        <v>1822</v>
      </c>
      <c r="Z33" s="133" t="s">
        <v>1823</v>
      </c>
      <c r="AA33" s="134" t="str">
        <f>HYPERLINK("https://drive.google.com/file/d/1Wg51AUUixJjeqWcBkRmNDy38kX-CXbcr/view?usp=drivesdk","PSA_Dyah Ellyawati Kusumaningtyas M_831")</f>
        <v>PSA_Dyah Ellyawati Kusumaningtyas M_831</v>
      </c>
      <c r="AB33" s="17" t="s">
        <v>1824</v>
      </c>
    </row>
    <row r="34">
      <c r="A34" s="227">
        <v>45580.0</v>
      </c>
      <c r="B34" s="227">
        <v>45581.0</v>
      </c>
      <c r="C34" s="168">
        <v>832.0</v>
      </c>
      <c r="D34" s="136" t="s">
        <v>1686</v>
      </c>
      <c r="E34" s="136" t="s">
        <v>1687</v>
      </c>
      <c r="F34" s="136" t="s">
        <v>1813</v>
      </c>
      <c r="G34" s="17" t="s">
        <v>621</v>
      </c>
      <c r="H34" s="145" t="s">
        <v>1676</v>
      </c>
      <c r="I34" s="17" t="s">
        <v>716</v>
      </c>
      <c r="J34" s="17">
        <v>1.0</v>
      </c>
      <c r="K34" s="17">
        <v>1.0</v>
      </c>
      <c r="L34" s="17">
        <v>1.0</v>
      </c>
      <c r="M34" s="17">
        <v>0.0</v>
      </c>
      <c r="N34" s="229">
        <v>150000.0</v>
      </c>
      <c r="O34" s="141">
        <f t="shared" si="1"/>
        <v>150000</v>
      </c>
      <c r="P34" s="17">
        <v>20.0</v>
      </c>
      <c r="Q34" s="17">
        <v>0.0</v>
      </c>
      <c r="R34" s="17">
        <v>15.0</v>
      </c>
      <c r="S34" s="17">
        <v>0.0</v>
      </c>
      <c r="T34" s="17">
        <v>45.0</v>
      </c>
      <c r="U34" s="17">
        <v>10.0</v>
      </c>
      <c r="V34" s="17">
        <v>5.0</v>
      </c>
      <c r="W34" s="230">
        <f t="shared" si="2"/>
        <v>95</v>
      </c>
      <c r="X34" s="145" t="s">
        <v>453</v>
      </c>
      <c r="Y34" s="17" t="s">
        <v>1825</v>
      </c>
      <c r="Z34" s="133" t="s">
        <v>1826</v>
      </c>
      <c r="AA34" s="134" t="str">
        <f>HYPERLINK("https://drive.google.com/file/d/1Qf1v064RxEHC5_pEExDZBXTdllile1O1/view?usp=drivesdk","PSA_Agung Prakoso_832")</f>
        <v>PSA_Agung Prakoso_832</v>
      </c>
      <c r="AB34" s="17" t="s">
        <v>1824</v>
      </c>
    </row>
    <row r="35">
      <c r="A35" s="227">
        <v>45590.0</v>
      </c>
      <c r="B35" s="227">
        <v>45593.0</v>
      </c>
      <c r="C35" s="168">
        <v>849.0</v>
      </c>
      <c r="D35" s="17" t="s">
        <v>1033</v>
      </c>
      <c r="E35" s="17" t="s">
        <v>1034</v>
      </c>
      <c r="F35" s="17" t="s">
        <v>1035</v>
      </c>
      <c r="G35" s="17" t="s">
        <v>621</v>
      </c>
      <c r="H35" s="145" t="s">
        <v>1676</v>
      </c>
      <c r="I35" s="17" t="s">
        <v>716</v>
      </c>
      <c r="J35" s="17">
        <v>4.0</v>
      </c>
      <c r="K35" s="17">
        <v>4.0</v>
      </c>
      <c r="L35" s="17">
        <v>4.0</v>
      </c>
      <c r="M35" s="17">
        <v>0.0</v>
      </c>
      <c r="N35" s="229">
        <v>150000.0</v>
      </c>
      <c r="O35" s="141">
        <f t="shared" si="1"/>
        <v>600000</v>
      </c>
      <c r="P35" s="17">
        <v>20.0</v>
      </c>
      <c r="Q35" s="17">
        <v>0.0</v>
      </c>
      <c r="R35" s="17">
        <v>20.0</v>
      </c>
      <c r="S35" s="17">
        <v>0.0</v>
      </c>
      <c r="T35" s="17">
        <v>180.0</v>
      </c>
      <c r="U35" s="17">
        <v>40.0</v>
      </c>
      <c r="V35" s="17">
        <v>5.0</v>
      </c>
      <c r="W35" s="230">
        <f t="shared" si="2"/>
        <v>265</v>
      </c>
      <c r="X35" s="145" t="s">
        <v>453</v>
      </c>
      <c r="Y35" s="17" t="s">
        <v>1827</v>
      </c>
      <c r="Z35" s="133" t="s">
        <v>1828</v>
      </c>
      <c r="AA35" s="134" t="str">
        <f>HYPERLINK("https://drive.google.com/file/d/1w26qtQyHweEjhdGS-umLsvNuNj4eqnD5/view?usp=drivesdk","PSA_Lia Umi Khasanah_849")</f>
        <v>PSA_Lia Umi Khasanah_849</v>
      </c>
      <c r="AB35" s="17" t="s">
        <v>1829</v>
      </c>
    </row>
    <row r="36">
      <c r="A36" s="227">
        <v>45593.0</v>
      </c>
      <c r="B36" s="227">
        <v>45597.0</v>
      </c>
      <c r="C36" s="168">
        <v>851.0</v>
      </c>
      <c r="D36" s="136" t="s">
        <v>1830</v>
      </c>
      <c r="E36" s="136" t="s">
        <v>1831</v>
      </c>
      <c r="F36" s="136" t="s">
        <v>1832</v>
      </c>
      <c r="G36" s="17" t="s">
        <v>541</v>
      </c>
      <c r="H36" s="145" t="s">
        <v>1676</v>
      </c>
      <c r="I36" s="17" t="s">
        <v>716</v>
      </c>
      <c r="J36" s="17">
        <v>1.0</v>
      </c>
      <c r="K36" s="17">
        <v>1.0</v>
      </c>
      <c r="L36" s="17">
        <v>1.0</v>
      </c>
      <c r="M36" s="17">
        <v>0.0</v>
      </c>
      <c r="N36" s="229">
        <v>300000.0</v>
      </c>
      <c r="O36" s="141">
        <f t="shared" si="1"/>
        <v>300000</v>
      </c>
      <c r="P36" s="17">
        <v>20.0</v>
      </c>
      <c r="Q36" s="17">
        <v>5.0</v>
      </c>
      <c r="R36" s="17">
        <v>15.0</v>
      </c>
      <c r="S36" s="17">
        <v>0.0</v>
      </c>
      <c r="T36" s="17">
        <v>60.0</v>
      </c>
      <c r="U36" s="17">
        <v>10.0</v>
      </c>
      <c r="V36" s="17">
        <v>5.0</v>
      </c>
      <c r="W36" s="230">
        <f t="shared" si="2"/>
        <v>115</v>
      </c>
      <c r="X36" s="145" t="s">
        <v>453</v>
      </c>
      <c r="Y36" s="17" t="s">
        <v>1833</v>
      </c>
      <c r="Z36" s="133" t="s">
        <v>1834</v>
      </c>
      <c r="AA36" s="134" t="str">
        <f>HYPERLINK("https://drive.google.com/file/d/16oyY752jkUEJ3O-i4gU6iGjrzr15iTAB/view?usp=drivesdk","PSA_Hilmi Yazid_851")</f>
        <v>PSA_Hilmi Yazid_851</v>
      </c>
      <c r="AB36" s="17" t="s">
        <v>1835</v>
      </c>
    </row>
    <row r="37">
      <c r="A37" s="227">
        <v>45595.0</v>
      </c>
      <c r="B37" s="227">
        <v>45600.0</v>
      </c>
      <c r="C37" s="168">
        <v>860.0</v>
      </c>
      <c r="D37" s="17" t="s">
        <v>1836</v>
      </c>
      <c r="E37" s="17" t="s">
        <v>1837</v>
      </c>
      <c r="F37" s="17" t="s">
        <v>1838</v>
      </c>
      <c r="G37" s="17" t="s">
        <v>621</v>
      </c>
      <c r="H37" s="145" t="s">
        <v>1676</v>
      </c>
      <c r="I37" s="17" t="s">
        <v>716</v>
      </c>
      <c r="J37" s="17">
        <v>3.0</v>
      </c>
      <c r="K37" s="17">
        <v>3.0</v>
      </c>
      <c r="L37" s="17">
        <v>3.0</v>
      </c>
      <c r="M37" s="17">
        <v>0.0</v>
      </c>
      <c r="N37" s="229">
        <v>150000.0</v>
      </c>
      <c r="O37" s="141">
        <f t="shared" si="1"/>
        <v>450000</v>
      </c>
      <c r="P37" s="17">
        <v>20.0</v>
      </c>
      <c r="Q37" s="17">
        <v>0.0</v>
      </c>
      <c r="R37" s="17">
        <v>45.0</v>
      </c>
      <c r="S37" s="17">
        <v>0.0</v>
      </c>
      <c r="T37" s="17">
        <v>180.0</v>
      </c>
      <c r="U37" s="17">
        <v>30.0</v>
      </c>
      <c r="V37" s="17">
        <v>5.0</v>
      </c>
      <c r="W37" s="230">
        <f t="shared" si="2"/>
        <v>280</v>
      </c>
      <c r="X37" s="145" t="s">
        <v>453</v>
      </c>
      <c r="Y37" s="17" t="s">
        <v>1839</v>
      </c>
      <c r="Z37" s="133" t="s">
        <v>1840</v>
      </c>
      <c r="AA37" s="134" t="str">
        <f>HYPERLINK("https://drive.google.com/file/d/1A1Sdz3v4L3lE2533QN-45drJw4dbrwXX/view?usp=drivesdk","PSA_Rizki Puspawati _860")</f>
        <v>PSA_Rizki Puspawati _860</v>
      </c>
      <c r="AB37" s="17" t="s">
        <v>1841</v>
      </c>
    </row>
    <row r="38">
      <c r="A38" s="227">
        <v>45595.0</v>
      </c>
      <c r="B38" s="227">
        <v>45603.0</v>
      </c>
      <c r="C38" s="168">
        <v>859.0</v>
      </c>
      <c r="D38" s="136" t="s">
        <v>1842</v>
      </c>
      <c r="E38" s="136" t="s">
        <v>1843</v>
      </c>
      <c r="F38" s="136" t="s">
        <v>1844</v>
      </c>
      <c r="G38" s="17" t="s">
        <v>621</v>
      </c>
      <c r="H38" s="145" t="s">
        <v>1676</v>
      </c>
      <c r="I38" s="17" t="s">
        <v>716</v>
      </c>
      <c r="J38" s="17">
        <v>3.0</v>
      </c>
      <c r="K38" s="17">
        <v>3.0</v>
      </c>
      <c r="L38" s="17">
        <v>3.0</v>
      </c>
      <c r="M38" s="17">
        <v>0.0</v>
      </c>
      <c r="N38" s="229">
        <v>150000.0</v>
      </c>
      <c r="O38" s="141">
        <f t="shared" si="1"/>
        <v>450000</v>
      </c>
      <c r="P38" s="17">
        <v>20.0</v>
      </c>
      <c r="Q38" s="17">
        <v>0.0</v>
      </c>
      <c r="R38" s="17">
        <v>45.0</v>
      </c>
      <c r="S38" s="17">
        <v>0.0</v>
      </c>
      <c r="T38" s="17">
        <v>180.0</v>
      </c>
      <c r="U38" s="17">
        <v>30.0</v>
      </c>
      <c r="V38" s="17">
        <v>5.0</v>
      </c>
      <c r="W38" s="230">
        <f t="shared" si="2"/>
        <v>280</v>
      </c>
      <c r="X38" s="145" t="s">
        <v>453</v>
      </c>
      <c r="Y38" s="17" t="s">
        <v>1845</v>
      </c>
      <c r="Z38" s="133" t="s">
        <v>1846</v>
      </c>
      <c r="AA38" s="134" t="str">
        <f>HYPERLINK("https://drive.google.com/file/d/19OkqhorYVRjpGqbo5vHQHhR4AVWLZeK-/view?usp=drivesdk","PSA_Aprillia Revathatia Cahyalaguna_859")</f>
        <v>PSA_Aprillia Revathatia Cahyalaguna_859</v>
      </c>
      <c r="AB38" s="17" t="s">
        <v>1847</v>
      </c>
    </row>
    <row r="39">
      <c r="A39" s="227">
        <v>45597.0</v>
      </c>
      <c r="B39" s="227">
        <v>45607.0</v>
      </c>
      <c r="C39" s="168">
        <v>867.0</v>
      </c>
      <c r="D39" s="136" t="s">
        <v>1848</v>
      </c>
      <c r="E39" s="136" t="s">
        <v>1849</v>
      </c>
      <c r="F39" s="136" t="s">
        <v>1850</v>
      </c>
      <c r="G39" s="17" t="s">
        <v>621</v>
      </c>
      <c r="H39" s="145" t="s">
        <v>1676</v>
      </c>
      <c r="I39" s="17" t="s">
        <v>716</v>
      </c>
      <c r="J39" s="17">
        <v>2.0</v>
      </c>
      <c r="K39" s="17">
        <v>2.0</v>
      </c>
      <c r="L39" s="17">
        <v>2.0</v>
      </c>
      <c r="M39" s="17">
        <v>0.0</v>
      </c>
      <c r="N39" s="229">
        <v>150000.0</v>
      </c>
      <c r="O39" s="141">
        <f t="shared" si="1"/>
        <v>300000</v>
      </c>
      <c r="P39" s="17">
        <v>20.0</v>
      </c>
      <c r="Q39" s="17">
        <v>10.0</v>
      </c>
      <c r="R39" s="17">
        <v>30.0</v>
      </c>
      <c r="S39" s="17">
        <v>0.0</v>
      </c>
      <c r="T39" s="17">
        <v>120.0</v>
      </c>
      <c r="U39" s="17">
        <v>20.0</v>
      </c>
      <c r="V39" s="17">
        <v>5.0</v>
      </c>
      <c r="W39" s="230">
        <f t="shared" si="2"/>
        <v>205</v>
      </c>
      <c r="X39" s="145" t="s">
        <v>453</v>
      </c>
      <c r="Y39" s="17" t="s">
        <v>1851</v>
      </c>
      <c r="Z39" s="133" t="s">
        <v>1852</v>
      </c>
      <c r="AA39" s="134" t="str">
        <f>HYPERLINK("https://drive.google.com/file/d/1HNJjXLHX6G3lv8AybQunklzUiit9NkuH/view?usp=drivesdk","PSA_Ade Eka Yuniar_867")</f>
        <v>PSA_Ade Eka Yuniar_867</v>
      </c>
      <c r="AB39" s="17" t="s">
        <v>1853</v>
      </c>
    </row>
    <row r="40">
      <c r="A40" s="227">
        <v>45607.0</v>
      </c>
      <c r="B40" s="227">
        <v>45618.0</v>
      </c>
      <c r="C40" s="168">
        <v>880.0</v>
      </c>
      <c r="D40" s="17" t="s">
        <v>1854</v>
      </c>
      <c r="E40" s="17" t="s">
        <v>682</v>
      </c>
      <c r="F40" s="17" t="s">
        <v>1855</v>
      </c>
      <c r="G40" s="17" t="s">
        <v>541</v>
      </c>
      <c r="H40" s="145" t="s">
        <v>1676</v>
      </c>
      <c r="I40" s="17" t="s">
        <v>716</v>
      </c>
      <c r="J40" s="17">
        <v>1.0</v>
      </c>
      <c r="K40" s="17">
        <v>1.0</v>
      </c>
      <c r="L40" s="17">
        <v>1.0</v>
      </c>
      <c r="M40" s="17">
        <v>0.0</v>
      </c>
      <c r="N40" s="229">
        <v>300000.0</v>
      </c>
      <c r="O40" s="141">
        <f t="shared" si="1"/>
        <v>300000</v>
      </c>
      <c r="P40" s="17">
        <v>20.0</v>
      </c>
      <c r="Q40" s="17">
        <v>0.0</v>
      </c>
      <c r="R40" s="17">
        <v>15.0</v>
      </c>
      <c r="S40" s="17">
        <v>0.0</v>
      </c>
      <c r="T40" s="17">
        <v>60.0</v>
      </c>
      <c r="U40" s="17">
        <v>10.0</v>
      </c>
      <c r="V40" s="17">
        <v>5.0</v>
      </c>
      <c r="W40" s="230">
        <f t="shared" si="2"/>
        <v>110</v>
      </c>
      <c r="X40" s="145" t="s">
        <v>453</v>
      </c>
      <c r="Y40" s="17" t="s">
        <v>1856</v>
      </c>
      <c r="Z40" s="133" t="s">
        <v>1857</v>
      </c>
      <c r="AA40" s="134" t="str">
        <f>HYPERLINK("https://drive.google.com/file/d/19RZuEpSU8FWnwG1FLH47fJqn7JNzFZuG/view?usp=drivesdk","PSA_Dr. Widya Mudyantini, M. Si. _880")</f>
        <v>PSA_Dr. Widya Mudyantini, M. Si. _880</v>
      </c>
      <c r="AB40" s="17" t="s">
        <v>1858</v>
      </c>
    </row>
    <row r="41">
      <c r="A41" s="227">
        <v>45595.0</v>
      </c>
      <c r="B41" s="227">
        <v>45618.0</v>
      </c>
      <c r="C41" s="168">
        <v>858.0</v>
      </c>
      <c r="D41" s="136" t="s">
        <v>1859</v>
      </c>
      <c r="E41" s="136" t="s">
        <v>1860</v>
      </c>
      <c r="F41" s="136" t="s">
        <v>1861</v>
      </c>
      <c r="G41" s="17" t="s">
        <v>621</v>
      </c>
      <c r="H41" s="145" t="s">
        <v>1676</v>
      </c>
      <c r="I41" s="17" t="s">
        <v>716</v>
      </c>
      <c r="J41" s="17">
        <v>3.0</v>
      </c>
      <c r="K41" s="17">
        <v>3.0</v>
      </c>
      <c r="L41" s="17">
        <v>3.0</v>
      </c>
      <c r="M41" s="17">
        <v>0.0</v>
      </c>
      <c r="N41" s="229">
        <v>150000.0</v>
      </c>
      <c r="O41" s="141">
        <f t="shared" si="1"/>
        <v>450000</v>
      </c>
      <c r="P41" s="17">
        <v>20.0</v>
      </c>
      <c r="Q41" s="17">
        <v>0.0</v>
      </c>
      <c r="R41" s="17">
        <v>45.0</v>
      </c>
      <c r="S41" s="17">
        <v>0.0</v>
      </c>
      <c r="T41" s="17">
        <v>180.0</v>
      </c>
      <c r="U41" s="17">
        <v>30.0</v>
      </c>
      <c r="V41" s="17">
        <v>5.0</v>
      </c>
      <c r="W41" s="230">
        <f t="shared" si="2"/>
        <v>280</v>
      </c>
      <c r="X41" s="145" t="s">
        <v>453</v>
      </c>
      <c r="Y41" s="17" t="s">
        <v>1862</v>
      </c>
      <c r="Z41" s="133" t="s">
        <v>1863</v>
      </c>
      <c r="AA41" s="134" t="str">
        <f>HYPERLINK("https://drive.google.com/file/d/12Ccsb1iE5O9U8aL8ly860yzmfV-5dMGI/view?usp=drivesdk","PSA_Sindi Nur Rahma Putri _858")</f>
        <v>PSA_Sindi Nur Rahma Putri _858</v>
      </c>
      <c r="AB41" s="17" t="s">
        <v>1858</v>
      </c>
    </row>
    <row r="42">
      <c r="A42" s="227">
        <v>45617.0</v>
      </c>
      <c r="B42" s="227">
        <v>45628.0</v>
      </c>
      <c r="C42" s="168">
        <v>893.0</v>
      </c>
      <c r="D42" s="136" t="s">
        <v>1864</v>
      </c>
      <c r="E42" s="136" t="s">
        <v>1865</v>
      </c>
      <c r="F42" s="136" t="s">
        <v>1866</v>
      </c>
      <c r="G42" s="17" t="s">
        <v>621</v>
      </c>
      <c r="H42" s="145" t="s">
        <v>1676</v>
      </c>
      <c r="I42" s="17" t="s">
        <v>716</v>
      </c>
      <c r="J42" s="17">
        <v>16.0</v>
      </c>
      <c r="K42" s="17">
        <v>16.0</v>
      </c>
      <c r="L42" s="17">
        <v>16.0</v>
      </c>
      <c r="M42" s="17">
        <v>0.0</v>
      </c>
      <c r="N42" s="229">
        <v>150000.0</v>
      </c>
      <c r="O42" s="141">
        <f t="shared" si="1"/>
        <v>2400000</v>
      </c>
      <c r="P42" s="17">
        <v>20.0</v>
      </c>
      <c r="Q42" s="17">
        <v>0.0</v>
      </c>
      <c r="R42" s="17">
        <v>80.0</v>
      </c>
      <c r="S42" s="17">
        <v>0.0</v>
      </c>
      <c r="T42" s="17">
        <v>480.0</v>
      </c>
      <c r="U42" s="17">
        <v>160.0</v>
      </c>
      <c r="V42" s="17">
        <v>5.0</v>
      </c>
      <c r="W42" s="230">
        <f t="shared" si="2"/>
        <v>745</v>
      </c>
      <c r="X42" s="145" t="s">
        <v>453</v>
      </c>
      <c r="Y42" s="17" t="s">
        <v>1867</v>
      </c>
      <c r="Z42" s="133" t="s">
        <v>1868</v>
      </c>
      <c r="AA42" s="134" t="str">
        <f>HYPERLINK("https://drive.google.com/file/d/1xmmCuMAYv4DP5yTgNp8TnapgN032GsNe/view?usp=drivesdk","PSA_Arfa Fairuziyah Firdausy Divinda Haya _893")</f>
        <v>PSA_Arfa Fairuziyah Firdausy Divinda Haya _893</v>
      </c>
      <c r="AB42" s="17" t="s">
        <v>1869</v>
      </c>
    </row>
    <row r="43">
      <c r="A43" s="227">
        <v>45611.0</v>
      </c>
      <c r="B43" s="227">
        <v>45631.0</v>
      </c>
      <c r="C43" s="168">
        <v>886.0</v>
      </c>
      <c r="D43" s="17" t="s">
        <v>1870</v>
      </c>
      <c r="E43" s="17" t="s">
        <v>1871</v>
      </c>
      <c r="F43" s="17" t="s">
        <v>1872</v>
      </c>
      <c r="G43" s="17" t="s">
        <v>621</v>
      </c>
      <c r="H43" s="17" t="s">
        <v>1682</v>
      </c>
      <c r="I43" s="17" t="s">
        <v>1051</v>
      </c>
      <c r="J43" s="17">
        <v>5.0</v>
      </c>
      <c r="K43" s="17">
        <v>10.0</v>
      </c>
      <c r="L43" s="17">
        <v>5.0</v>
      </c>
      <c r="M43" s="17">
        <v>5.0</v>
      </c>
      <c r="N43" s="17">
        <v>150000.0</v>
      </c>
      <c r="O43" s="141">
        <f t="shared" si="1"/>
        <v>750000</v>
      </c>
      <c r="P43" s="17">
        <v>20.0</v>
      </c>
      <c r="Q43" s="17">
        <v>0.0</v>
      </c>
      <c r="R43" s="17">
        <v>10.0</v>
      </c>
      <c r="S43" s="17">
        <v>75.0</v>
      </c>
      <c r="T43" s="17">
        <v>150.0</v>
      </c>
      <c r="U43" s="17">
        <v>50.0</v>
      </c>
      <c r="V43" s="17">
        <v>5.0</v>
      </c>
      <c r="W43" s="171">
        <f t="shared" si="2"/>
        <v>310</v>
      </c>
      <c r="X43" s="17" t="s">
        <v>453</v>
      </c>
      <c r="Y43" s="17" t="s">
        <v>1873</v>
      </c>
      <c r="Z43" s="133" t="s">
        <v>1874</v>
      </c>
      <c r="AA43" s="134" t="str">
        <f>HYPERLINK("https://drive.google.com/file/d/12mhkzUlt87TWffYT7dNr5Lfw7uFfQNrV/view?usp=drivesdk","PSA_Nadia Octaviani Faiq Salsabila_886")</f>
        <v>PSA_Nadia Octaviani Faiq Salsabila_886</v>
      </c>
      <c r="AB43" s="17" t="s">
        <v>1875</v>
      </c>
    </row>
    <row r="44">
      <c r="A44" s="227">
        <v>45629.0</v>
      </c>
      <c r="B44" s="227">
        <v>45630.0</v>
      </c>
      <c r="C44" s="168">
        <v>912.0</v>
      </c>
      <c r="D44" s="136" t="s">
        <v>1876</v>
      </c>
      <c r="E44" s="136" t="s">
        <v>1877</v>
      </c>
      <c r="F44" s="136" t="s">
        <v>1763</v>
      </c>
      <c r="G44" s="17" t="s">
        <v>621</v>
      </c>
      <c r="H44" s="145" t="s">
        <v>1676</v>
      </c>
      <c r="I44" s="17" t="s">
        <v>716</v>
      </c>
      <c r="J44" s="17">
        <v>1.0</v>
      </c>
      <c r="K44" s="17">
        <v>1.0</v>
      </c>
      <c r="L44" s="17">
        <v>1.0</v>
      </c>
      <c r="M44" s="17">
        <v>0.0</v>
      </c>
      <c r="N44" s="17">
        <v>150000.0</v>
      </c>
      <c r="O44" s="141">
        <f t="shared" si="1"/>
        <v>150000</v>
      </c>
      <c r="P44" s="17">
        <v>20.0</v>
      </c>
      <c r="Q44" s="17">
        <v>5.0</v>
      </c>
      <c r="R44" s="17">
        <v>15.0</v>
      </c>
      <c r="S44" s="17">
        <v>0.0</v>
      </c>
      <c r="T44" s="17">
        <v>60.0</v>
      </c>
      <c r="U44" s="17">
        <v>10.0</v>
      </c>
      <c r="V44" s="17">
        <v>5.0</v>
      </c>
      <c r="W44" s="171">
        <f t="shared" si="2"/>
        <v>115</v>
      </c>
      <c r="X44" s="17" t="s">
        <v>453</v>
      </c>
      <c r="Y44" s="17" t="s">
        <v>1878</v>
      </c>
      <c r="Z44" s="133" t="s">
        <v>1879</v>
      </c>
      <c r="AA44" s="134" t="str">
        <f>HYPERLINK("https://drive.google.com/file/d/1jgwudx4wJUpZgIMJn4uv8sxSwfrS34By/view?usp=drivesdk","PSA_Rizki Puspawati_912")</f>
        <v>PSA_Rizki Puspawati_912</v>
      </c>
      <c r="AB44" s="17" t="s">
        <v>1880</v>
      </c>
    </row>
    <row r="45">
      <c r="A45" s="227">
        <v>45629.0</v>
      </c>
      <c r="B45" s="227">
        <v>45643.0</v>
      </c>
      <c r="C45" s="168">
        <v>907.0</v>
      </c>
      <c r="D45" s="17" t="s">
        <v>1881</v>
      </c>
      <c r="E45" s="136" t="s">
        <v>1882</v>
      </c>
      <c r="F45" s="136" t="s">
        <v>1883</v>
      </c>
      <c r="G45" s="17" t="s">
        <v>621</v>
      </c>
      <c r="H45" s="17" t="s">
        <v>1682</v>
      </c>
      <c r="I45" s="17" t="s">
        <v>1884</v>
      </c>
      <c r="J45" s="17">
        <v>8.0</v>
      </c>
      <c r="K45" s="17">
        <v>16.0</v>
      </c>
      <c r="L45" s="17">
        <v>8.0</v>
      </c>
      <c r="M45" s="17">
        <v>8.0</v>
      </c>
      <c r="N45" s="17">
        <v>150000.0</v>
      </c>
      <c r="O45" s="141">
        <f t="shared" si="1"/>
        <v>1200000</v>
      </c>
      <c r="P45" s="17">
        <v>20.0</v>
      </c>
      <c r="Q45" s="17">
        <v>5.0</v>
      </c>
      <c r="R45" s="17">
        <v>0.0</v>
      </c>
      <c r="S45" s="17">
        <v>240.0</v>
      </c>
      <c r="T45" s="17">
        <v>480.0</v>
      </c>
      <c r="U45" s="17">
        <v>160.0</v>
      </c>
      <c r="V45" s="17">
        <v>5.0</v>
      </c>
      <c r="W45" s="171">
        <f t="shared" si="2"/>
        <v>910</v>
      </c>
      <c r="X45" s="17" t="s">
        <v>453</v>
      </c>
      <c r="Y45" s="17" t="s">
        <v>1885</v>
      </c>
      <c r="Z45" s="133" t="s">
        <v>1886</v>
      </c>
      <c r="AA45" s="134" t="str">
        <f>HYPERLINK("https://drive.google.com/file/d/19KQ5HkoVsVQitpjOYEQVqt7S0yR_uV5O/view?usp=drivesdk","PSA_Aji Prasetya_907")</f>
        <v>PSA_Aji Prasetya_907</v>
      </c>
      <c r="AB45" s="17" t="s">
        <v>1887</v>
      </c>
    </row>
    <row r="46">
      <c r="A46" s="227">
        <v>45628.0</v>
      </c>
      <c r="B46" s="227">
        <v>45644.0</v>
      </c>
      <c r="C46" s="168">
        <v>905.0</v>
      </c>
      <c r="D46" s="136" t="s">
        <v>1817</v>
      </c>
      <c r="E46" s="17" t="s">
        <v>155</v>
      </c>
      <c r="F46" s="17" t="s">
        <v>155</v>
      </c>
      <c r="G46" s="17" t="s">
        <v>541</v>
      </c>
      <c r="H46" s="145" t="s">
        <v>1676</v>
      </c>
      <c r="I46" s="17" t="s">
        <v>1888</v>
      </c>
      <c r="J46" s="17">
        <v>2.0</v>
      </c>
      <c r="K46" s="17">
        <v>2.0</v>
      </c>
      <c r="L46" s="17">
        <v>2.0</v>
      </c>
      <c r="M46" s="17">
        <v>0.0</v>
      </c>
      <c r="N46" s="229">
        <v>300000.0</v>
      </c>
      <c r="O46" s="141">
        <f t="shared" si="1"/>
        <v>600000</v>
      </c>
      <c r="P46" s="17">
        <v>20.0</v>
      </c>
      <c r="Q46" s="17">
        <v>10.0</v>
      </c>
      <c r="R46" s="17">
        <v>40.0</v>
      </c>
      <c r="S46" s="17">
        <v>0.0</v>
      </c>
      <c r="T46" s="17">
        <v>120.0</v>
      </c>
      <c r="U46" s="17">
        <v>20.0</v>
      </c>
      <c r="V46" s="17">
        <v>5.0</v>
      </c>
      <c r="W46" s="171">
        <f t="shared" si="2"/>
        <v>215</v>
      </c>
      <c r="X46" s="17" t="s">
        <v>453</v>
      </c>
      <c r="Y46" s="17" t="s">
        <v>1889</v>
      </c>
      <c r="Z46" s="133" t="s">
        <v>1890</v>
      </c>
      <c r="AA46" s="134" t="str">
        <f>HYPERLINK("https://drive.google.com/file/d/19qcS0uN5lA1kG_162axZadBvw-_hWAcZ/view?usp=drivesdk","PSA_PT IFARS_905")</f>
        <v>PSA_PT IFARS_905</v>
      </c>
      <c r="AB46" s="17" t="s">
        <v>1891</v>
      </c>
    </row>
    <row r="47">
      <c r="A47" s="227">
        <v>45635.0</v>
      </c>
      <c r="B47" s="227">
        <v>45646.0</v>
      </c>
      <c r="C47" s="168">
        <v>926.0</v>
      </c>
      <c r="D47" s="136" t="s">
        <v>1892</v>
      </c>
      <c r="E47" s="136" t="s">
        <v>155</v>
      </c>
      <c r="F47" s="136" t="s">
        <v>155</v>
      </c>
      <c r="G47" s="17" t="s">
        <v>541</v>
      </c>
      <c r="H47" s="17" t="s">
        <v>1698</v>
      </c>
      <c r="I47" s="17" t="s">
        <v>716</v>
      </c>
      <c r="J47" s="17">
        <v>15.0</v>
      </c>
      <c r="K47" s="17">
        <v>15.0</v>
      </c>
      <c r="L47" s="17">
        <v>0.0</v>
      </c>
      <c r="M47" s="17">
        <v>15.0</v>
      </c>
      <c r="N47" s="229">
        <v>300000.0</v>
      </c>
      <c r="O47" s="141">
        <f t="shared" si="1"/>
        <v>4500000</v>
      </c>
      <c r="P47" s="17">
        <v>20.0</v>
      </c>
      <c r="Q47" s="17">
        <v>75.0</v>
      </c>
      <c r="R47" s="17">
        <v>80.0</v>
      </c>
      <c r="S47" s="155">
        <v>225.0</v>
      </c>
      <c r="T47" s="17">
        <v>0.0</v>
      </c>
      <c r="U47" s="17">
        <v>150.0</v>
      </c>
      <c r="V47" s="17">
        <v>5.0</v>
      </c>
      <c r="W47" s="171">
        <f t="shared" si="2"/>
        <v>555</v>
      </c>
      <c r="X47" s="17" t="s">
        <v>453</v>
      </c>
      <c r="Y47" s="17" t="s">
        <v>1893</v>
      </c>
      <c r="Z47" s="133" t="s">
        <v>1894</v>
      </c>
      <c r="AA47" s="134" t="str">
        <f>HYPERLINK("https://drive.google.com/file/d/1r8YnYmiehuppJa5HKunrTOa_o-8dCIq-/view?usp=drivesdk","PSA_Akhmad Faruq Alhikami_926")</f>
        <v>PSA_Akhmad Faruq Alhikami_926</v>
      </c>
      <c r="AB47" s="17" t="s">
        <v>1895</v>
      </c>
    </row>
    <row r="48">
      <c r="A48" s="227">
        <v>45636.0</v>
      </c>
      <c r="B48" s="227">
        <v>45646.0</v>
      </c>
      <c r="C48" s="168">
        <v>927.0</v>
      </c>
      <c r="D48" s="136" t="s">
        <v>1896</v>
      </c>
      <c r="E48" s="136" t="s">
        <v>1897</v>
      </c>
      <c r="F48" s="136" t="s">
        <v>1898</v>
      </c>
      <c r="G48" s="17" t="s">
        <v>621</v>
      </c>
      <c r="H48" s="145" t="s">
        <v>1676</v>
      </c>
      <c r="I48" s="17" t="s">
        <v>716</v>
      </c>
      <c r="J48" s="17">
        <v>3.0</v>
      </c>
      <c r="K48" s="17">
        <v>3.0</v>
      </c>
      <c r="L48" s="17">
        <v>3.0</v>
      </c>
      <c r="M48" s="17">
        <v>0.0</v>
      </c>
      <c r="N48" s="17">
        <v>150000.0</v>
      </c>
      <c r="O48" s="141">
        <f t="shared" si="1"/>
        <v>450000</v>
      </c>
      <c r="P48" s="17">
        <v>20.0</v>
      </c>
      <c r="Q48" s="17">
        <v>0.0</v>
      </c>
      <c r="R48" s="17">
        <v>45.0</v>
      </c>
      <c r="S48" s="17">
        <v>0.0</v>
      </c>
      <c r="T48" s="17">
        <v>180.0</v>
      </c>
      <c r="U48" s="17">
        <v>30.0</v>
      </c>
      <c r="V48" s="17">
        <v>5.0</v>
      </c>
      <c r="W48" s="171">
        <f t="shared" si="2"/>
        <v>280</v>
      </c>
      <c r="X48" s="17" t="s">
        <v>453</v>
      </c>
      <c r="Y48" s="17" t="s">
        <v>1899</v>
      </c>
      <c r="Z48" s="133" t="s">
        <v>1900</v>
      </c>
      <c r="AA48" s="134" t="str">
        <f>HYPERLINK("https://drive.google.com/file/d/1qxlcupnJ60VGyoJBXvpE9hutH0epA74X/view?usp=drivesdk","PSA_Muhammad Irgi Maulana _927")</f>
        <v>PSA_Muhammad Irgi Maulana _927</v>
      </c>
      <c r="AB48" s="17" t="s">
        <v>1901</v>
      </c>
    </row>
    <row r="49">
      <c r="A49" s="227">
        <v>45656.0</v>
      </c>
      <c r="B49" s="227">
        <v>45660.0</v>
      </c>
      <c r="C49" s="168">
        <v>957.0</v>
      </c>
      <c r="D49" s="17" t="s">
        <v>1902</v>
      </c>
      <c r="E49" s="17" t="s">
        <v>155</v>
      </c>
      <c r="F49" s="17" t="s">
        <v>155</v>
      </c>
      <c r="G49" s="17" t="s">
        <v>541</v>
      </c>
      <c r="H49" s="145" t="s">
        <v>1676</v>
      </c>
      <c r="I49" s="17" t="s">
        <v>716</v>
      </c>
      <c r="J49" s="17">
        <v>1.0</v>
      </c>
      <c r="K49" s="17">
        <v>1.0</v>
      </c>
      <c r="L49" s="17">
        <v>1.0</v>
      </c>
      <c r="M49" s="17">
        <v>0.0</v>
      </c>
      <c r="N49" s="229">
        <v>300000.0</v>
      </c>
      <c r="O49" s="141">
        <f t="shared" si="1"/>
        <v>300000</v>
      </c>
      <c r="P49" s="17">
        <v>20.0</v>
      </c>
      <c r="Q49" s="17">
        <v>0.0</v>
      </c>
      <c r="R49" s="17">
        <v>0.0</v>
      </c>
      <c r="S49" s="17">
        <v>0.0</v>
      </c>
      <c r="T49" s="17">
        <v>60.0</v>
      </c>
      <c r="U49" s="17">
        <v>10.0</v>
      </c>
      <c r="V49" s="17">
        <v>5.0</v>
      </c>
      <c r="W49" s="171">
        <f t="shared" si="2"/>
        <v>95</v>
      </c>
      <c r="X49" s="17" t="s">
        <v>453</v>
      </c>
      <c r="Y49" s="17" t="s">
        <v>1903</v>
      </c>
      <c r="Z49" s="133" t="s">
        <v>1904</v>
      </c>
      <c r="AA49" s="134" t="str">
        <f>HYPERLINK("https://drive.google.com/file/d/1zphqDjIDSe4c_SF90brNnfHpD9I9xNDV/view?usp=drivesdk","PSA_Agus S_957")</f>
        <v>PSA_Agus S_957</v>
      </c>
      <c r="AB49" s="17" t="s">
        <v>1905</v>
      </c>
    </row>
    <row r="50">
      <c r="A50" s="227">
        <v>45660.0</v>
      </c>
      <c r="B50" s="227">
        <v>45664.0</v>
      </c>
      <c r="C50" s="168">
        <v>972.0</v>
      </c>
      <c r="D50" s="17" t="s">
        <v>1906</v>
      </c>
      <c r="E50" s="136" t="s">
        <v>1907</v>
      </c>
      <c r="F50" s="136" t="s">
        <v>1908</v>
      </c>
      <c r="G50" s="17" t="s">
        <v>541</v>
      </c>
      <c r="H50" s="17" t="s">
        <v>1698</v>
      </c>
      <c r="I50" s="17" t="s">
        <v>716</v>
      </c>
      <c r="J50" s="17">
        <v>3.0</v>
      </c>
      <c r="K50" s="17">
        <v>3.0</v>
      </c>
      <c r="L50" s="17">
        <v>0.0</v>
      </c>
      <c r="M50" s="17">
        <v>3.0</v>
      </c>
      <c r="N50" s="229">
        <v>300000.0</v>
      </c>
      <c r="O50" s="141">
        <f t="shared" si="1"/>
        <v>900000</v>
      </c>
      <c r="P50" s="17">
        <v>20.0</v>
      </c>
      <c r="Q50" s="17">
        <v>0.0</v>
      </c>
      <c r="R50" s="17">
        <v>30.0</v>
      </c>
      <c r="S50" s="17">
        <v>135.0</v>
      </c>
      <c r="T50" s="17">
        <v>0.0</v>
      </c>
      <c r="U50" s="17">
        <v>30.0</v>
      </c>
      <c r="V50" s="17">
        <v>5.0</v>
      </c>
      <c r="W50" s="171">
        <f t="shared" si="2"/>
        <v>220</v>
      </c>
      <c r="X50" s="17" t="s">
        <v>453</v>
      </c>
      <c r="Y50" s="17" t="s">
        <v>1909</v>
      </c>
      <c r="Z50" s="133" t="s">
        <v>1910</v>
      </c>
      <c r="AA50" s="134" t="str">
        <f>HYPERLINK("https://drive.google.com/file/d/1SZoGJMlXMNPxOw9G-H6FXmaV6Tr4g7KJ/view?usp=drivesdk","PSA_Amri abdulah_972")</f>
        <v>PSA_Amri abdulah_972</v>
      </c>
      <c r="AB50" s="17" t="s">
        <v>1911</v>
      </c>
    </row>
    <row r="51">
      <c r="A51" s="227">
        <v>45664.0</v>
      </c>
      <c r="B51" s="227">
        <v>45670.0</v>
      </c>
      <c r="C51" s="168">
        <v>968.0</v>
      </c>
      <c r="D51" s="136" t="s">
        <v>1912</v>
      </c>
      <c r="E51" s="150">
        <v>2.11910101003E11</v>
      </c>
      <c r="F51" s="136" t="s">
        <v>1913</v>
      </c>
      <c r="G51" s="17" t="s">
        <v>541</v>
      </c>
      <c r="H51" s="145" t="s">
        <v>1676</v>
      </c>
      <c r="I51" s="17" t="s">
        <v>716</v>
      </c>
      <c r="J51" s="17">
        <v>2.0</v>
      </c>
      <c r="K51" s="17">
        <v>2.0</v>
      </c>
      <c r="L51" s="17">
        <v>2.0</v>
      </c>
      <c r="M51" s="17">
        <v>0.0</v>
      </c>
      <c r="N51" s="229">
        <v>300000.0</v>
      </c>
      <c r="O51" s="141">
        <f t="shared" si="1"/>
        <v>600000</v>
      </c>
      <c r="P51" s="17">
        <v>20.0</v>
      </c>
      <c r="Q51" s="17">
        <v>0.0</v>
      </c>
      <c r="R51" s="17">
        <v>20.0</v>
      </c>
      <c r="S51" s="17">
        <v>0.0</v>
      </c>
      <c r="T51" s="17">
        <v>120.0</v>
      </c>
      <c r="U51" s="17">
        <v>20.0</v>
      </c>
      <c r="V51" s="17">
        <v>5.0</v>
      </c>
      <c r="W51" s="171">
        <f t="shared" si="2"/>
        <v>185</v>
      </c>
      <c r="X51" s="17" t="s">
        <v>453</v>
      </c>
      <c r="Y51" s="17" t="s">
        <v>1914</v>
      </c>
      <c r="Z51" s="133" t="s">
        <v>1915</v>
      </c>
      <c r="AA51" s="134" t="str">
        <f>HYPERLINK("https://drive.google.com/file/d/115eUgmNycnBSeQF8aOTJH6wlNmlAM2xj/view?usp=drivesdk","PSA_Muhammad Yusuf_968")</f>
        <v>PSA_Muhammad Yusuf_968</v>
      </c>
      <c r="AB51" s="17" t="s">
        <v>1916</v>
      </c>
    </row>
    <row r="52">
      <c r="A52" s="227">
        <v>45667.0</v>
      </c>
      <c r="B52" s="227">
        <v>45671.0</v>
      </c>
      <c r="C52" s="168">
        <v>11.0</v>
      </c>
      <c r="D52" s="17" t="s">
        <v>1686</v>
      </c>
      <c r="E52" s="155" t="s">
        <v>1687</v>
      </c>
      <c r="F52" s="155" t="s">
        <v>1688</v>
      </c>
      <c r="G52" s="155" t="s">
        <v>621</v>
      </c>
      <c r="H52" s="145" t="s">
        <v>1676</v>
      </c>
      <c r="I52" s="17" t="s">
        <v>716</v>
      </c>
      <c r="J52" s="17">
        <v>1.0</v>
      </c>
      <c r="K52" s="17">
        <v>1.0</v>
      </c>
      <c r="L52" s="17">
        <v>1.0</v>
      </c>
      <c r="M52" s="17">
        <v>0.0</v>
      </c>
      <c r="N52" s="17">
        <v>150000.0</v>
      </c>
      <c r="O52" s="141">
        <f t="shared" si="1"/>
        <v>150000</v>
      </c>
      <c r="P52" s="17">
        <v>20.0</v>
      </c>
      <c r="Q52" s="17">
        <v>0.0</v>
      </c>
      <c r="R52" s="17">
        <v>20.0</v>
      </c>
      <c r="S52" s="17">
        <v>0.0</v>
      </c>
      <c r="T52" s="17">
        <v>60.0</v>
      </c>
      <c r="U52" s="17">
        <v>10.0</v>
      </c>
      <c r="V52" s="17">
        <v>5.0</v>
      </c>
      <c r="W52" s="171">
        <f t="shared" si="2"/>
        <v>115</v>
      </c>
      <c r="X52" s="17" t="s">
        <v>453</v>
      </c>
      <c r="Y52" s="17" t="s">
        <v>1917</v>
      </c>
      <c r="Z52" s="133" t="s">
        <v>1918</v>
      </c>
      <c r="AA52" s="134" t="str">
        <f>HYPERLINK("https://drive.google.com/file/d/1aAELrzdHw6B1TDQ25KWXLu2FPSBM3fK8/view?usp=drivesdk","PSA_Agung Prakoso_11")</f>
        <v>PSA_Agung Prakoso_11</v>
      </c>
      <c r="AB52" s="17" t="s">
        <v>1916</v>
      </c>
    </row>
    <row r="53">
      <c r="A53" s="227">
        <v>45678.0</v>
      </c>
      <c r="B53" s="227">
        <v>45679.0</v>
      </c>
      <c r="C53" s="168">
        <v>37.0</v>
      </c>
      <c r="D53" s="17" t="s">
        <v>1906</v>
      </c>
      <c r="E53" s="136" t="s">
        <v>1907</v>
      </c>
      <c r="F53" s="136" t="s">
        <v>1908</v>
      </c>
      <c r="G53" s="17" t="s">
        <v>541</v>
      </c>
      <c r="H53" s="17" t="s">
        <v>1698</v>
      </c>
      <c r="I53" s="17" t="s">
        <v>716</v>
      </c>
      <c r="J53" s="17">
        <v>3.0</v>
      </c>
      <c r="K53" s="17">
        <v>3.0</v>
      </c>
      <c r="L53" s="17">
        <v>0.0</v>
      </c>
      <c r="M53" s="17">
        <v>3.0</v>
      </c>
      <c r="N53" s="229">
        <v>300000.0</v>
      </c>
      <c r="O53" s="141">
        <f t="shared" si="1"/>
        <v>900000</v>
      </c>
      <c r="P53" s="17">
        <v>20.0</v>
      </c>
      <c r="Q53" s="17">
        <v>0.0</v>
      </c>
      <c r="R53" s="17">
        <v>30.0</v>
      </c>
      <c r="S53" s="17">
        <v>135.0</v>
      </c>
      <c r="T53" s="17">
        <v>0.0</v>
      </c>
      <c r="U53" s="17">
        <v>30.0</v>
      </c>
      <c r="V53" s="17">
        <v>5.0</v>
      </c>
      <c r="W53" s="171">
        <f t="shared" si="2"/>
        <v>220</v>
      </c>
      <c r="X53" s="17" t="s">
        <v>453</v>
      </c>
      <c r="Y53" s="17" t="s">
        <v>1919</v>
      </c>
      <c r="Z53" s="133" t="s">
        <v>1920</v>
      </c>
      <c r="AA53" s="134" t="str">
        <f>HYPERLINK("https://drive.google.com/file/d/1O5cMqQn6xW1F0lmVAKI9ljd2gu-X1Mix/view?usp=drivesdk","PSA_Amri abdulah_37")</f>
        <v>PSA_Amri abdulah_37</v>
      </c>
      <c r="AB53" s="17" t="s">
        <v>1921</v>
      </c>
    </row>
    <row r="54">
      <c r="A54" s="227">
        <v>45680.0</v>
      </c>
      <c r="B54" s="227">
        <v>45688.0</v>
      </c>
      <c r="C54" s="168">
        <v>46.0</v>
      </c>
      <c r="D54" s="17" t="s">
        <v>1906</v>
      </c>
      <c r="E54" s="136" t="s">
        <v>1907</v>
      </c>
      <c r="F54" s="136" t="s">
        <v>1908</v>
      </c>
      <c r="G54" s="17" t="s">
        <v>541</v>
      </c>
      <c r="H54" s="17" t="s">
        <v>1682</v>
      </c>
      <c r="I54" s="17" t="s">
        <v>716</v>
      </c>
      <c r="J54" s="17">
        <v>1.0</v>
      </c>
      <c r="K54" s="17">
        <v>2.0</v>
      </c>
      <c r="L54" s="17">
        <v>1.0</v>
      </c>
      <c r="M54" s="17">
        <v>1.0</v>
      </c>
      <c r="N54" s="229">
        <v>300000.0</v>
      </c>
      <c r="O54" s="141">
        <f t="shared" si="1"/>
        <v>300000</v>
      </c>
      <c r="P54" s="17">
        <v>20.0</v>
      </c>
      <c r="Q54" s="17">
        <v>0.0</v>
      </c>
      <c r="R54" s="17">
        <v>10.0</v>
      </c>
      <c r="S54" s="17">
        <v>45.0</v>
      </c>
      <c r="T54" s="17">
        <v>60.0</v>
      </c>
      <c r="U54" s="17">
        <v>20.0</v>
      </c>
      <c r="V54" s="17">
        <v>5.0</v>
      </c>
      <c r="W54" s="171">
        <f t="shared" si="2"/>
        <v>160</v>
      </c>
      <c r="X54" s="17" t="s">
        <v>453</v>
      </c>
      <c r="Y54" s="17" t="s">
        <v>1922</v>
      </c>
      <c r="Z54" s="133" t="s">
        <v>1923</v>
      </c>
      <c r="AA54" s="134" t="str">
        <f>HYPERLINK("https://drive.google.com/file/d/11yyKq9VW_JO_lP2pMSGUgH-2WoxyaWDK/view?usp=drivesdk","PSA_Amri abdulah_46")</f>
        <v>PSA_Amri abdulah_46</v>
      </c>
      <c r="AB54" s="17" t="s">
        <v>1924</v>
      </c>
    </row>
    <row r="55">
      <c r="A55" s="227">
        <v>45678.0</v>
      </c>
      <c r="B55" s="227">
        <v>45693.0</v>
      </c>
      <c r="C55" s="168">
        <v>36.0</v>
      </c>
      <c r="D55" s="136" t="s">
        <v>1925</v>
      </c>
      <c r="E55" s="136" t="s">
        <v>1926</v>
      </c>
      <c r="F55" s="136" t="s">
        <v>1927</v>
      </c>
      <c r="G55" s="155" t="s">
        <v>621</v>
      </c>
      <c r="H55" s="17" t="s">
        <v>1682</v>
      </c>
      <c r="I55" s="17" t="s">
        <v>716</v>
      </c>
      <c r="J55" s="17">
        <v>15.0</v>
      </c>
      <c r="K55" s="17">
        <v>30.0</v>
      </c>
      <c r="L55" s="17">
        <v>15.0</v>
      </c>
      <c r="M55" s="17">
        <v>15.0</v>
      </c>
      <c r="N55" s="17">
        <v>200000.0</v>
      </c>
      <c r="O55" s="141">
        <f t="shared" si="1"/>
        <v>3000000</v>
      </c>
      <c r="P55" s="17">
        <v>20.0</v>
      </c>
      <c r="Q55" s="17">
        <v>0.0</v>
      </c>
      <c r="R55" s="17">
        <v>150.0</v>
      </c>
      <c r="S55" s="17">
        <v>675.0</v>
      </c>
      <c r="T55" s="17">
        <v>900.0</v>
      </c>
      <c r="U55" s="17">
        <v>150.0</v>
      </c>
      <c r="V55" s="17">
        <v>5.0</v>
      </c>
      <c r="W55" s="171">
        <f t="shared" si="2"/>
        <v>1900</v>
      </c>
      <c r="X55" s="17" t="s">
        <v>453</v>
      </c>
      <c r="Y55" s="17" t="s">
        <v>1928</v>
      </c>
      <c r="Z55" s="133" t="s">
        <v>1929</v>
      </c>
      <c r="AA55" s="134" t="str">
        <f>HYPERLINK("https://drive.google.com/file/d/13lVI4lUOvomajnLT74vobiCmxPxx-ceS/view?usp=drivesdk","PSA_Nabila Permana Syahrani_36")</f>
        <v>PSA_Nabila Permana Syahrani_36</v>
      </c>
      <c r="AB55" s="17" t="s">
        <v>1930</v>
      </c>
    </row>
    <row r="56">
      <c r="A56" s="227">
        <v>45701.0</v>
      </c>
      <c r="B56" s="149">
        <v>45728.0</v>
      </c>
      <c r="C56" s="168">
        <v>97.0</v>
      </c>
      <c r="D56" s="17" t="s">
        <v>1686</v>
      </c>
      <c r="E56" s="136" t="s">
        <v>1687</v>
      </c>
      <c r="F56" s="136" t="s">
        <v>1813</v>
      </c>
      <c r="G56" s="17" t="s">
        <v>621</v>
      </c>
      <c r="H56" s="17" t="s">
        <v>1682</v>
      </c>
      <c r="I56" s="17" t="s">
        <v>716</v>
      </c>
      <c r="J56" s="17">
        <v>7.0</v>
      </c>
      <c r="K56" s="17">
        <v>10.0</v>
      </c>
      <c r="L56" s="17">
        <v>3.0</v>
      </c>
      <c r="M56" s="17">
        <v>7.0</v>
      </c>
      <c r="N56" s="17">
        <v>200000.0</v>
      </c>
      <c r="O56" s="141">
        <f t="shared" si="1"/>
        <v>1400000</v>
      </c>
      <c r="P56" s="17">
        <v>20.0</v>
      </c>
      <c r="Q56" s="17">
        <v>0.0</v>
      </c>
      <c r="R56" s="17">
        <v>70.0</v>
      </c>
      <c r="S56" s="17">
        <v>420.0</v>
      </c>
      <c r="T56" s="17">
        <v>180.0</v>
      </c>
      <c r="U56" s="17">
        <v>100.0</v>
      </c>
      <c r="V56" s="17">
        <v>5.0</v>
      </c>
      <c r="W56" s="171">
        <f t="shared" si="2"/>
        <v>795</v>
      </c>
      <c r="X56" s="17" t="s">
        <v>453</v>
      </c>
      <c r="Y56" s="17" t="s">
        <v>1931</v>
      </c>
      <c r="Z56" s="133" t="s">
        <v>1932</v>
      </c>
      <c r="AA56" s="134" t="str">
        <f>HYPERLINK("https://drive.google.com/file/d/13_OSIyd-CUbJZWt3o6jMwDk3xO2-j0_r/view?usp=drivesdk","PSA_Agung Prakoso_97")</f>
        <v>PSA_Agung Prakoso_97</v>
      </c>
      <c r="AB56" s="17" t="s">
        <v>1933</v>
      </c>
    </row>
    <row r="57">
      <c r="A57" s="227">
        <v>45700.0</v>
      </c>
      <c r="B57" s="227">
        <v>45707.0</v>
      </c>
      <c r="C57" s="168">
        <v>94.0</v>
      </c>
      <c r="D57" s="17" t="s">
        <v>1934</v>
      </c>
      <c r="E57" s="17" t="s">
        <v>155</v>
      </c>
      <c r="F57" s="17" t="s">
        <v>155</v>
      </c>
      <c r="G57" s="17" t="s">
        <v>541</v>
      </c>
      <c r="H57" s="145" t="s">
        <v>1676</v>
      </c>
      <c r="I57" s="17" t="s">
        <v>716</v>
      </c>
      <c r="J57" s="17">
        <v>2.0</v>
      </c>
      <c r="K57" s="17">
        <v>2.0</v>
      </c>
      <c r="L57" s="17">
        <v>2.0</v>
      </c>
      <c r="M57" s="17">
        <v>0.0</v>
      </c>
      <c r="N57" s="229">
        <v>300000.0</v>
      </c>
      <c r="O57" s="141">
        <f t="shared" si="1"/>
        <v>600000</v>
      </c>
      <c r="P57" s="17">
        <v>20.0</v>
      </c>
      <c r="Q57" s="17">
        <v>10.0</v>
      </c>
      <c r="R57" s="17">
        <v>40.0</v>
      </c>
      <c r="S57" s="17">
        <v>0.0</v>
      </c>
      <c r="T57" s="17">
        <v>120.0</v>
      </c>
      <c r="U57" s="17">
        <v>20.0</v>
      </c>
      <c r="V57" s="17">
        <v>5.0</v>
      </c>
      <c r="W57" s="171">
        <f t="shared" si="2"/>
        <v>215</v>
      </c>
      <c r="X57" s="17" t="s">
        <v>453</v>
      </c>
      <c r="Y57" s="17" t="s">
        <v>1935</v>
      </c>
      <c r="Z57" s="133" t="s">
        <v>1936</v>
      </c>
      <c r="AA57" s="134" t="str">
        <f>HYPERLINK("https://drive.google.com/file/d/1OUNkzRuoqCsOEteENd24CPNn4_DiNuYb/view?usp=drivesdk","PSA_PT Ifars_94")</f>
        <v>PSA_PT Ifars_94</v>
      </c>
      <c r="AB57" s="17" t="s">
        <v>1937</v>
      </c>
    </row>
    <row r="58">
      <c r="A58" s="234">
        <v>45712.0</v>
      </c>
      <c r="B58" s="234">
        <v>45712.0</v>
      </c>
      <c r="C58" s="235" t="s">
        <v>1938</v>
      </c>
      <c r="D58" s="236" t="s">
        <v>1939</v>
      </c>
      <c r="E58" s="236" t="s">
        <v>1940</v>
      </c>
      <c r="F58" s="236" t="s">
        <v>1941</v>
      </c>
      <c r="G58" s="237" t="s">
        <v>1942</v>
      </c>
      <c r="H58" s="238" t="s">
        <v>1676</v>
      </c>
      <c r="I58" s="239" t="s">
        <v>716</v>
      </c>
      <c r="J58" s="240">
        <v>3.0</v>
      </c>
      <c r="K58" s="240">
        <v>3.0</v>
      </c>
      <c r="L58" s="239">
        <v>3.0</v>
      </c>
      <c r="M58" s="239">
        <v>0.0</v>
      </c>
      <c r="N58" s="239">
        <v>100000.0</v>
      </c>
      <c r="O58" s="141">
        <f t="shared" si="1"/>
        <v>300000</v>
      </c>
      <c r="P58" s="241"/>
      <c r="Q58" s="241"/>
      <c r="R58" s="241"/>
      <c r="S58" s="241"/>
      <c r="T58" s="241"/>
      <c r="U58" s="241"/>
      <c r="V58" s="241"/>
      <c r="W58" s="241"/>
      <c r="X58" s="239" t="s">
        <v>453</v>
      </c>
      <c r="Y58" s="17" t="s">
        <v>1943</v>
      </c>
      <c r="Z58" s="133" t="s">
        <v>1944</v>
      </c>
      <c r="AA58" s="134" t="str">
        <f>HYPERLINK("https://drive.google.com/file/d/1x0yPqZLyDUt0UM55iU6zYaxsIOEGBjUB/view?usp=drivesdk","PSA_Catur Pramono _116 Pelatihan")</f>
        <v>PSA_Catur Pramono _116 Pelatihan</v>
      </c>
      <c r="AB58" s="17" t="s">
        <v>1945</v>
      </c>
    </row>
    <row r="59">
      <c r="A59" s="242">
        <v>45712.0</v>
      </c>
      <c r="B59" s="242">
        <v>45712.0</v>
      </c>
      <c r="C59" s="243" t="s">
        <v>1946</v>
      </c>
      <c r="D59" s="244" t="s">
        <v>1947</v>
      </c>
      <c r="E59" s="244" t="s">
        <v>1948</v>
      </c>
      <c r="F59" s="244" t="s">
        <v>1949</v>
      </c>
      <c r="G59" s="245" t="s">
        <v>1942</v>
      </c>
      <c r="H59" s="246" t="s">
        <v>1676</v>
      </c>
      <c r="I59" s="247" t="s">
        <v>716</v>
      </c>
      <c r="J59" s="248">
        <v>3.0</v>
      </c>
      <c r="K59" s="248">
        <v>3.0</v>
      </c>
      <c r="L59" s="247">
        <v>3.0</v>
      </c>
      <c r="M59" s="247">
        <v>0.0</v>
      </c>
      <c r="N59" s="247">
        <v>100000.0</v>
      </c>
      <c r="O59" s="141">
        <f t="shared" si="1"/>
        <v>300000</v>
      </c>
      <c r="P59" s="249"/>
      <c r="Q59" s="249"/>
      <c r="R59" s="249"/>
      <c r="S59" s="249"/>
      <c r="T59" s="249"/>
      <c r="U59" s="249"/>
      <c r="V59" s="249"/>
      <c r="W59" s="249"/>
      <c r="X59" s="247" t="s">
        <v>453</v>
      </c>
      <c r="Y59" s="250" t="s">
        <v>1950</v>
      </c>
      <c r="Z59" s="251" t="s">
        <v>1951</v>
      </c>
      <c r="AA59" s="252" t="str">
        <f>HYPERLINK("https://drive.google.com/file/d/1_yhhZN565IUtfHLbZ9LWL-vrmnT3vRvD/view?usp=drivesdk","PSA_Yastutik_117 Pelatihan")</f>
        <v>PSA_Yastutik_117 Pelatihan</v>
      </c>
      <c r="AB59" s="250" t="s">
        <v>1945</v>
      </c>
      <c r="AC59" s="253"/>
      <c r="AD59" s="253"/>
    </row>
    <row r="60">
      <c r="A60" s="242">
        <v>45712.0</v>
      </c>
      <c r="B60" s="242">
        <v>45712.0</v>
      </c>
      <c r="C60" s="243" t="s">
        <v>1952</v>
      </c>
      <c r="D60" s="244" t="s">
        <v>1953</v>
      </c>
      <c r="E60" s="244" t="s">
        <v>1954</v>
      </c>
      <c r="F60" s="244" t="s">
        <v>1955</v>
      </c>
      <c r="G60" s="245" t="s">
        <v>1942</v>
      </c>
      <c r="H60" s="246" t="s">
        <v>1676</v>
      </c>
      <c r="I60" s="247" t="s">
        <v>1956</v>
      </c>
      <c r="J60" s="254">
        <v>2.0</v>
      </c>
      <c r="K60" s="254">
        <v>2.0</v>
      </c>
      <c r="L60" s="247">
        <v>2.0</v>
      </c>
      <c r="M60" s="247">
        <v>0.0</v>
      </c>
      <c r="N60" s="247">
        <v>100000.0</v>
      </c>
      <c r="O60" s="141">
        <f t="shared" si="1"/>
        <v>200000</v>
      </c>
      <c r="P60" s="249"/>
      <c r="Q60" s="249"/>
      <c r="R60" s="249"/>
      <c r="S60" s="249"/>
      <c r="T60" s="249"/>
      <c r="U60" s="249"/>
      <c r="V60" s="249"/>
      <c r="W60" s="249"/>
      <c r="X60" s="247" t="s">
        <v>453</v>
      </c>
      <c r="Y60" s="17" t="s">
        <v>1957</v>
      </c>
      <c r="Z60" s="133" t="s">
        <v>1958</v>
      </c>
      <c r="AA60" s="134" t="str">
        <f>HYPERLINK("https://drive.google.com/file/d/1cHuofNxboSQAzG0kqx3l3hAhueZCXcBj/view?usp=drivesdk","PSA_Anindya Prakasita Wibowo_119 Pelatihan")</f>
        <v>PSA_Anindya Prakasita Wibowo_119 Pelatihan</v>
      </c>
      <c r="AB60" s="17" t="s">
        <v>1959</v>
      </c>
    </row>
    <row r="61">
      <c r="A61" s="242">
        <v>45712.0</v>
      </c>
      <c r="B61" s="242">
        <v>45712.0</v>
      </c>
      <c r="C61" s="243" t="s">
        <v>1960</v>
      </c>
      <c r="D61" s="255" t="s">
        <v>1961</v>
      </c>
      <c r="E61" s="255" t="s">
        <v>1962</v>
      </c>
      <c r="F61" s="255" t="s">
        <v>1963</v>
      </c>
      <c r="G61" s="245" t="s">
        <v>1942</v>
      </c>
      <c r="H61" s="246" t="s">
        <v>1676</v>
      </c>
      <c r="I61" s="247" t="s">
        <v>716</v>
      </c>
      <c r="J61" s="256">
        <v>6.0</v>
      </c>
      <c r="K61" s="256">
        <v>6.0</v>
      </c>
      <c r="L61" s="247">
        <v>6.0</v>
      </c>
      <c r="M61" s="247">
        <v>0.0</v>
      </c>
      <c r="N61" s="247">
        <v>100000.0</v>
      </c>
      <c r="O61" s="141">
        <f t="shared" si="1"/>
        <v>600000</v>
      </c>
      <c r="P61" s="249"/>
      <c r="Q61" s="249"/>
      <c r="R61" s="249"/>
      <c r="S61" s="249"/>
      <c r="T61" s="249"/>
      <c r="U61" s="249"/>
      <c r="V61" s="249"/>
      <c r="W61" s="249"/>
      <c r="X61" s="247" t="s">
        <v>453</v>
      </c>
      <c r="Y61" s="250" t="s">
        <v>1964</v>
      </c>
      <c r="Z61" s="251" t="s">
        <v>1965</v>
      </c>
      <c r="AA61" s="252" t="str">
        <f>HYPERLINK("https://drive.google.com/file/d/1mKzxZ3wFiwS_GcetCxAQCGCyVKKlOMtE/view?usp=drivesdk","PSA_Beti Cahyaning Astuti_120 Pelatihan")</f>
        <v>PSA_Beti Cahyaning Astuti_120 Pelatihan</v>
      </c>
      <c r="AB61" s="250" t="s">
        <v>1945</v>
      </c>
      <c r="AC61" s="253"/>
      <c r="AD61" s="253"/>
    </row>
    <row r="62">
      <c r="A62" s="242">
        <v>45712.0</v>
      </c>
      <c r="B62" s="242">
        <v>45712.0</v>
      </c>
      <c r="C62" s="243" t="s">
        <v>1966</v>
      </c>
      <c r="D62" s="244" t="s">
        <v>1854</v>
      </c>
      <c r="E62" s="244" t="s">
        <v>682</v>
      </c>
      <c r="F62" s="244" t="s">
        <v>1967</v>
      </c>
      <c r="G62" s="245" t="s">
        <v>1942</v>
      </c>
      <c r="H62" s="246" t="s">
        <v>1676</v>
      </c>
      <c r="I62" s="247" t="s">
        <v>1956</v>
      </c>
      <c r="J62" s="254">
        <v>4.0</v>
      </c>
      <c r="K62" s="254">
        <v>4.0</v>
      </c>
      <c r="L62" s="247">
        <v>4.0</v>
      </c>
      <c r="M62" s="247">
        <v>0.0</v>
      </c>
      <c r="N62" s="247">
        <v>100000.0</v>
      </c>
      <c r="O62" s="141">
        <f t="shared" si="1"/>
        <v>400000</v>
      </c>
      <c r="P62" s="249"/>
      <c r="Q62" s="249"/>
      <c r="R62" s="249"/>
      <c r="S62" s="249"/>
      <c r="T62" s="249"/>
      <c r="U62" s="249"/>
      <c r="V62" s="249"/>
      <c r="W62" s="249"/>
      <c r="X62" s="247" t="s">
        <v>453</v>
      </c>
      <c r="Y62" s="17" t="s">
        <v>1968</v>
      </c>
      <c r="Z62" s="133" t="s">
        <v>1969</v>
      </c>
      <c r="AA62" s="134" t="str">
        <f>HYPERLINK("https://drive.google.com/file/d/1jkiE3_h_rrFJ2gTXdDINPnUBL4XYSSWF/view?usp=drivesdk","PSA_Dr. Widya Mudyantini, M. Si. _121 Pelatihan")</f>
        <v>PSA_Dr. Widya Mudyantini, M. Si. _121 Pelatihan</v>
      </c>
      <c r="AB62" s="17" t="s">
        <v>1970</v>
      </c>
    </row>
    <row r="63">
      <c r="A63" s="242">
        <v>45712.0</v>
      </c>
      <c r="B63" s="242">
        <v>45712.0</v>
      </c>
      <c r="C63" s="243" t="s">
        <v>1971</v>
      </c>
      <c r="D63" s="255" t="s">
        <v>1972</v>
      </c>
      <c r="E63" s="255" t="s">
        <v>1973</v>
      </c>
      <c r="F63" s="255" t="s">
        <v>1974</v>
      </c>
      <c r="G63" s="245" t="s">
        <v>1942</v>
      </c>
      <c r="H63" s="246" t="s">
        <v>1676</v>
      </c>
      <c r="I63" s="247" t="s">
        <v>716</v>
      </c>
      <c r="J63" s="256">
        <v>2.0</v>
      </c>
      <c r="K63" s="256">
        <v>2.0</v>
      </c>
      <c r="L63" s="247">
        <v>2.0</v>
      </c>
      <c r="M63" s="247">
        <v>0.0</v>
      </c>
      <c r="N63" s="247">
        <v>100000.0</v>
      </c>
      <c r="O63" s="141">
        <f t="shared" si="1"/>
        <v>200000</v>
      </c>
      <c r="P63" s="249"/>
      <c r="Q63" s="249"/>
      <c r="R63" s="249"/>
      <c r="S63" s="249"/>
      <c r="T63" s="249"/>
      <c r="U63" s="249"/>
      <c r="V63" s="249"/>
      <c r="W63" s="249"/>
      <c r="X63" s="247" t="s">
        <v>453</v>
      </c>
      <c r="Y63" s="250" t="s">
        <v>1975</v>
      </c>
      <c r="Z63" s="251" t="s">
        <v>1976</v>
      </c>
      <c r="AA63" s="252" t="str">
        <f>HYPERLINK("https://drive.google.com/file/d/1TxcjUdEUOdw5JEwk0SeLMYVlNWnhj7IQ/view?usp=drivesdk","PSA_Hilma Anzalna_122 Pelatihan")</f>
        <v>PSA_Hilma Anzalna_122 Pelatihan</v>
      </c>
      <c r="AB63" s="250" t="s">
        <v>1977</v>
      </c>
      <c r="AC63" s="253"/>
      <c r="AD63" s="253"/>
    </row>
    <row r="64">
      <c r="A64" s="242">
        <v>45712.0</v>
      </c>
      <c r="B64" s="242">
        <v>45712.0</v>
      </c>
      <c r="C64" s="243" t="s">
        <v>1978</v>
      </c>
      <c r="D64" s="257" t="s">
        <v>786</v>
      </c>
      <c r="E64" s="257" t="s">
        <v>1979</v>
      </c>
      <c r="F64" s="257" t="s">
        <v>1980</v>
      </c>
      <c r="G64" s="245" t="s">
        <v>1942</v>
      </c>
      <c r="H64" s="246" t="s">
        <v>1676</v>
      </c>
      <c r="I64" s="247" t="s">
        <v>716</v>
      </c>
      <c r="J64" s="258">
        <v>1.0</v>
      </c>
      <c r="K64" s="258">
        <v>1.0</v>
      </c>
      <c r="L64" s="247">
        <v>1.0</v>
      </c>
      <c r="M64" s="247">
        <v>0.0</v>
      </c>
      <c r="N64" s="247">
        <v>100000.0</v>
      </c>
      <c r="O64" s="141">
        <f t="shared" si="1"/>
        <v>100000</v>
      </c>
      <c r="P64" s="249"/>
      <c r="Q64" s="249"/>
      <c r="R64" s="249"/>
      <c r="S64" s="249"/>
      <c r="T64" s="249"/>
      <c r="U64" s="249"/>
      <c r="V64" s="249"/>
      <c r="W64" s="249"/>
      <c r="X64" s="247" t="s">
        <v>453</v>
      </c>
      <c r="Y64" s="17" t="s">
        <v>1981</v>
      </c>
      <c r="Z64" s="133" t="s">
        <v>1982</v>
      </c>
      <c r="AA64" s="134" t="str">
        <f>HYPERLINK("https://drive.google.com/file/d/16lMNcK9xnDgPoCFX1gUHmx9P2aAlY4lK/view?usp=drivesdk","PSA_Sabella Vegasty_123 Pelatihan")</f>
        <v>PSA_Sabella Vegasty_123 Pelatihan</v>
      </c>
      <c r="AB64" s="17" t="s">
        <v>1977</v>
      </c>
    </row>
    <row r="65">
      <c r="A65" s="242">
        <v>45712.0</v>
      </c>
      <c r="B65" s="242">
        <v>45712.0</v>
      </c>
      <c r="C65" s="243" t="s">
        <v>1983</v>
      </c>
      <c r="D65" s="259" t="s">
        <v>1984</v>
      </c>
      <c r="E65" s="259" t="s">
        <v>1985</v>
      </c>
      <c r="F65" s="259" t="s">
        <v>1986</v>
      </c>
      <c r="G65" s="245" t="s">
        <v>1942</v>
      </c>
      <c r="H65" s="246" t="s">
        <v>1676</v>
      </c>
      <c r="I65" s="247" t="s">
        <v>716</v>
      </c>
      <c r="J65" s="260">
        <v>4.0</v>
      </c>
      <c r="K65" s="260">
        <v>4.0</v>
      </c>
      <c r="L65" s="247">
        <v>0.0</v>
      </c>
      <c r="M65" s="247">
        <v>4.0</v>
      </c>
      <c r="N65" s="261">
        <v>100000.0</v>
      </c>
      <c r="O65" s="141">
        <f t="shared" si="1"/>
        <v>400000</v>
      </c>
      <c r="P65" s="247">
        <v>20.0</v>
      </c>
      <c r="Q65" s="247">
        <v>0.0</v>
      </c>
      <c r="R65" s="247">
        <v>40.0</v>
      </c>
      <c r="S65" s="247">
        <v>240.0</v>
      </c>
      <c r="T65" s="247">
        <v>0.0</v>
      </c>
      <c r="U65" s="247">
        <v>40.0</v>
      </c>
      <c r="V65" s="247">
        <v>5.0</v>
      </c>
      <c r="W65" s="249">
        <f>SUM(P65:V65)</f>
        <v>345</v>
      </c>
      <c r="X65" s="247" t="s">
        <v>453</v>
      </c>
      <c r="Y65" s="17" t="s">
        <v>1987</v>
      </c>
      <c r="Z65" s="133" t="s">
        <v>1988</v>
      </c>
      <c r="AA65" s="134" t="str">
        <f>HYPERLINK("https://drive.google.com/file/d/1BkVzKl8_oNTmNtebxO3WygCoi1jnrEnO/view?usp=drivesdk","PSA_Sri hastuti_124 Pelatihan")</f>
        <v>PSA_Sri hastuti_124 Pelatihan</v>
      </c>
      <c r="AB65" s="17" t="s">
        <v>1989</v>
      </c>
    </row>
    <row r="66">
      <c r="A66" s="262">
        <v>45712.0</v>
      </c>
      <c r="B66" s="262">
        <v>45712.0</v>
      </c>
      <c r="C66" s="263" t="s">
        <v>1990</v>
      </c>
      <c r="D66" s="264" t="s">
        <v>1991</v>
      </c>
      <c r="E66" s="265" t="s">
        <v>1992</v>
      </c>
      <c r="F66" s="266" t="s">
        <v>1993</v>
      </c>
      <c r="G66" s="267" t="s">
        <v>1942</v>
      </c>
      <c r="H66" s="268" t="s">
        <v>1676</v>
      </c>
      <c r="I66" s="269" t="s">
        <v>716</v>
      </c>
      <c r="J66" s="270">
        <v>1.0</v>
      </c>
      <c r="K66" s="270">
        <v>1.0</v>
      </c>
      <c r="L66" s="269">
        <v>1.0</v>
      </c>
      <c r="M66" s="269">
        <v>0.0</v>
      </c>
      <c r="N66" s="269">
        <v>100000.0</v>
      </c>
      <c r="O66" s="141">
        <f t="shared" si="1"/>
        <v>100000</v>
      </c>
      <c r="P66" s="271"/>
      <c r="Q66" s="271"/>
      <c r="R66" s="271"/>
      <c r="S66" s="271"/>
      <c r="T66" s="271"/>
      <c r="U66" s="271"/>
      <c r="V66" s="271"/>
      <c r="W66" s="271"/>
      <c r="X66" s="269" t="s">
        <v>453</v>
      </c>
      <c r="Y66" s="250" t="s">
        <v>1994</v>
      </c>
      <c r="Z66" s="251" t="s">
        <v>1995</v>
      </c>
      <c r="AA66" s="252" t="str">
        <f>HYPERLINK("https://drive.google.com/file/d/1phcw1uEclZdJZn-lp2ZEKDne1pBOq27Y/view?usp=drivesdk","PSA_Dr. Nanik Dwi Nurhayati, S.Si, M.Si_126 Pelatihan")</f>
        <v>PSA_Dr. Nanik Dwi Nurhayati, S.Si, M.Si_126 Pelatihan</v>
      </c>
      <c r="AB66" s="250" t="s">
        <v>1996</v>
      </c>
      <c r="AC66" s="253"/>
      <c r="AD66" s="253"/>
    </row>
    <row r="67">
      <c r="A67" s="149">
        <v>45713.0</v>
      </c>
      <c r="B67" s="149">
        <v>45716.0</v>
      </c>
      <c r="C67" s="168">
        <v>134.0</v>
      </c>
      <c r="D67" s="272" t="s">
        <v>1997</v>
      </c>
      <c r="E67" s="272" t="s">
        <v>155</v>
      </c>
      <c r="F67" s="273" t="s">
        <v>155</v>
      </c>
      <c r="G67" s="194" t="s">
        <v>541</v>
      </c>
      <c r="H67" s="17" t="s">
        <v>1682</v>
      </c>
      <c r="I67" s="17" t="s">
        <v>716</v>
      </c>
      <c r="J67" s="17">
        <v>3.0</v>
      </c>
      <c r="K67" s="17">
        <v>6.0</v>
      </c>
      <c r="L67" s="17">
        <v>3.0</v>
      </c>
      <c r="M67" s="17">
        <v>3.0</v>
      </c>
      <c r="N67" s="229">
        <v>300000.0</v>
      </c>
      <c r="O67" s="141">
        <f t="shared" si="1"/>
        <v>900000</v>
      </c>
      <c r="P67" s="17">
        <v>20.0</v>
      </c>
      <c r="Q67" s="17">
        <v>0.0</v>
      </c>
      <c r="R67" s="17">
        <v>30.0</v>
      </c>
      <c r="S67" s="17">
        <v>135.0</v>
      </c>
      <c r="T67" s="17">
        <v>180.0</v>
      </c>
      <c r="U67" s="17">
        <v>60.0</v>
      </c>
      <c r="V67" s="17">
        <v>5.0</v>
      </c>
      <c r="W67" s="171">
        <f t="shared" ref="W67:W78" si="3">SUM(P67:V67)</f>
        <v>430</v>
      </c>
      <c r="X67" s="17" t="s">
        <v>453</v>
      </c>
      <c r="Y67" s="17" t="s">
        <v>1998</v>
      </c>
      <c r="Z67" s="133" t="s">
        <v>1999</v>
      </c>
      <c r="AA67" s="134" t="str">
        <f>HYPERLINK("https://drive.google.com/file/d/1TEinXBn0NNl9FYpIl0s6kSXGt72-hbui/view?usp=drivesdk","PSA_Agus S._134")</f>
        <v>PSA_Agus S._134</v>
      </c>
      <c r="AB67" s="17" t="s">
        <v>2000</v>
      </c>
    </row>
    <row r="68">
      <c r="A68" s="149">
        <v>45713.0</v>
      </c>
      <c r="B68" s="149">
        <v>45716.0</v>
      </c>
      <c r="C68" s="168">
        <v>127.0</v>
      </c>
      <c r="D68" s="274" t="s">
        <v>2001</v>
      </c>
      <c r="E68" s="275" t="s">
        <v>155</v>
      </c>
      <c r="F68" s="276" t="s">
        <v>155</v>
      </c>
      <c r="G68" s="274" t="s">
        <v>541</v>
      </c>
      <c r="H68" s="17" t="s">
        <v>1682</v>
      </c>
      <c r="I68" s="17" t="s">
        <v>716</v>
      </c>
      <c r="J68" s="17">
        <v>2.0</v>
      </c>
      <c r="K68" s="17">
        <v>4.0</v>
      </c>
      <c r="L68" s="17">
        <v>2.0</v>
      </c>
      <c r="M68" s="17">
        <v>2.0</v>
      </c>
      <c r="N68" s="229">
        <v>300000.0</v>
      </c>
      <c r="O68" s="141">
        <f t="shared" si="1"/>
        <v>600000</v>
      </c>
      <c r="P68" s="17">
        <v>20.0</v>
      </c>
      <c r="Q68" s="17">
        <v>0.0</v>
      </c>
      <c r="R68" s="17">
        <v>40.0</v>
      </c>
      <c r="S68" s="17">
        <v>90.0</v>
      </c>
      <c r="T68" s="17">
        <v>120.0</v>
      </c>
      <c r="U68" s="17">
        <v>40.0</v>
      </c>
      <c r="V68" s="17">
        <v>5.0</v>
      </c>
      <c r="W68" s="171">
        <f t="shared" si="3"/>
        <v>315</v>
      </c>
      <c r="X68" s="17" t="s">
        <v>453</v>
      </c>
      <c r="Y68" s="17" t="s">
        <v>2002</v>
      </c>
      <c r="Z68" s="133" t="s">
        <v>2003</v>
      </c>
      <c r="AA68" s="134" t="str">
        <f>HYPERLINK("https://drive.google.com/file/d/1byoUKMpypeHvv5ts6tgYsY7wZXlWZMzq/view?usp=drivesdk","PSA_Iis Nurhasanah_127")</f>
        <v>PSA_Iis Nurhasanah_127</v>
      </c>
      <c r="AB68" s="17" t="s">
        <v>2004</v>
      </c>
    </row>
    <row r="69">
      <c r="A69" s="149">
        <v>45726.0</v>
      </c>
      <c r="B69" s="149">
        <v>45728.0</v>
      </c>
      <c r="C69" s="168">
        <v>141.0</v>
      </c>
      <c r="D69" s="272" t="s">
        <v>1686</v>
      </c>
      <c r="E69" s="194" t="s">
        <v>1687</v>
      </c>
      <c r="F69" s="272" t="s">
        <v>799</v>
      </c>
      <c r="G69" s="194" t="s">
        <v>621</v>
      </c>
      <c r="H69" s="17" t="s">
        <v>1682</v>
      </c>
      <c r="I69" s="17" t="s">
        <v>1956</v>
      </c>
      <c r="J69" s="17">
        <v>5.0</v>
      </c>
      <c r="K69" s="17">
        <v>8.0</v>
      </c>
      <c r="L69" s="17">
        <v>3.0</v>
      </c>
      <c r="M69" s="17">
        <v>5.0</v>
      </c>
      <c r="N69" s="229">
        <v>200000.0</v>
      </c>
      <c r="O69" s="141">
        <f t="shared" si="1"/>
        <v>1000000</v>
      </c>
      <c r="P69" s="17">
        <v>20.0</v>
      </c>
      <c r="Q69" s="17">
        <v>0.0</v>
      </c>
      <c r="R69" s="17">
        <v>50.0</v>
      </c>
      <c r="S69" s="17">
        <v>300.0</v>
      </c>
      <c r="T69" s="17">
        <v>180.0</v>
      </c>
      <c r="U69" s="17">
        <v>80.0</v>
      </c>
      <c r="V69" s="17">
        <v>5.0</v>
      </c>
      <c r="W69" s="171">
        <f t="shared" si="3"/>
        <v>635</v>
      </c>
      <c r="X69" s="17" t="s">
        <v>453</v>
      </c>
      <c r="Y69" s="17" t="s">
        <v>2005</v>
      </c>
      <c r="Z69" s="133" t="s">
        <v>2006</v>
      </c>
      <c r="AA69" s="134" t="str">
        <f>HYPERLINK("https://drive.google.com/file/d/1lHjQq1o74EpJvyxMTRak4hpjbpxEWw-f/view?usp=drivesdk","PSA_Agung Prakoso_141")</f>
        <v>PSA_Agung Prakoso_141</v>
      </c>
      <c r="AB69" s="17" t="s">
        <v>1933</v>
      </c>
    </row>
    <row r="70">
      <c r="A70" s="149">
        <v>45720.0</v>
      </c>
      <c r="B70" s="149">
        <v>45728.0</v>
      </c>
      <c r="C70" s="168">
        <v>146.0</v>
      </c>
      <c r="D70" s="275" t="s">
        <v>2007</v>
      </c>
      <c r="E70" s="275" t="s">
        <v>2008</v>
      </c>
      <c r="F70" s="275" t="s">
        <v>2009</v>
      </c>
      <c r="G70" s="274" t="s">
        <v>541</v>
      </c>
      <c r="H70" s="145" t="s">
        <v>1676</v>
      </c>
      <c r="I70" s="17" t="s">
        <v>716</v>
      </c>
      <c r="J70" s="17">
        <v>3.0</v>
      </c>
      <c r="K70" s="17">
        <v>3.0</v>
      </c>
      <c r="L70" s="17">
        <v>3.0</v>
      </c>
      <c r="M70" s="17">
        <v>0.0</v>
      </c>
      <c r="N70" s="229">
        <v>300000.0</v>
      </c>
      <c r="O70" s="141">
        <f t="shared" si="1"/>
        <v>900000</v>
      </c>
      <c r="P70" s="17">
        <v>20.0</v>
      </c>
      <c r="Q70" s="17">
        <v>15.0</v>
      </c>
      <c r="R70" s="17">
        <v>30.0</v>
      </c>
      <c r="S70" s="17">
        <v>0.0</v>
      </c>
      <c r="T70" s="17">
        <v>180.0</v>
      </c>
      <c r="U70" s="17">
        <v>30.0</v>
      </c>
      <c r="V70" s="17">
        <v>5.0</v>
      </c>
      <c r="W70" s="171">
        <f t="shared" si="3"/>
        <v>280</v>
      </c>
      <c r="X70" s="17" t="s">
        <v>453</v>
      </c>
      <c r="Y70" s="17" t="s">
        <v>2010</v>
      </c>
      <c r="Z70" s="133" t="s">
        <v>2011</v>
      </c>
      <c r="AA70" s="134" t="str">
        <f>HYPERLINK("https://drive.google.com/file/d/1UvT091hla4yM98xq3karTDZ2GAiucgeY/view?usp=drivesdk","PSA_Dwi Ayu Pusparini_146")</f>
        <v>PSA_Dwi Ayu Pusparini_146</v>
      </c>
      <c r="AB70" s="17" t="s">
        <v>1933</v>
      </c>
    </row>
    <row r="71">
      <c r="A71" s="149">
        <v>45723.0</v>
      </c>
      <c r="B71" s="149">
        <v>45730.0</v>
      </c>
      <c r="C71" s="168">
        <v>152.0</v>
      </c>
      <c r="D71" s="272" t="s">
        <v>2012</v>
      </c>
      <c r="E71" s="194" t="s">
        <v>2013</v>
      </c>
      <c r="F71" s="272" t="s">
        <v>2014</v>
      </c>
      <c r="G71" s="194" t="s">
        <v>541</v>
      </c>
      <c r="H71" s="145" t="s">
        <v>1676</v>
      </c>
      <c r="I71" s="17" t="s">
        <v>716</v>
      </c>
      <c r="J71" s="17">
        <v>1.0</v>
      </c>
      <c r="K71" s="17">
        <v>1.0</v>
      </c>
      <c r="L71" s="17">
        <v>1.0</v>
      </c>
      <c r="M71" s="17">
        <v>0.0</v>
      </c>
      <c r="N71" s="229">
        <v>300000.0</v>
      </c>
      <c r="O71" s="141">
        <f t="shared" si="1"/>
        <v>300000</v>
      </c>
      <c r="P71" s="17">
        <v>20.0</v>
      </c>
      <c r="Q71" s="17">
        <v>5.0</v>
      </c>
      <c r="R71" s="17">
        <v>10.0</v>
      </c>
      <c r="S71" s="17">
        <v>0.0</v>
      </c>
      <c r="T71" s="17">
        <v>60.0</v>
      </c>
      <c r="U71" s="17">
        <v>10.0</v>
      </c>
      <c r="V71" s="17">
        <v>5.0</v>
      </c>
      <c r="W71" s="171">
        <f t="shared" si="3"/>
        <v>110</v>
      </c>
      <c r="X71" s="17" t="s">
        <v>453</v>
      </c>
      <c r="Y71" s="17" t="s">
        <v>2015</v>
      </c>
      <c r="Z71" s="133" t="s">
        <v>2016</v>
      </c>
      <c r="AA71" s="134" t="str">
        <f>HYPERLINK("https://drive.google.com/file/d/1509OFiTijYdTUGkKbaxDh_A19fB4BdYO/view?usp=drivesdk","PSA_Widya Kartika_152")</f>
        <v>PSA_Widya Kartika_152</v>
      </c>
      <c r="AB71" s="17" t="s">
        <v>2017</v>
      </c>
    </row>
    <row r="72">
      <c r="A72" s="149">
        <v>45730.0</v>
      </c>
      <c r="B72" s="149">
        <v>45741.0</v>
      </c>
      <c r="C72" s="168">
        <v>167.0</v>
      </c>
      <c r="D72" s="276" t="s">
        <v>2018</v>
      </c>
      <c r="E72" s="274" t="s">
        <v>2019</v>
      </c>
      <c r="F72" s="276" t="s">
        <v>2020</v>
      </c>
      <c r="G72" s="274" t="s">
        <v>541</v>
      </c>
      <c r="H72" s="145" t="s">
        <v>1676</v>
      </c>
      <c r="I72" s="17" t="s">
        <v>1051</v>
      </c>
      <c r="J72" s="17">
        <v>4.0</v>
      </c>
      <c r="K72" s="17">
        <v>4.0</v>
      </c>
      <c r="L72" s="17">
        <v>4.0</v>
      </c>
      <c r="M72" s="17">
        <v>0.0</v>
      </c>
      <c r="N72" s="229">
        <v>300000.0</v>
      </c>
      <c r="O72" s="141">
        <f t="shared" si="1"/>
        <v>1200000</v>
      </c>
      <c r="P72" s="17">
        <v>20.0</v>
      </c>
      <c r="Q72" s="17">
        <v>20.0</v>
      </c>
      <c r="R72" s="17">
        <v>20.0</v>
      </c>
      <c r="S72" s="17">
        <v>0.0</v>
      </c>
      <c r="T72" s="17">
        <v>240.0</v>
      </c>
      <c r="U72" s="17">
        <v>40.0</v>
      </c>
      <c r="V72" s="17">
        <v>5.0</v>
      </c>
      <c r="W72" s="171">
        <f t="shared" si="3"/>
        <v>345</v>
      </c>
      <c r="X72" s="17" t="s">
        <v>453</v>
      </c>
      <c r="Y72" s="17" t="s">
        <v>2021</v>
      </c>
      <c r="Z72" s="133" t="s">
        <v>2022</v>
      </c>
      <c r="AA72" s="134" t="str">
        <f>HYPERLINK("https://drive.google.com/file/d/18msaV6uE2cHRUTSWn5cT8IoKIdbnrSe0/view?usp=drivesdk","PSA_Aqila Ekaputri Ghaisani_167")</f>
        <v>PSA_Aqila Ekaputri Ghaisani_167</v>
      </c>
      <c r="AB72" s="17" t="s">
        <v>2023</v>
      </c>
    </row>
    <row r="73">
      <c r="A73" s="149">
        <v>45740.0</v>
      </c>
      <c r="B73" s="149">
        <v>45742.0</v>
      </c>
      <c r="C73" s="168">
        <v>168.0</v>
      </c>
      <c r="D73" s="273" t="s">
        <v>2024</v>
      </c>
      <c r="E73" s="194">
        <v>2.011014310002E12</v>
      </c>
      <c r="F73" s="273" t="s">
        <v>2025</v>
      </c>
      <c r="G73" s="194" t="s">
        <v>541</v>
      </c>
      <c r="H73" s="145" t="s">
        <v>1676</v>
      </c>
      <c r="I73" s="17" t="s">
        <v>1051</v>
      </c>
      <c r="J73" s="17">
        <v>3.0</v>
      </c>
      <c r="K73" s="17">
        <v>3.0</v>
      </c>
      <c r="L73" s="17">
        <v>3.0</v>
      </c>
      <c r="M73" s="17">
        <v>0.0</v>
      </c>
      <c r="N73" s="229">
        <v>300000.0</v>
      </c>
      <c r="O73" s="141">
        <f t="shared" si="1"/>
        <v>900000</v>
      </c>
      <c r="P73" s="17">
        <v>20.0</v>
      </c>
      <c r="Q73" s="17">
        <v>15.0</v>
      </c>
      <c r="R73" s="17">
        <v>30.0</v>
      </c>
      <c r="S73" s="17">
        <v>0.0</v>
      </c>
      <c r="T73" s="17">
        <v>180.0</v>
      </c>
      <c r="U73" s="17">
        <v>30.0</v>
      </c>
      <c r="V73" s="17">
        <v>5.0</v>
      </c>
      <c r="W73" s="171">
        <f t="shared" si="3"/>
        <v>280</v>
      </c>
      <c r="X73" s="17" t="s">
        <v>453</v>
      </c>
      <c r="Y73" s="17" t="s">
        <v>2026</v>
      </c>
      <c r="Z73" s="133" t="s">
        <v>2027</v>
      </c>
      <c r="AA73" s="134" t="str">
        <f>HYPERLINK("https://drive.google.com/file/d/1TCYInV7f71tSlYptuOv79tOzLBEb_Ppk/view?usp=drivesdk","PSA_Hasbullah_168")</f>
        <v>PSA_Hasbullah_168</v>
      </c>
      <c r="AB73" s="17" t="s">
        <v>2028</v>
      </c>
    </row>
    <row r="74">
      <c r="A74" s="149">
        <v>45757.0</v>
      </c>
      <c r="B74" s="149">
        <v>45768.0</v>
      </c>
      <c r="C74" s="168">
        <v>200.0</v>
      </c>
      <c r="D74" s="276" t="s">
        <v>2029</v>
      </c>
      <c r="E74" s="274">
        <v>2.36100100111014E14</v>
      </c>
      <c r="F74" s="276" t="s">
        <v>2030</v>
      </c>
      <c r="G74" s="274" t="s">
        <v>541</v>
      </c>
      <c r="H74" s="17" t="s">
        <v>1698</v>
      </c>
      <c r="I74" s="17" t="s">
        <v>1051</v>
      </c>
      <c r="J74" s="17">
        <v>15.0</v>
      </c>
      <c r="K74" s="17">
        <v>15.0</v>
      </c>
      <c r="L74" s="17">
        <v>0.0</v>
      </c>
      <c r="M74" s="17">
        <v>15.0</v>
      </c>
      <c r="N74" s="17">
        <v>300000.0</v>
      </c>
      <c r="O74" s="141">
        <f t="shared" si="1"/>
        <v>4500000</v>
      </c>
      <c r="P74" s="17">
        <v>20.0</v>
      </c>
      <c r="Q74" s="17">
        <v>0.0</v>
      </c>
      <c r="R74" s="17">
        <v>150.0</v>
      </c>
      <c r="S74" s="17">
        <v>900.0</v>
      </c>
      <c r="T74" s="17">
        <v>0.0</v>
      </c>
      <c r="U74" s="17">
        <v>150.0</v>
      </c>
      <c r="V74" s="17">
        <v>5.0</v>
      </c>
      <c r="W74" s="171">
        <f t="shared" si="3"/>
        <v>1225</v>
      </c>
      <c r="X74" s="17" t="s">
        <v>453</v>
      </c>
      <c r="Y74" s="17" t="s">
        <v>2031</v>
      </c>
      <c r="Z74" s="133" t="s">
        <v>2032</v>
      </c>
      <c r="AA74" s="134" t="str">
        <f>HYPERLINK("https://drive.google.com/file/d/18YhDENJBE1iuCdTEDW5fPPML-YXo9qFS/view?usp=drivesdk","PSA_Lutfiani Ainur Nisa_200")</f>
        <v>PSA_Lutfiani Ainur Nisa_200</v>
      </c>
      <c r="AB74" s="17" t="s">
        <v>2033</v>
      </c>
    </row>
    <row r="75">
      <c r="A75" s="149">
        <v>45763.0</v>
      </c>
      <c r="B75" s="149">
        <v>45772.0</v>
      </c>
      <c r="C75" s="168">
        <v>202.0</v>
      </c>
      <c r="D75" s="273" t="s">
        <v>2034</v>
      </c>
      <c r="E75" s="194" t="s">
        <v>2035</v>
      </c>
      <c r="F75" s="273" t="s">
        <v>2036</v>
      </c>
      <c r="G75" s="194" t="s">
        <v>541</v>
      </c>
      <c r="H75" s="17" t="s">
        <v>1682</v>
      </c>
      <c r="I75" s="17" t="s">
        <v>1051</v>
      </c>
      <c r="J75" s="17">
        <v>1.0</v>
      </c>
      <c r="K75" s="17">
        <v>2.0</v>
      </c>
      <c r="L75" s="17">
        <v>1.0</v>
      </c>
      <c r="M75" s="17">
        <v>1.0</v>
      </c>
      <c r="N75" s="17">
        <v>200000.0</v>
      </c>
      <c r="O75" s="141">
        <f t="shared" si="1"/>
        <v>200000</v>
      </c>
      <c r="P75" s="17">
        <v>20.0</v>
      </c>
      <c r="Q75" s="17">
        <v>0.0</v>
      </c>
      <c r="R75" s="17">
        <v>20.0</v>
      </c>
      <c r="S75" s="17">
        <v>60.0</v>
      </c>
      <c r="T75" s="17">
        <v>60.0</v>
      </c>
      <c r="U75" s="17">
        <v>20.0</v>
      </c>
      <c r="V75" s="17">
        <v>5.0</v>
      </c>
      <c r="W75" s="171">
        <f t="shared" si="3"/>
        <v>185</v>
      </c>
      <c r="X75" s="17" t="s">
        <v>453</v>
      </c>
      <c r="Y75" s="17" t="s">
        <v>2037</v>
      </c>
      <c r="Z75" s="133" t="s">
        <v>2038</v>
      </c>
      <c r="AA75" s="134" t="str">
        <f>HYPERLINK("https://drive.google.com/file/d/1oCTJXT6b8EpyzLfEXK6qaut1q6ZAefxj/view?usp=drivesdk","PSA_Rischa Oktaviana Christy P_202")</f>
        <v>PSA_Rischa Oktaviana Christy P_202</v>
      </c>
      <c r="AB75" s="17" t="s">
        <v>2033</v>
      </c>
    </row>
    <row r="76">
      <c r="A76" s="149">
        <v>45763.0</v>
      </c>
      <c r="B76" s="149">
        <v>45772.0</v>
      </c>
      <c r="C76" s="168">
        <v>203.0</v>
      </c>
      <c r="D76" s="276" t="s">
        <v>2039</v>
      </c>
      <c r="E76" s="274" t="s">
        <v>2040</v>
      </c>
      <c r="F76" s="276" t="s">
        <v>2036</v>
      </c>
      <c r="G76" s="274" t="s">
        <v>541</v>
      </c>
      <c r="H76" s="17" t="s">
        <v>1682</v>
      </c>
      <c r="I76" s="17" t="s">
        <v>1051</v>
      </c>
      <c r="J76" s="17">
        <v>1.0</v>
      </c>
      <c r="K76" s="17">
        <v>2.0</v>
      </c>
      <c r="L76" s="17">
        <v>1.0</v>
      </c>
      <c r="M76" s="17">
        <v>1.0</v>
      </c>
      <c r="N76" s="17">
        <v>200000.0</v>
      </c>
      <c r="O76" s="141">
        <f t="shared" si="1"/>
        <v>200000</v>
      </c>
      <c r="P76" s="17">
        <v>20.0</v>
      </c>
      <c r="Q76" s="17">
        <v>0.0</v>
      </c>
      <c r="R76" s="17">
        <v>20.0</v>
      </c>
      <c r="S76" s="17">
        <v>60.0</v>
      </c>
      <c r="T76" s="17">
        <v>60.0</v>
      </c>
      <c r="U76" s="17">
        <v>20.0</v>
      </c>
      <c r="V76" s="17">
        <v>5.0</v>
      </c>
      <c r="W76" s="171">
        <f t="shared" si="3"/>
        <v>185</v>
      </c>
      <c r="X76" s="17" t="s">
        <v>453</v>
      </c>
      <c r="Y76" s="17" t="s">
        <v>2041</v>
      </c>
      <c r="Z76" s="133" t="s">
        <v>2042</v>
      </c>
      <c r="AA76" s="134" t="str">
        <f>HYPERLINK("https://drive.google.com/file/d/1tXHLQIYEjTRFsWC3AqQsHc-bOKea0f9M/view?usp=drivesdk","PSA_Rafida Laili Pujiandari_203")</f>
        <v>PSA_Rafida Laili Pujiandari_203</v>
      </c>
      <c r="AB76" s="17" t="s">
        <v>2033</v>
      </c>
    </row>
    <row r="77">
      <c r="A77" s="149">
        <v>45761.0</v>
      </c>
      <c r="B77" s="149">
        <v>45772.0</v>
      </c>
      <c r="C77" s="168">
        <v>227.0</v>
      </c>
      <c r="D77" s="273" t="s">
        <v>2043</v>
      </c>
      <c r="E77" s="194" t="s">
        <v>2044</v>
      </c>
      <c r="F77" s="273" t="s">
        <v>2045</v>
      </c>
      <c r="G77" s="194" t="s">
        <v>621</v>
      </c>
      <c r="H77" s="145" t="s">
        <v>1676</v>
      </c>
      <c r="I77" s="17" t="s">
        <v>1051</v>
      </c>
      <c r="J77" s="17">
        <v>1.0</v>
      </c>
      <c r="K77" s="17">
        <v>1.0</v>
      </c>
      <c r="L77" s="17">
        <v>1.0</v>
      </c>
      <c r="M77" s="17">
        <v>0.0</v>
      </c>
      <c r="N77" s="17">
        <v>200000.0</v>
      </c>
      <c r="O77" s="141">
        <f t="shared" si="1"/>
        <v>200000</v>
      </c>
      <c r="P77" s="17">
        <v>20.0</v>
      </c>
      <c r="Q77" s="17">
        <v>0.0</v>
      </c>
      <c r="R77" s="17">
        <v>20.0</v>
      </c>
      <c r="S77" s="17">
        <v>0.0</v>
      </c>
      <c r="T77" s="17">
        <v>60.0</v>
      </c>
      <c r="U77" s="17">
        <v>20.0</v>
      </c>
      <c r="V77" s="17">
        <v>5.0</v>
      </c>
      <c r="W77" s="171">
        <f t="shared" si="3"/>
        <v>125</v>
      </c>
      <c r="X77" s="17" t="s">
        <v>453</v>
      </c>
      <c r="Y77" s="17" t="s">
        <v>2046</v>
      </c>
      <c r="Z77" s="133" t="s">
        <v>2047</v>
      </c>
      <c r="AA77" s="134" t="str">
        <f>HYPERLINK("https://drive.google.com/file/d/1kDfV-c06GSVCQIJHz5Pthw55qpDsXCp3/view?usp=drivesdk","PSA_Nabila Ayu Azzahra_227")</f>
        <v>PSA_Nabila Ayu Azzahra_227</v>
      </c>
      <c r="AB77" s="17" t="s">
        <v>2033</v>
      </c>
    </row>
    <row r="78">
      <c r="A78" s="149">
        <v>45758.0</v>
      </c>
      <c r="B78" s="149">
        <v>45772.0</v>
      </c>
      <c r="C78" s="168">
        <v>207.0</v>
      </c>
      <c r="D78" s="276" t="s">
        <v>2048</v>
      </c>
      <c r="E78" s="274" t="s">
        <v>2049</v>
      </c>
      <c r="F78" s="276" t="s">
        <v>2020</v>
      </c>
      <c r="G78" s="274" t="s">
        <v>541</v>
      </c>
      <c r="H78" s="145" t="s">
        <v>1676</v>
      </c>
      <c r="I78" s="17" t="s">
        <v>1051</v>
      </c>
      <c r="J78" s="17">
        <v>1.0</v>
      </c>
      <c r="K78" s="17">
        <v>1.0</v>
      </c>
      <c r="L78" s="17">
        <v>1.0</v>
      </c>
      <c r="M78" s="17">
        <v>0.0</v>
      </c>
      <c r="N78" s="17">
        <v>200000.0</v>
      </c>
      <c r="O78" s="141">
        <f t="shared" si="1"/>
        <v>200000</v>
      </c>
      <c r="P78" s="17">
        <v>20.0</v>
      </c>
      <c r="Q78" s="17">
        <v>0.0</v>
      </c>
      <c r="R78" s="17">
        <v>20.0</v>
      </c>
      <c r="S78" s="17">
        <v>0.0</v>
      </c>
      <c r="T78" s="17">
        <v>60.0</v>
      </c>
      <c r="U78" s="17">
        <v>20.0</v>
      </c>
      <c r="V78" s="17">
        <v>5.0</v>
      </c>
      <c r="W78" s="171">
        <f t="shared" si="3"/>
        <v>125</v>
      </c>
      <c r="X78" s="17" t="s">
        <v>453</v>
      </c>
      <c r="Y78" s="17" t="s">
        <v>2050</v>
      </c>
      <c r="Z78" s="133" t="s">
        <v>2051</v>
      </c>
      <c r="AA78" s="134" t="str">
        <f>HYPERLINK("https://drive.google.com/file/d/18JJ8DZhx6M1y2Cu94V9JcTGZ93ERATQA/view?usp=drivesdk","PSA_Alvyan Naufal Rizandy_207")</f>
        <v>PSA_Alvyan Naufal Rizandy_207</v>
      </c>
      <c r="AB78" s="17" t="s">
        <v>2033</v>
      </c>
    </row>
    <row r="79">
      <c r="A79" s="149">
        <v>45783.0</v>
      </c>
      <c r="B79" s="149">
        <v>45791.0</v>
      </c>
      <c r="C79" s="168">
        <v>253.0</v>
      </c>
      <c r="D79" s="273" t="s">
        <v>1961</v>
      </c>
      <c r="E79" s="194" t="s">
        <v>1962</v>
      </c>
      <c r="F79" s="273" t="s">
        <v>1035</v>
      </c>
      <c r="G79" s="194" t="s">
        <v>541</v>
      </c>
      <c r="H79" s="145" t="s">
        <v>1676</v>
      </c>
      <c r="I79" s="17" t="s">
        <v>1051</v>
      </c>
      <c r="J79" s="17">
        <v>4.0</v>
      </c>
      <c r="K79" s="17">
        <v>4.0</v>
      </c>
      <c r="L79" s="17">
        <v>4.0</v>
      </c>
      <c r="M79" s="17">
        <v>0.0</v>
      </c>
      <c r="N79" s="17">
        <v>300000.0</v>
      </c>
      <c r="O79" s="141">
        <f t="shared" si="1"/>
        <v>1200000</v>
      </c>
      <c r="P79" s="17">
        <v>20.0</v>
      </c>
      <c r="Q79" s="17">
        <v>20.0</v>
      </c>
      <c r="R79" s="17">
        <v>40.0</v>
      </c>
      <c r="S79" s="17">
        <v>0.0</v>
      </c>
      <c r="T79" s="17">
        <v>240.0</v>
      </c>
      <c r="U79" s="17">
        <v>40.0</v>
      </c>
      <c r="V79" s="17">
        <v>5.0</v>
      </c>
      <c r="W79" s="171">
        <f t="shared" ref="W79:W153" si="4">sum(P79:V79)</f>
        <v>365</v>
      </c>
      <c r="X79" s="17" t="s">
        <v>453</v>
      </c>
      <c r="Y79" s="17" t="s">
        <v>2052</v>
      </c>
      <c r="Z79" s="133" t="s">
        <v>2053</v>
      </c>
      <c r="AA79" s="134" t="str">
        <f>HYPERLINK("https://drive.google.com/file/d/1jkFVrxlsnHANp1O5NN6fVdQIv6EVl2lb/view?usp=drivesdk","PSA_Beti Cahyaning Astuti_253")</f>
        <v>PSA_Beti Cahyaning Astuti_253</v>
      </c>
      <c r="AB79" s="17" t="s">
        <v>2054</v>
      </c>
    </row>
    <row r="80">
      <c r="A80" s="149">
        <v>45793.0</v>
      </c>
      <c r="B80" s="149">
        <v>45793.0</v>
      </c>
      <c r="C80" s="168">
        <v>275.0</v>
      </c>
      <c r="D80" s="276" t="s">
        <v>2055</v>
      </c>
      <c r="E80" s="274">
        <v>21600.0</v>
      </c>
      <c r="F80" s="276" t="s">
        <v>2056</v>
      </c>
      <c r="G80" s="274" t="s">
        <v>541</v>
      </c>
      <c r="H80" s="145" t="s">
        <v>1676</v>
      </c>
      <c r="I80" s="17" t="s">
        <v>1051</v>
      </c>
      <c r="J80" s="17">
        <v>1.0</v>
      </c>
      <c r="K80" s="17">
        <v>1.0</v>
      </c>
      <c r="L80" s="17">
        <v>1.0</v>
      </c>
      <c r="M80" s="17">
        <v>0.0</v>
      </c>
      <c r="N80" s="17">
        <v>300000.0</v>
      </c>
      <c r="O80" s="141">
        <f t="shared" si="1"/>
        <v>300000</v>
      </c>
      <c r="P80" s="17">
        <v>20.0</v>
      </c>
      <c r="Q80" s="17">
        <v>5.0</v>
      </c>
      <c r="R80" s="17">
        <v>0.0</v>
      </c>
      <c r="S80" s="17">
        <v>0.0</v>
      </c>
      <c r="T80" s="17">
        <v>60.0</v>
      </c>
      <c r="U80" s="17">
        <v>10.0</v>
      </c>
      <c r="V80" s="17">
        <v>5.0</v>
      </c>
      <c r="W80" s="171">
        <f t="shared" si="4"/>
        <v>100</v>
      </c>
      <c r="X80" s="17" t="s">
        <v>453</v>
      </c>
      <c r="Y80" s="17" t="s">
        <v>2057</v>
      </c>
      <c r="Z80" s="133" t="s">
        <v>2058</v>
      </c>
      <c r="AA80" s="134" t="str">
        <f>HYPERLINK("https://drive.google.com/file/d/1TYTJHnv9J7gzcQSOTMjq6Sc-jiy1utvC/view?usp=drivesdk","PSA_Gaceia Tatha Pramita_275")</f>
        <v>PSA_Gaceia Tatha Pramita_275</v>
      </c>
      <c r="AB80" s="17" t="s">
        <v>2059</v>
      </c>
    </row>
    <row r="81">
      <c r="A81" s="149">
        <v>45777.0</v>
      </c>
      <c r="B81" s="149">
        <v>45796.0</v>
      </c>
      <c r="C81" s="168">
        <v>240.0</v>
      </c>
      <c r="D81" s="273" t="s">
        <v>2060</v>
      </c>
      <c r="E81" s="194" t="s">
        <v>2061</v>
      </c>
      <c r="F81" s="273" t="s">
        <v>1872</v>
      </c>
      <c r="G81" s="194" t="s">
        <v>541</v>
      </c>
      <c r="H81" s="17" t="s">
        <v>1682</v>
      </c>
      <c r="I81" s="17" t="s">
        <v>1051</v>
      </c>
      <c r="J81" s="17">
        <v>3.0</v>
      </c>
      <c r="K81" s="17">
        <v>6.0</v>
      </c>
      <c r="L81" s="17">
        <v>3.0</v>
      </c>
      <c r="M81" s="17">
        <v>3.0</v>
      </c>
      <c r="N81" s="17">
        <v>200000.0</v>
      </c>
      <c r="O81" s="141">
        <f t="shared" si="1"/>
        <v>600000</v>
      </c>
      <c r="P81" s="17">
        <v>20.0</v>
      </c>
      <c r="Q81" s="17">
        <v>0.0</v>
      </c>
      <c r="R81" s="171">
        <f>5*K81</f>
        <v>30</v>
      </c>
      <c r="S81" s="171">
        <f t="shared" ref="S81:S153" si="5">20*M81</f>
        <v>60</v>
      </c>
      <c r="T81" s="171">
        <f t="shared" ref="T81:T153" si="6">20*L81</f>
        <v>60</v>
      </c>
      <c r="U81" s="171">
        <f t="shared" ref="U81:U153" si="7">10*K81</f>
        <v>60</v>
      </c>
      <c r="V81" s="17">
        <v>5.0</v>
      </c>
      <c r="W81" s="171">
        <f t="shared" si="4"/>
        <v>235</v>
      </c>
      <c r="X81" s="17" t="s">
        <v>453</v>
      </c>
      <c r="Y81" s="17" t="s">
        <v>2062</v>
      </c>
      <c r="Z81" s="133" t="s">
        <v>2063</v>
      </c>
      <c r="AA81" s="134" t="str">
        <f>HYPERLINK("https://drive.google.com/file/d/1Gd6ua88yMVM0Lz1bSt_HvsB8ts6gwnQ7/view?usp=drivesdk","PSA_Fadilah Hasna Khoiriyah_240")</f>
        <v>PSA_Fadilah Hasna Khoiriyah_240</v>
      </c>
      <c r="AB81" s="17" t="s">
        <v>2064</v>
      </c>
    </row>
    <row r="82">
      <c r="A82" s="149">
        <v>45793.0</v>
      </c>
      <c r="B82" s="149">
        <v>45803.0</v>
      </c>
      <c r="C82" s="168">
        <v>292.0</v>
      </c>
      <c r="D82" s="276" t="s">
        <v>2065</v>
      </c>
      <c r="E82" s="274" t="s">
        <v>2066</v>
      </c>
      <c r="F82" s="275" t="s">
        <v>2009</v>
      </c>
      <c r="G82" s="274" t="s">
        <v>541</v>
      </c>
      <c r="H82" s="145" t="s">
        <v>1676</v>
      </c>
      <c r="I82" s="17" t="s">
        <v>777</v>
      </c>
      <c r="J82" s="17">
        <v>2.0</v>
      </c>
      <c r="K82" s="17">
        <v>2.0</v>
      </c>
      <c r="L82" s="17">
        <v>2.0</v>
      </c>
      <c r="M82" s="17">
        <v>0.0</v>
      </c>
      <c r="N82" s="17">
        <v>200000.0</v>
      </c>
      <c r="O82" s="141">
        <f t="shared" si="1"/>
        <v>400000</v>
      </c>
      <c r="P82" s="17">
        <v>20.0</v>
      </c>
      <c r="Q82" s="17">
        <v>5.0</v>
      </c>
      <c r="R82" s="17">
        <v>20.0</v>
      </c>
      <c r="S82" s="171">
        <f t="shared" si="5"/>
        <v>0</v>
      </c>
      <c r="T82" s="171">
        <f t="shared" si="6"/>
        <v>40</v>
      </c>
      <c r="U82" s="171">
        <f t="shared" si="7"/>
        <v>20</v>
      </c>
      <c r="V82" s="17">
        <v>5.0</v>
      </c>
      <c r="W82" s="171">
        <f t="shared" si="4"/>
        <v>110</v>
      </c>
      <c r="X82" s="17" t="s">
        <v>453</v>
      </c>
      <c r="Y82" s="17" t="s">
        <v>2067</v>
      </c>
      <c r="Z82" s="133" t="s">
        <v>2068</v>
      </c>
      <c r="AA82" s="134" t="str">
        <f>HYPERLINK("https://drive.google.com/file/d/1HGI8L2qQlcbK7G65kgeJtOhaBEDmCOZi/view?usp=drivesdk","PSA_Khairunnisa_292")</f>
        <v>PSA_Khairunnisa_292</v>
      </c>
      <c r="AB82" s="17" t="s">
        <v>2069</v>
      </c>
    </row>
    <row r="83">
      <c r="A83" s="149">
        <v>45793.0</v>
      </c>
      <c r="B83" s="149">
        <v>45803.0</v>
      </c>
      <c r="C83" s="168">
        <v>295.0</v>
      </c>
      <c r="D83" s="17" t="s">
        <v>2070</v>
      </c>
      <c r="E83" s="17" t="s">
        <v>2071</v>
      </c>
      <c r="F83" s="136" t="s">
        <v>2009</v>
      </c>
      <c r="G83" s="156" t="s">
        <v>541</v>
      </c>
      <c r="H83" s="145" t="s">
        <v>1676</v>
      </c>
      <c r="I83" s="17" t="s">
        <v>777</v>
      </c>
      <c r="J83" s="17">
        <v>2.0</v>
      </c>
      <c r="K83" s="17">
        <v>2.0</v>
      </c>
      <c r="L83" s="17">
        <v>2.0</v>
      </c>
      <c r="M83" s="17">
        <v>0.0</v>
      </c>
      <c r="N83" s="17">
        <v>200000.0</v>
      </c>
      <c r="O83" s="141">
        <f t="shared" si="1"/>
        <v>400000</v>
      </c>
      <c r="P83" s="17">
        <v>20.0</v>
      </c>
      <c r="Q83" s="17">
        <v>5.0</v>
      </c>
      <c r="R83" s="17">
        <v>20.0</v>
      </c>
      <c r="S83" s="171">
        <f t="shared" si="5"/>
        <v>0</v>
      </c>
      <c r="T83" s="171">
        <f t="shared" si="6"/>
        <v>40</v>
      </c>
      <c r="U83" s="171">
        <f t="shared" si="7"/>
        <v>20</v>
      </c>
      <c r="V83" s="17">
        <v>5.0</v>
      </c>
      <c r="W83" s="171">
        <f t="shared" si="4"/>
        <v>110</v>
      </c>
      <c r="X83" s="17" t="s">
        <v>453</v>
      </c>
      <c r="Y83" s="17" t="s">
        <v>2072</v>
      </c>
      <c r="Z83" s="133" t="s">
        <v>2073</v>
      </c>
      <c r="AA83" s="134" t="str">
        <f>HYPERLINK("https://drive.google.com/file/d/1eL3vxtU8Coji7Rp41K30ohq5kSpUvUcX/view?usp=drivesdk","PSA_Ravita Tia Handayani_295")</f>
        <v>PSA_Ravita Tia Handayani_295</v>
      </c>
      <c r="AB83" s="17" t="s">
        <v>2069</v>
      </c>
    </row>
    <row r="84">
      <c r="A84" s="149">
        <v>45799.0</v>
      </c>
      <c r="B84" s="149">
        <v>45803.0</v>
      </c>
      <c r="C84" s="168">
        <v>316.0</v>
      </c>
      <c r="D84" s="17" t="s">
        <v>2074</v>
      </c>
      <c r="E84" s="17" t="s">
        <v>2075</v>
      </c>
      <c r="F84" s="154" t="s">
        <v>2036</v>
      </c>
      <c r="G84" s="156" t="s">
        <v>541</v>
      </c>
      <c r="H84" s="145" t="s">
        <v>1676</v>
      </c>
      <c r="I84" s="17" t="s">
        <v>777</v>
      </c>
      <c r="J84" s="17">
        <v>2.0</v>
      </c>
      <c r="K84" s="17">
        <v>2.0</v>
      </c>
      <c r="L84" s="17">
        <v>2.0</v>
      </c>
      <c r="M84" s="17">
        <v>0.0</v>
      </c>
      <c r="N84" s="17">
        <v>200000.0</v>
      </c>
      <c r="O84" s="141">
        <f t="shared" si="1"/>
        <v>400000</v>
      </c>
      <c r="P84" s="17">
        <v>20.0</v>
      </c>
      <c r="Q84" s="17">
        <v>0.0</v>
      </c>
      <c r="R84" s="17">
        <v>0.0</v>
      </c>
      <c r="S84" s="171">
        <f t="shared" si="5"/>
        <v>0</v>
      </c>
      <c r="T84" s="171">
        <f t="shared" si="6"/>
        <v>40</v>
      </c>
      <c r="U84" s="171">
        <f t="shared" si="7"/>
        <v>20</v>
      </c>
      <c r="V84" s="17">
        <v>5.0</v>
      </c>
      <c r="W84" s="171">
        <f t="shared" si="4"/>
        <v>85</v>
      </c>
      <c r="X84" s="17" t="s">
        <v>453</v>
      </c>
      <c r="Y84" s="17" t="s">
        <v>2076</v>
      </c>
      <c r="Z84" s="133" t="s">
        <v>2077</v>
      </c>
      <c r="AA84" s="134" t="str">
        <f>HYPERLINK("https://drive.google.com/file/d/1r8fCfLxSSq_U0mPpBHfwt5fOnz4l-ReD/view?usp=drivesdk","PSA_Rizqon Farisi_316")</f>
        <v>PSA_Rizqon Farisi_316</v>
      </c>
      <c r="AB84" s="17" t="s">
        <v>2078</v>
      </c>
    </row>
    <row r="85">
      <c r="A85" s="149">
        <v>45800.0</v>
      </c>
      <c r="B85" s="149">
        <v>45803.0</v>
      </c>
      <c r="C85" s="168">
        <v>318.0</v>
      </c>
      <c r="D85" s="17" t="s">
        <v>2034</v>
      </c>
      <c r="E85" s="17" t="s">
        <v>2035</v>
      </c>
      <c r="F85" s="154" t="s">
        <v>2036</v>
      </c>
      <c r="G85" s="156" t="s">
        <v>541</v>
      </c>
      <c r="H85" s="17" t="s">
        <v>1682</v>
      </c>
      <c r="I85" s="17" t="s">
        <v>777</v>
      </c>
      <c r="J85" s="17">
        <v>1.0</v>
      </c>
      <c r="K85" s="17">
        <v>2.0</v>
      </c>
      <c r="L85" s="17">
        <v>1.0</v>
      </c>
      <c r="M85" s="17">
        <v>1.0</v>
      </c>
      <c r="N85" s="17">
        <v>200000.0</v>
      </c>
      <c r="O85" s="141">
        <f t="shared" si="1"/>
        <v>200000</v>
      </c>
      <c r="P85" s="17">
        <v>20.0</v>
      </c>
      <c r="Q85" s="17">
        <v>0.0</v>
      </c>
      <c r="R85" s="17">
        <v>0.0</v>
      </c>
      <c r="S85" s="171">
        <f t="shared" si="5"/>
        <v>20</v>
      </c>
      <c r="T85" s="171">
        <f t="shared" si="6"/>
        <v>20</v>
      </c>
      <c r="U85" s="171">
        <f t="shared" si="7"/>
        <v>20</v>
      </c>
      <c r="V85" s="17">
        <v>5.0</v>
      </c>
      <c r="W85" s="171">
        <f t="shared" si="4"/>
        <v>85</v>
      </c>
      <c r="X85" s="17" t="s">
        <v>453</v>
      </c>
      <c r="Y85" s="17" t="s">
        <v>2079</v>
      </c>
      <c r="Z85" s="133" t="s">
        <v>2080</v>
      </c>
      <c r="AA85" s="134" t="str">
        <f>HYPERLINK("https://drive.google.com/file/d/1vx4guOVVyb_GJQM86SJo99wHT6ur5wkX/view?usp=drivesdk","PSA_Rischa Oktaviana Christy P_318")</f>
        <v>PSA_Rischa Oktaviana Christy P_318</v>
      </c>
      <c r="AB85" s="17" t="s">
        <v>2078</v>
      </c>
    </row>
    <row r="86">
      <c r="A86" s="149">
        <v>45793.0</v>
      </c>
      <c r="B86" s="149">
        <v>45803.0</v>
      </c>
      <c r="C86" s="168">
        <v>296.0</v>
      </c>
      <c r="D86" s="17" t="s">
        <v>2081</v>
      </c>
      <c r="E86" s="17" t="s">
        <v>2082</v>
      </c>
      <c r="F86" s="136" t="s">
        <v>2009</v>
      </c>
      <c r="G86" s="156" t="s">
        <v>541</v>
      </c>
      <c r="H86" s="145" t="s">
        <v>1676</v>
      </c>
      <c r="I86" s="17" t="s">
        <v>777</v>
      </c>
      <c r="J86" s="17">
        <v>3.0</v>
      </c>
      <c r="K86" s="17">
        <v>3.0</v>
      </c>
      <c r="L86" s="17">
        <v>3.0</v>
      </c>
      <c r="M86" s="17">
        <v>0.0</v>
      </c>
      <c r="N86" s="17">
        <v>200000.0</v>
      </c>
      <c r="O86" s="141">
        <f t="shared" si="1"/>
        <v>600000</v>
      </c>
      <c r="P86" s="17">
        <v>20.0</v>
      </c>
      <c r="Q86" s="17">
        <v>0.0</v>
      </c>
      <c r="R86" s="17">
        <v>30.0</v>
      </c>
      <c r="S86" s="171">
        <f t="shared" si="5"/>
        <v>0</v>
      </c>
      <c r="T86" s="171">
        <f t="shared" si="6"/>
        <v>60</v>
      </c>
      <c r="U86" s="171">
        <f t="shared" si="7"/>
        <v>30</v>
      </c>
      <c r="V86" s="17">
        <v>5.0</v>
      </c>
      <c r="W86" s="171">
        <f t="shared" si="4"/>
        <v>145</v>
      </c>
      <c r="X86" s="17" t="s">
        <v>453</v>
      </c>
      <c r="Y86" s="17" t="s">
        <v>2083</v>
      </c>
      <c r="Z86" s="133" t="s">
        <v>2084</v>
      </c>
      <c r="AA86" s="134" t="str">
        <f>HYPERLINK("https://drive.google.com/file/d/1Hb5z0qM3NY1NDy43XJVIO2FQ5jPGdTjc/view?usp=drivesdk","PSA_Kuni Kamaliyah_296")</f>
        <v>PSA_Kuni Kamaliyah_296</v>
      </c>
      <c r="AB86" s="17" t="s">
        <v>2085</v>
      </c>
    </row>
    <row r="87">
      <c r="A87" s="149">
        <v>45796.0</v>
      </c>
      <c r="B87" s="149">
        <v>45800.0</v>
      </c>
      <c r="C87" s="168">
        <v>302.0</v>
      </c>
      <c r="D87" s="17" t="s">
        <v>1934</v>
      </c>
      <c r="E87" s="17" t="s">
        <v>155</v>
      </c>
      <c r="F87" s="17" t="s">
        <v>155</v>
      </c>
      <c r="G87" s="156" t="s">
        <v>541</v>
      </c>
      <c r="H87" s="145" t="s">
        <v>1676</v>
      </c>
      <c r="I87" s="17" t="s">
        <v>777</v>
      </c>
      <c r="J87" s="17">
        <v>2.0</v>
      </c>
      <c r="K87" s="17">
        <v>2.0</v>
      </c>
      <c r="L87" s="17">
        <v>2.0</v>
      </c>
      <c r="M87" s="17">
        <v>0.0</v>
      </c>
      <c r="N87" s="17">
        <v>200000.0</v>
      </c>
      <c r="O87" s="141">
        <f t="shared" si="1"/>
        <v>400000</v>
      </c>
      <c r="P87" s="17">
        <v>20.0</v>
      </c>
      <c r="Q87" s="17">
        <v>0.0</v>
      </c>
      <c r="R87" s="17">
        <v>20.0</v>
      </c>
      <c r="S87" s="171">
        <f t="shared" si="5"/>
        <v>0</v>
      </c>
      <c r="T87" s="171">
        <f t="shared" si="6"/>
        <v>40</v>
      </c>
      <c r="U87" s="171">
        <f t="shared" si="7"/>
        <v>20</v>
      </c>
      <c r="V87" s="17">
        <v>5.0</v>
      </c>
      <c r="W87" s="171">
        <f t="shared" si="4"/>
        <v>105</v>
      </c>
      <c r="X87" s="17" t="s">
        <v>453</v>
      </c>
      <c r="Y87" s="17" t="s">
        <v>2086</v>
      </c>
      <c r="Z87" s="133" t="s">
        <v>2087</v>
      </c>
      <c r="AA87" s="134" t="str">
        <f>HYPERLINK("https://drive.google.com/file/d/1ubWZ1PA-kGnhynEvpUZ8VTODoh2GMimt/view?usp=drivesdk","PSA_PT Ifars_302")</f>
        <v>PSA_PT Ifars_302</v>
      </c>
      <c r="AB87" s="17" t="s">
        <v>2085</v>
      </c>
    </row>
    <row r="88">
      <c r="A88" s="149">
        <v>45799.0</v>
      </c>
      <c r="B88" s="149">
        <v>45800.0</v>
      </c>
      <c r="C88" s="168">
        <v>313.0</v>
      </c>
      <c r="D88" s="17" t="s">
        <v>2088</v>
      </c>
      <c r="E88" s="17">
        <v>2.02108053E8</v>
      </c>
      <c r="F88" s="17" t="s">
        <v>2089</v>
      </c>
      <c r="G88" s="156" t="s">
        <v>541</v>
      </c>
      <c r="H88" s="17" t="s">
        <v>1682</v>
      </c>
      <c r="I88" s="17" t="s">
        <v>777</v>
      </c>
      <c r="J88" s="17">
        <v>1.0</v>
      </c>
      <c r="K88" s="17">
        <v>2.0</v>
      </c>
      <c r="L88" s="17">
        <v>1.0</v>
      </c>
      <c r="M88" s="17">
        <v>1.0</v>
      </c>
      <c r="N88" s="17">
        <v>200000.0</v>
      </c>
      <c r="O88" s="141">
        <f t="shared" si="1"/>
        <v>200000</v>
      </c>
      <c r="P88" s="17">
        <v>20.0</v>
      </c>
      <c r="Q88" s="17">
        <v>0.0</v>
      </c>
      <c r="R88" s="17">
        <v>0.0</v>
      </c>
      <c r="S88" s="171">
        <f t="shared" si="5"/>
        <v>20</v>
      </c>
      <c r="T88" s="171">
        <f t="shared" si="6"/>
        <v>20</v>
      </c>
      <c r="U88" s="171">
        <f t="shared" si="7"/>
        <v>20</v>
      </c>
      <c r="V88" s="17">
        <v>5.0</v>
      </c>
      <c r="W88" s="171">
        <f t="shared" si="4"/>
        <v>85</v>
      </c>
      <c r="X88" s="17" t="s">
        <v>453</v>
      </c>
      <c r="Y88" s="17" t="s">
        <v>2090</v>
      </c>
      <c r="Z88" s="133" t="s">
        <v>2091</v>
      </c>
      <c r="AA88" s="134" t="str">
        <f>HYPERLINK("https://drive.google.com/file/d/1kd02KfEfb2Mvvuj09Jli6uG-NiRAmnb1/view?usp=drivesdk","PSA_Talika Alunk Henrirallez_313")</f>
        <v>PSA_Talika Alunk Henrirallez_313</v>
      </c>
      <c r="AB88" s="17" t="s">
        <v>2085</v>
      </c>
    </row>
    <row r="89">
      <c r="A89" s="149">
        <v>45799.0</v>
      </c>
      <c r="B89" s="149">
        <v>45800.0</v>
      </c>
      <c r="C89" s="168">
        <v>314.0</v>
      </c>
      <c r="D89" s="17" t="s">
        <v>2092</v>
      </c>
      <c r="E89" s="17">
        <v>2.0210805E8</v>
      </c>
      <c r="F89" s="17" t="s">
        <v>2089</v>
      </c>
      <c r="G89" s="156" t="s">
        <v>541</v>
      </c>
      <c r="H89" s="17" t="s">
        <v>1682</v>
      </c>
      <c r="I89" s="17" t="s">
        <v>777</v>
      </c>
      <c r="J89" s="17">
        <v>1.0</v>
      </c>
      <c r="K89" s="17">
        <v>2.0</v>
      </c>
      <c r="L89" s="17">
        <v>1.0</v>
      </c>
      <c r="M89" s="17">
        <v>1.0</v>
      </c>
      <c r="N89" s="17">
        <v>200000.0</v>
      </c>
      <c r="O89" s="141">
        <f t="shared" si="1"/>
        <v>200000</v>
      </c>
      <c r="P89" s="17">
        <v>20.0</v>
      </c>
      <c r="Q89" s="17">
        <v>0.0</v>
      </c>
      <c r="R89" s="17">
        <v>0.0</v>
      </c>
      <c r="S89" s="171">
        <f t="shared" si="5"/>
        <v>20</v>
      </c>
      <c r="T89" s="171">
        <f t="shared" si="6"/>
        <v>20</v>
      </c>
      <c r="U89" s="171">
        <f t="shared" si="7"/>
        <v>20</v>
      </c>
      <c r="V89" s="17">
        <v>5.0</v>
      </c>
      <c r="W89" s="171">
        <f t="shared" si="4"/>
        <v>85</v>
      </c>
      <c r="X89" s="17" t="s">
        <v>453</v>
      </c>
      <c r="Y89" s="17" t="s">
        <v>2093</v>
      </c>
      <c r="Z89" s="133" t="s">
        <v>2094</v>
      </c>
      <c r="AA89" s="134" t="str">
        <f>HYPERLINK("https://drive.google.com/file/d/1cxBrPIBnkqhnTEPWhh-QY-DSFKX6xoXZ/view?usp=drivesdk","PSA_Sugiarti_314")</f>
        <v>PSA_Sugiarti_314</v>
      </c>
      <c r="AB89" s="17" t="s">
        <v>2085</v>
      </c>
    </row>
    <row r="90">
      <c r="A90" s="149">
        <v>45800.0</v>
      </c>
      <c r="B90" s="149">
        <v>45800.0</v>
      </c>
      <c r="C90" s="168">
        <v>319.0</v>
      </c>
      <c r="D90" s="17" t="s">
        <v>2039</v>
      </c>
      <c r="E90" s="17" t="s">
        <v>2040</v>
      </c>
      <c r="F90" s="154" t="s">
        <v>2036</v>
      </c>
      <c r="G90" s="156" t="s">
        <v>541</v>
      </c>
      <c r="H90" s="17" t="s">
        <v>1682</v>
      </c>
      <c r="I90" s="17" t="s">
        <v>777</v>
      </c>
      <c r="J90" s="17">
        <v>1.0</v>
      </c>
      <c r="K90" s="17">
        <v>2.0</v>
      </c>
      <c r="L90" s="17">
        <v>1.0</v>
      </c>
      <c r="M90" s="17">
        <v>1.0</v>
      </c>
      <c r="N90" s="17">
        <v>200000.0</v>
      </c>
      <c r="O90" s="141">
        <f t="shared" si="1"/>
        <v>200000</v>
      </c>
      <c r="P90" s="17">
        <v>20.0</v>
      </c>
      <c r="Q90" s="17">
        <v>0.0</v>
      </c>
      <c r="R90" s="17">
        <v>0.0</v>
      </c>
      <c r="S90" s="171">
        <f t="shared" si="5"/>
        <v>20</v>
      </c>
      <c r="T90" s="171">
        <f t="shared" si="6"/>
        <v>20</v>
      </c>
      <c r="U90" s="171">
        <f t="shared" si="7"/>
        <v>20</v>
      </c>
      <c r="V90" s="17">
        <v>5.0</v>
      </c>
      <c r="W90" s="171">
        <f t="shared" si="4"/>
        <v>85</v>
      </c>
      <c r="X90" s="17" t="s">
        <v>453</v>
      </c>
      <c r="Y90" s="17" t="s">
        <v>2095</v>
      </c>
      <c r="Z90" s="133" t="s">
        <v>2096</v>
      </c>
      <c r="AA90" s="134" t="str">
        <f>HYPERLINK("https://drive.google.com/file/d/1c3Ir-_sdkoNfaBEhe-6zwkQKRnd5hPIS/view?usp=drivesdk","PSA_Rafida Laili Pujiandari_319")</f>
        <v>PSA_Rafida Laili Pujiandari_319</v>
      </c>
      <c r="AB90" s="17" t="s">
        <v>2085</v>
      </c>
    </row>
    <row r="91">
      <c r="A91" s="149">
        <v>45804.0</v>
      </c>
      <c r="B91" s="149">
        <v>45803.0</v>
      </c>
      <c r="C91" s="168">
        <v>325.0</v>
      </c>
      <c r="D91" s="17" t="s">
        <v>2097</v>
      </c>
      <c r="E91" s="17" t="s">
        <v>155</v>
      </c>
      <c r="F91" s="17" t="s">
        <v>155</v>
      </c>
      <c r="G91" s="156" t="s">
        <v>541</v>
      </c>
      <c r="H91" s="145" t="s">
        <v>1676</v>
      </c>
      <c r="I91" s="17" t="s">
        <v>1051</v>
      </c>
      <c r="J91" s="17">
        <v>1.0</v>
      </c>
      <c r="K91" s="17">
        <v>1.0</v>
      </c>
      <c r="L91" s="17">
        <v>1.0</v>
      </c>
      <c r="M91" s="17">
        <v>0.0</v>
      </c>
      <c r="N91" s="17">
        <v>200000.0</v>
      </c>
      <c r="O91" s="141">
        <f t="shared" si="1"/>
        <v>200000</v>
      </c>
      <c r="P91" s="17">
        <v>20.0</v>
      </c>
      <c r="Q91" s="17">
        <v>0.0</v>
      </c>
      <c r="R91" s="17">
        <v>30.0</v>
      </c>
      <c r="S91" s="171">
        <f t="shared" si="5"/>
        <v>0</v>
      </c>
      <c r="T91" s="171">
        <f t="shared" si="6"/>
        <v>20</v>
      </c>
      <c r="U91" s="171">
        <f t="shared" si="7"/>
        <v>10</v>
      </c>
      <c r="V91" s="17">
        <v>5.0</v>
      </c>
      <c r="W91" s="171">
        <f t="shared" si="4"/>
        <v>85</v>
      </c>
      <c r="X91" s="17" t="s">
        <v>453</v>
      </c>
      <c r="Y91" s="17" t="s">
        <v>2098</v>
      </c>
      <c r="Z91" s="133" t="s">
        <v>2099</v>
      </c>
      <c r="AA91" s="134" t="str">
        <f>HYPERLINK("https://drive.google.com/file/d/1FMQjId6QYkKoVXLTsTbVN2sHyQXEJ0Y3/view?usp=drivesdk","PSA_Cendikia N H_325")</f>
        <v>PSA_Cendikia N H_325</v>
      </c>
      <c r="AB91" s="17" t="s">
        <v>2085</v>
      </c>
    </row>
    <row r="92">
      <c r="A92" s="149">
        <v>45805.0</v>
      </c>
      <c r="B92" s="149">
        <v>45819.0</v>
      </c>
      <c r="C92" s="168">
        <v>345.0</v>
      </c>
      <c r="D92" s="17" t="s">
        <v>792</v>
      </c>
      <c r="E92" s="17" t="s">
        <v>793</v>
      </c>
      <c r="F92" s="17" t="s">
        <v>799</v>
      </c>
      <c r="G92" s="17" t="s">
        <v>541</v>
      </c>
      <c r="H92" s="17" t="s">
        <v>1676</v>
      </c>
      <c r="I92" s="17" t="s">
        <v>1051</v>
      </c>
      <c r="J92" s="17">
        <v>3.0</v>
      </c>
      <c r="K92" s="17">
        <v>3.0</v>
      </c>
      <c r="L92" s="17">
        <v>3.0</v>
      </c>
      <c r="M92" s="17">
        <v>0.0</v>
      </c>
      <c r="N92" s="17">
        <v>200000.0</v>
      </c>
      <c r="O92" s="141">
        <f t="shared" si="1"/>
        <v>600000</v>
      </c>
      <c r="P92" s="17">
        <v>20.0</v>
      </c>
      <c r="Q92" s="17">
        <v>0.0</v>
      </c>
      <c r="R92" s="17">
        <v>30.0</v>
      </c>
      <c r="S92" s="171">
        <f t="shared" si="5"/>
        <v>0</v>
      </c>
      <c r="T92" s="171">
        <f t="shared" si="6"/>
        <v>60</v>
      </c>
      <c r="U92" s="171">
        <f t="shared" si="7"/>
        <v>30</v>
      </c>
      <c r="V92" s="17">
        <v>5.0</v>
      </c>
      <c r="W92" s="171">
        <f t="shared" si="4"/>
        <v>145</v>
      </c>
      <c r="X92" s="17" t="s">
        <v>453</v>
      </c>
      <c r="Y92" s="17" t="s">
        <v>2100</v>
      </c>
      <c r="Z92" s="133" t="s">
        <v>2101</v>
      </c>
      <c r="AA92" s="134" t="str">
        <f>HYPERLINK("https://drive.google.com/file/d/1DSg-udFv7E-lbsyEWGHVYY-iC2DwoonG/view?usp=drivesdk","PSA_Citra Nurlaela R_345")</f>
        <v>PSA_Citra Nurlaela R_345</v>
      </c>
      <c r="AB92" s="17" t="s">
        <v>2102</v>
      </c>
    </row>
    <row r="93">
      <c r="A93" s="149">
        <v>45812.0</v>
      </c>
      <c r="B93" s="149">
        <v>45819.0</v>
      </c>
      <c r="C93" s="168">
        <v>365.0</v>
      </c>
      <c r="D93" s="17" t="s">
        <v>2103</v>
      </c>
      <c r="E93" s="17" t="s">
        <v>2104</v>
      </c>
      <c r="F93" s="17" t="s">
        <v>1132</v>
      </c>
      <c r="G93" s="17" t="s">
        <v>621</v>
      </c>
      <c r="H93" s="17" t="s">
        <v>1682</v>
      </c>
      <c r="I93" s="17" t="s">
        <v>2105</v>
      </c>
      <c r="J93" s="17">
        <v>1.0</v>
      </c>
      <c r="K93" s="17">
        <v>2.0</v>
      </c>
      <c r="L93" s="17">
        <v>1.0</v>
      </c>
      <c r="M93" s="17">
        <v>1.0</v>
      </c>
      <c r="N93" s="17">
        <v>400000.0</v>
      </c>
      <c r="O93" s="141">
        <f t="shared" si="1"/>
        <v>400000</v>
      </c>
      <c r="P93" s="17">
        <v>20.0</v>
      </c>
      <c r="Q93" s="17">
        <v>0.0</v>
      </c>
      <c r="R93" s="17">
        <v>10.0</v>
      </c>
      <c r="S93" s="171">
        <f t="shared" si="5"/>
        <v>20</v>
      </c>
      <c r="T93" s="171">
        <f t="shared" si="6"/>
        <v>20</v>
      </c>
      <c r="U93" s="171">
        <f t="shared" si="7"/>
        <v>20</v>
      </c>
      <c r="V93" s="17">
        <v>5.0</v>
      </c>
      <c r="W93" s="171">
        <f t="shared" si="4"/>
        <v>95</v>
      </c>
      <c r="X93" s="17" t="s">
        <v>453</v>
      </c>
      <c r="Y93" s="17" t="s">
        <v>2106</v>
      </c>
      <c r="Z93" s="133" t="s">
        <v>2107</v>
      </c>
      <c r="AA93" s="134" t="str">
        <f>HYPERLINK("https://drive.google.com/file/d/1nEMzIGWFbzJLL_lh6b0hXD3fbARTBeq3/view?usp=drivesdk","PSA_Rizka Widya Maharani_365")</f>
        <v>PSA_Rizka Widya Maharani_365</v>
      </c>
      <c r="AB93" s="17" t="s">
        <v>2102</v>
      </c>
    </row>
    <row r="94">
      <c r="A94" s="149">
        <v>45805.0</v>
      </c>
      <c r="B94" s="149">
        <v>45819.0</v>
      </c>
      <c r="C94" s="168">
        <v>347.0</v>
      </c>
      <c r="D94" s="17" t="s">
        <v>2108</v>
      </c>
      <c r="E94" s="17" t="s">
        <v>2109</v>
      </c>
      <c r="F94" s="17" t="s">
        <v>799</v>
      </c>
      <c r="G94" s="17" t="s">
        <v>621</v>
      </c>
      <c r="H94" s="17" t="s">
        <v>1676</v>
      </c>
      <c r="I94" s="17" t="s">
        <v>1051</v>
      </c>
      <c r="J94" s="17">
        <v>8.0</v>
      </c>
      <c r="K94" s="17">
        <v>8.0</v>
      </c>
      <c r="L94" s="17">
        <v>8.0</v>
      </c>
      <c r="M94" s="17">
        <v>0.0</v>
      </c>
      <c r="N94" s="17">
        <v>200000.0</v>
      </c>
      <c r="O94" s="141">
        <f t="shared" si="1"/>
        <v>1600000</v>
      </c>
      <c r="P94" s="17">
        <v>20.0</v>
      </c>
      <c r="Q94" s="17">
        <v>0.0</v>
      </c>
      <c r="R94" s="17">
        <v>30.0</v>
      </c>
      <c r="S94" s="171">
        <f t="shared" si="5"/>
        <v>0</v>
      </c>
      <c r="T94" s="171">
        <f t="shared" si="6"/>
        <v>160</v>
      </c>
      <c r="U94" s="171">
        <f t="shared" si="7"/>
        <v>80</v>
      </c>
      <c r="V94" s="17">
        <v>5.0</v>
      </c>
      <c r="W94" s="171">
        <f t="shared" si="4"/>
        <v>295</v>
      </c>
      <c r="X94" s="17" t="s">
        <v>453</v>
      </c>
      <c r="Y94" s="17" t="s">
        <v>2110</v>
      </c>
      <c r="Z94" s="133" t="s">
        <v>2111</v>
      </c>
      <c r="AA94" s="134" t="str">
        <f>HYPERLINK("https://drive.google.com/file/d/1VvPMwhbRXuLws5BjtcVKqIpNfuSY7Qse/view?usp=drivesdk","PSA_Rizqi Apriliyani_347")</f>
        <v>PSA_Rizqi Apriliyani_347</v>
      </c>
      <c r="AB94" s="17" t="s">
        <v>2112</v>
      </c>
    </row>
    <row r="95">
      <c r="A95" s="149">
        <v>45826.0</v>
      </c>
      <c r="B95" s="149">
        <v>45828.0</v>
      </c>
      <c r="C95" s="168">
        <v>419.0</v>
      </c>
      <c r="D95" s="17" t="s">
        <v>2113</v>
      </c>
      <c r="E95" s="17" t="s">
        <v>2114</v>
      </c>
      <c r="F95" s="17" t="s">
        <v>2020</v>
      </c>
      <c r="G95" s="17" t="s">
        <v>541</v>
      </c>
      <c r="H95" s="17" t="s">
        <v>1698</v>
      </c>
      <c r="I95" s="17" t="s">
        <v>1051</v>
      </c>
      <c r="J95" s="17">
        <v>4.0</v>
      </c>
      <c r="K95" s="17">
        <v>4.0</v>
      </c>
      <c r="L95" s="17">
        <v>0.0</v>
      </c>
      <c r="M95" s="17">
        <v>4.0</v>
      </c>
      <c r="N95" s="17">
        <v>200000.0</v>
      </c>
      <c r="O95" s="141">
        <f t="shared" si="1"/>
        <v>800000</v>
      </c>
      <c r="P95" s="17">
        <v>20.0</v>
      </c>
      <c r="Q95" s="17">
        <v>0.0</v>
      </c>
      <c r="R95" s="17">
        <v>40.0</v>
      </c>
      <c r="S95" s="171">
        <f t="shared" si="5"/>
        <v>80</v>
      </c>
      <c r="T95" s="171">
        <f t="shared" si="6"/>
        <v>0</v>
      </c>
      <c r="U95" s="171">
        <f t="shared" si="7"/>
        <v>40</v>
      </c>
      <c r="V95" s="17">
        <v>5.0</v>
      </c>
      <c r="W95" s="171">
        <f t="shared" si="4"/>
        <v>185</v>
      </c>
      <c r="X95" s="17" t="s">
        <v>453</v>
      </c>
      <c r="Y95" s="17" t="s">
        <v>2115</v>
      </c>
      <c r="Z95" s="133" t="s">
        <v>2116</v>
      </c>
      <c r="AA95" s="134" t="str">
        <f>HYPERLINK("https://drive.google.com/file/d/1BCZH-ugdC3G2pHP2V0Wivo9BC3D3BgBi/view?usp=drivesdk","PSA_Farrel Yoga_419")</f>
        <v>PSA_Farrel Yoga_419</v>
      </c>
      <c r="AB95" s="17" t="s">
        <v>2117</v>
      </c>
    </row>
    <row r="96">
      <c r="A96" s="149">
        <v>45824.0</v>
      </c>
      <c r="B96" s="149">
        <v>45828.0</v>
      </c>
      <c r="C96" s="168">
        <v>403.0</v>
      </c>
      <c r="D96" s="17" t="s">
        <v>2118</v>
      </c>
      <c r="E96" s="17" t="s">
        <v>2119</v>
      </c>
      <c r="F96" s="17" t="s">
        <v>799</v>
      </c>
      <c r="G96" s="17" t="s">
        <v>541</v>
      </c>
      <c r="H96" s="17" t="s">
        <v>1682</v>
      </c>
      <c r="I96" s="17" t="s">
        <v>1051</v>
      </c>
      <c r="J96" s="17">
        <v>1.0</v>
      </c>
      <c r="K96" s="17">
        <v>2.0</v>
      </c>
      <c r="L96" s="17">
        <v>1.0</v>
      </c>
      <c r="M96" s="17">
        <v>1.0</v>
      </c>
      <c r="N96" s="17">
        <v>400000.0</v>
      </c>
      <c r="O96" s="141">
        <f t="shared" si="1"/>
        <v>400000</v>
      </c>
      <c r="P96" s="17">
        <v>20.0</v>
      </c>
      <c r="Q96" s="17">
        <v>0.0</v>
      </c>
      <c r="R96" s="17">
        <v>20.0</v>
      </c>
      <c r="S96" s="171">
        <f t="shared" si="5"/>
        <v>20</v>
      </c>
      <c r="T96" s="171">
        <f t="shared" si="6"/>
        <v>20</v>
      </c>
      <c r="U96" s="171">
        <f t="shared" si="7"/>
        <v>20</v>
      </c>
      <c r="V96" s="17">
        <v>5.0</v>
      </c>
      <c r="W96" s="171">
        <f t="shared" si="4"/>
        <v>105</v>
      </c>
      <c r="X96" s="17" t="s">
        <v>453</v>
      </c>
      <c r="Y96" s="17" t="s">
        <v>2120</v>
      </c>
      <c r="Z96" s="133" t="s">
        <v>2121</v>
      </c>
      <c r="AA96" s="134" t="str">
        <f>HYPERLINK("https://drive.google.com/file/d/1Ogt6GSXUxovq7JpyTnQYeelFPhT0OSWJ/view?usp=drivesdk","PSA_Revian Alifino Revaza_403")</f>
        <v>PSA_Revian Alifino Revaza_403</v>
      </c>
      <c r="AB96" s="17" t="s">
        <v>2117</v>
      </c>
    </row>
    <row r="97">
      <c r="A97" s="149">
        <v>45828.0</v>
      </c>
      <c r="B97" s="149">
        <v>45828.0</v>
      </c>
      <c r="C97" s="168">
        <v>427.0</v>
      </c>
      <c r="D97" s="17" t="s">
        <v>2122</v>
      </c>
      <c r="E97" s="17" t="s">
        <v>155</v>
      </c>
      <c r="F97" s="17" t="s">
        <v>155</v>
      </c>
      <c r="G97" s="17" t="s">
        <v>541</v>
      </c>
      <c r="H97" s="17" t="s">
        <v>1676</v>
      </c>
      <c r="I97" s="17" t="s">
        <v>1051</v>
      </c>
      <c r="J97" s="17">
        <v>1.0</v>
      </c>
      <c r="K97" s="17">
        <v>1.0</v>
      </c>
      <c r="L97" s="17">
        <v>1.0</v>
      </c>
      <c r="M97" s="17">
        <v>0.0</v>
      </c>
      <c r="N97" s="17">
        <v>300000.0</v>
      </c>
      <c r="O97" s="141">
        <f t="shared" si="1"/>
        <v>300000</v>
      </c>
      <c r="P97" s="17">
        <v>20.0</v>
      </c>
      <c r="Q97" s="17">
        <v>0.0</v>
      </c>
      <c r="R97" s="17">
        <v>10.0</v>
      </c>
      <c r="S97" s="171">
        <f t="shared" si="5"/>
        <v>0</v>
      </c>
      <c r="T97" s="171">
        <f t="shared" si="6"/>
        <v>20</v>
      </c>
      <c r="U97" s="171">
        <f t="shared" si="7"/>
        <v>10</v>
      </c>
      <c r="V97" s="17">
        <v>5.0</v>
      </c>
      <c r="W97" s="171">
        <f t="shared" si="4"/>
        <v>65</v>
      </c>
      <c r="X97" s="17" t="s">
        <v>453</v>
      </c>
      <c r="Y97" s="17" t="s">
        <v>2123</v>
      </c>
      <c r="Z97" s="133" t="s">
        <v>2124</v>
      </c>
      <c r="AA97" s="134" t="str">
        <f>HYPERLINK("https://drive.google.com/file/d/1w-sQt643a6kXUtbuiX0VhSChAt0ZutY3/view?usp=drivesdk","PSA_Dianita W_427")</f>
        <v>PSA_Dianita W_427</v>
      </c>
      <c r="AB97" s="17" t="s">
        <v>2125</v>
      </c>
    </row>
    <row r="98">
      <c r="A98" s="149">
        <v>45821.0</v>
      </c>
      <c r="B98" s="149">
        <v>45828.0</v>
      </c>
      <c r="C98" s="168">
        <v>392.0</v>
      </c>
      <c r="D98" s="17" t="s">
        <v>2103</v>
      </c>
      <c r="E98" s="17" t="s">
        <v>2104</v>
      </c>
      <c r="F98" s="17" t="s">
        <v>1132</v>
      </c>
      <c r="G98" s="17" t="s">
        <v>621</v>
      </c>
      <c r="H98" s="17" t="s">
        <v>1682</v>
      </c>
      <c r="I98" s="17" t="s">
        <v>1051</v>
      </c>
      <c r="J98" s="17">
        <v>1.0</v>
      </c>
      <c r="K98" s="17">
        <v>2.0</v>
      </c>
      <c r="L98" s="17">
        <v>1.0</v>
      </c>
      <c r="M98" s="17">
        <v>1.0</v>
      </c>
      <c r="N98" s="17">
        <v>400000.0</v>
      </c>
      <c r="O98" s="141">
        <f t="shared" si="1"/>
        <v>400000</v>
      </c>
      <c r="P98" s="17">
        <v>20.0</v>
      </c>
      <c r="Q98" s="17">
        <v>0.0</v>
      </c>
      <c r="R98" s="17">
        <v>20.0</v>
      </c>
      <c r="S98" s="171">
        <f t="shared" si="5"/>
        <v>20</v>
      </c>
      <c r="T98" s="171">
        <f t="shared" si="6"/>
        <v>20</v>
      </c>
      <c r="U98" s="171">
        <f t="shared" si="7"/>
        <v>20</v>
      </c>
      <c r="V98" s="17">
        <v>5.0</v>
      </c>
      <c r="W98" s="171">
        <f t="shared" si="4"/>
        <v>105</v>
      </c>
      <c r="X98" s="17" t="s">
        <v>453</v>
      </c>
      <c r="Y98" s="17" t="s">
        <v>2126</v>
      </c>
      <c r="Z98" s="133" t="s">
        <v>2127</v>
      </c>
      <c r="AA98" s="134" t="str">
        <f>HYPERLINK("https://drive.google.com/file/d/1MHQg1jeMHrwC21VESBXf8l9MUFvq86hT/view?usp=drivesdk","PSA_Rizka Widya Maharani_392")</f>
        <v>PSA_Rizka Widya Maharani_392</v>
      </c>
      <c r="AB98" s="17" t="s">
        <v>2125</v>
      </c>
    </row>
    <row r="99">
      <c r="A99" s="149">
        <v>45831.0</v>
      </c>
      <c r="B99" s="149">
        <v>45834.0</v>
      </c>
      <c r="C99" s="168">
        <v>430.0</v>
      </c>
      <c r="D99" s="17" t="s">
        <v>629</v>
      </c>
      <c r="E99" s="17" t="s">
        <v>630</v>
      </c>
      <c r="F99" s="17" t="s">
        <v>1751</v>
      </c>
      <c r="G99" s="17" t="s">
        <v>541</v>
      </c>
      <c r="H99" s="17" t="s">
        <v>1676</v>
      </c>
      <c r="I99" s="17" t="s">
        <v>777</v>
      </c>
      <c r="J99" s="17">
        <v>6.0</v>
      </c>
      <c r="K99" s="17">
        <v>6.0</v>
      </c>
      <c r="L99" s="17">
        <v>6.0</v>
      </c>
      <c r="M99" s="17">
        <v>0.0</v>
      </c>
      <c r="N99" s="17">
        <v>200000.0</v>
      </c>
      <c r="O99" s="141">
        <f t="shared" si="1"/>
        <v>1200000</v>
      </c>
      <c r="P99" s="17">
        <v>20.0</v>
      </c>
      <c r="Q99" s="17">
        <v>0.0</v>
      </c>
      <c r="R99" s="17">
        <v>50.0</v>
      </c>
      <c r="S99" s="171">
        <f t="shared" si="5"/>
        <v>0</v>
      </c>
      <c r="T99" s="171">
        <f t="shared" si="6"/>
        <v>120</v>
      </c>
      <c r="U99" s="171">
        <f t="shared" si="7"/>
        <v>60</v>
      </c>
      <c r="V99" s="17">
        <v>5.0</v>
      </c>
      <c r="W99" s="171">
        <f t="shared" si="4"/>
        <v>255</v>
      </c>
      <c r="X99" s="17" t="s">
        <v>453</v>
      </c>
      <c r="Y99" s="17" t="s">
        <v>2128</v>
      </c>
      <c r="Z99" s="133" t="s">
        <v>2129</v>
      </c>
      <c r="AA99" s="134" t="str">
        <f>HYPERLINK("https://drive.google.com/file/d/1Sim_3VDB9n_kkrZ6W4DKHHaKUFNMhjnq/view?usp=drivesdk","PSA_Wardah Radhwa Hafizhah_430")</f>
        <v>PSA_Wardah Radhwa Hafizhah_430</v>
      </c>
      <c r="AB99" s="17" t="s">
        <v>2130</v>
      </c>
    </row>
    <row r="100">
      <c r="A100" s="149">
        <v>45824.0</v>
      </c>
      <c r="B100" s="149">
        <v>45834.0</v>
      </c>
      <c r="C100" s="168">
        <v>398.0</v>
      </c>
      <c r="D100" s="17" t="s">
        <v>1817</v>
      </c>
      <c r="E100" s="17" t="s">
        <v>155</v>
      </c>
      <c r="F100" s="17" t="s">
        <v>1818</v>
      </c>
      <c r="G100" s="17" t="s">
        <v>541</v>
      </c>
      <c r="H100" s="17" t="s">
        <v>1676</v>
      </c>
      <c r="I100" s="17" t="s">
        <v>777</v>
      </c>
      <c r="J100" s="17">
        <v>5.0</v>
      </c>
      <c r="K100" s="17">
        <v>5.0</v>
      </c>
      <c r="L100" s="17">
        <v>5.0</v>
      </c>
      <c r="M100" s="17">
        <v>0.0</v>
      </c>
      <c r="N100" s="17">
        <v>300000.0</v>
      </c>
      <c r="O100" s="141">
        <f t="shared" si="1"/>
        <v>1500000</v>
      </c>
      <c r="P100" s="17">
        <v>20.0</v>
      </c>
      <c r="Q100" s="17">
        <v>60.0</v>
      </c>
      <c r="R100" s="17">
        <v>30.0</v>
      </c>
      <c r="S100" s="171">
        <f t="shared" si="5"/>
        <v>0</v>
      </c>
      <c r="T100" s="171">
        <f t="shared" si="6"/>
        <v>100</v>
      </c>
      <c r="U100" s="171">
        <f t="shared" si="7"/>
        <v>50</v>
      </c>
      <c r="V100" s="17">
        <v>5.0</v>
      </c>
      <c r="W100" s="171">
        <f t="shared" si="4"/>
        <v>265</v>
      </c>
      <c r="X100" s="17" t="s">
        <v>453</v>
      </c>
      <c r="Y100" s="17" t="s">
        <v>2131</v>
      </c>
      <c r="Z100" s="133" t="s">
        <v>2132</v>
      </c>
      <c r="AA100" s="134" t="str">
        <f>HYPERLINK("https://drive.google.com/file/d/18aGHYw-YkyNUR1KP_Ez7IcKlGP_AQDCA/view?usp=drivesdk","PSA_PT IFARS_388")</f>
        <v>PSA_PT IFARS_388</v>
      </c>
      <c r="AB100" s="17" t="s">
        <v>2130</v>
      </c>
    </row>
    <row r="101">
      <c r="A101" s="149">
        <v>45839.0</v>
      </c>
      <c r="B101" s="149">
        <v>45839.0</v>
      </c>
      <c r="C101" s="168">
        <v>449.0</v>
      </c>
      <c r="D101" s="17" t="s">
        <v>2133</v>
      </c>
      <c r="E101" s="17" t="s">
        <v>2134</v>
      </c>
      <c r="F101" s="17" t="s">
        <v>2036</v>
      </c>
      <c r="G101" s="17" t="s">
        <v>621</v>
      </c>
      <c r="H101" s="17" t="s">
        <v>1682</v>
      </c>
      <c r="I101" s="17" t="s">
        <v>1051</v>
      </c>
      <c r="J101" s="17">
        <v>4.0</v>
      </c>
      <c r="K101" s="17">
        <v>8.0</v>
      </c>
      <c r="L101" s="17">
        <v>4.0</v>
      </c>
      <c r="M101" s="17">
        <v>4.0</v>
      </c>
      <c r="N101" s="17">
        <v>200000.0</v>
      </c>
      <c r="O101" s="141">
        <f t="shared" si="1"/>
        <v>800000</v>
      </c>
      <c r="P101" s="17">
        <v>20.0</v>
      </c>
      <c r="Q101" s="17">
        <v>0.0</v>
      </c>
      <c r="R101" s="17">
        <v>0.0</v>
      </c>
      <c r="S101" s="171">
        <f t="shared" si="5"/>
        <v>80</v>
      </c>
      <c r="T101" s="171">
        <f t="shared" si="6"/>
        <v>80</v>
      </c>
      <c r="U101" s="171">
        <f t="shared" si="7"/>
        <v>80</v>
      </c>
      <c r="V101" s="17">
        <v>5.0</v>
      </c>
      <c r="W101" s="171">
        <f t="shared" si="4"/>
        <v>265</v>
      </c>
      <c r="X101" s="17" t="s">
        <v>453</v>
      </c>
      <c r="Y101" s="17" t="s">
        <v>2135</v>
      </c>
      <c r="Z101" s="133" t="s">
        <v>2136</v>
      </c>
      <c r="AA101" s="134" t="str">
        <f>HYPERLINK("https://drive.google.com/file/d/1VL1TKandXJM925W70tNT6LWuaBp8jTJ5/view?usp=drivesdk","PSA_Evelyn Benedikta Sutanto_449")</f>
        <v>PSA_Evelyn Benedikta Sutanto_449</v>
      </c>
      <c r="AB101" s="17" t="s">
        <v>2137</v>
      </c>
    </row>
    <row r="102">
      <c r="A102" s="149">
        <v>45838.0</v>
      </c>
      <c r="B102" s="149">
        <v>45840.0</v>
      </c>
      <c r="C102" s="168">
        <v>450.0</v>
      </c>
      <c r="D102" s="136" t="s">
        <v>2118</v>
      </c>
      <c r="E102" s="136" t="s">
        <v>2119</v>
      </c>
      <c r="F102" s="136" t="s">
        <v>2138</v>
      </c>
      <c r="G102" s="17" t="s">
        <v>541</v>
      </c>
      <c r="H102" s="17" t="s">
        <v>1682</v>
      </c>
      <c r="I102" s="17" t="s">
        <v>1051</v>
      </c>
      <c r="J102" s="17">
        <v>6.0</v>
      </c>
      <c r="K102" s="17">
        <v>12.0</v>
      </c>
      <c r="L102" s="17">
        <v>6.0</v>
      </c>
      <c r="M102" s="17">
        <v>6.0</v>
      </c>
      <c r="N102" s="17">
        <v>200000.0</v>
      </c>
      <c r="O102" s="141">
        <f t="shared" si="1"/>
        <v>1200000</v>
      </c>
      <c r="P102" s="17">
        <v>20.0</v>
      </c>
      <c r="Q102" s="17">
        <v>0.0</v>
      </c>
      <c r="R102" s="17">
        <v>60.0</v>
      </c>
      <c r="S102" s="171">
        <f t="shared" si="5"/>
        <v>120</v>
      </c>
      <c r="T102" s="171">
        <f t="shared" si="6"/>
        <v>120</v>
      </c>
      <c r="U102" s="171">
        <f t="shared" si="7"/>
        <v>120</v>
      </c>
      <c r="V102" s="17">
        <v>5.0</v>
      </c>
      <c r="W102" s="171">
        <f t="shared" si="4"/>
        <v>445</v>
      </c>
      <c r="X102" s="17" t="s">
        <v>453</v>
      </c>
      <c r="Y102" s="17" t="s">
        <v>2139</v>
      </c>
      <c r="Z102" s="133" t="s">
        <v>2140</v>
      </c>
      <c r="AA102" s="134" t="str">
        <f>HYPERLINK("https://drive.google.com/file/d/1vCOr8QOyeZZMZiW-57-lMwk9prZ-RVF-/view?usp=drivesdk","PSA_Revian Alifino Revaza_450")</f>
        <v>PSA_Revian Alifino Revaza_450</v>
      </c>
      <c r="AB102" s="17" t="s">
        <v>2141</v>
      </c>
    </row>
    <row r="103">
      <c r="A103" s="149">
        <v>45840.0</v>
      </c>
      <c r="B103" s="149">
        <v>45840.0</v>
      </c>
      <c r="C103" s="168">
        <v>456.0</v>
      </c>
      <c r="D103" s="17" t="s">
        <v>2142</v>
      </c>
      <c r="E103" s="136" t="s">
        <v>2143</v>
      </c>
      <c r="F103" s="136" t="s">
        <v>2144</v>
      </c>
      <c r="G103" s="17" t="s">
        <v>621</v>
      </c>
      <c r="H103" s="17" t="s">
        <v>1676</v>
      </c>
      <c r="I103" s="17" t="s">
        <v>1051</v>
      </c>
      <c r="J103" s="17">
        <v>1.0</v>
      </c>
      <c r="K103" s="17">
        <v>1.0</v>
      </c>
      <c r="L103" s="17">
        <v>1.0</v>
      </c>
      <c r="M103" s="17">
        <v>0.0</v>
      </c>
      <c r="N103" s="17">
        <v>200000.0</v>
      </c>
      <c r="O103" s="141">
        <f t="shared" si="1"/>
        <v>200000</v>
      </c>
      <c r="P103" s="17">
        <v>20.0</v>
      </c>
      <c r="Q103" s="17">
        <v>0.0</v>
      </c>
      <c r="R103" s="17">
        <v>5.0</v>
      </c>
      <c r="S103" s="171">
        <f t="shared" si="5"/>
        <v>0</v>
      </c>
      <c r="T103" s="171">
        <f t="shared" si="6"/>
        <v>20</v>
      </c>
      <c r="U103" s="171">
        <f t="shared" si="7"/>
        <v>10</v>
      </c>
      <c r="V103" s="17">
        <v>5.0</v>
      </c>
      <c r="W103" s="171">
        <f t="shared" si="4"/>
        <v>60</v>
      </c>
      <c r="X103" s="17" t="s">
        <v>453</v>
      </c>
      <c r="Y103" s="17" t="s">
        <v>2145</v>
      </c>
      <c r="Z103" s="133" t="s">
        <v>2146</v>
      </c>
      <c r="AA103" s="134" t="str">
        <f>HYPERLINK("https://drive.google.com/file/d/1ELZhfEJbEPB4Rc3P9E5BczCQjp869_Qj/view?usp=drivesdk","PSA_Orien Prilita_456")</f>
        <v>PSA_Orien Prilita_456</v>
      </c>
      <c r="AB103" s="17" t="s">
        <v>2141</v>
      </c>
    </row>
    <row r="104">
      <c r="A104" s="149">
        <v>45839.0</v>
      </c>
      <c r="B104" s="149">
        <v>45845.0</v>
      </c>
      <c r="C104" s="168">
        <v>451.0</v>
      </c>
      <c r="D104" s="17" t="s">
        <v>2001</v>
      </c>
      <c r="E104" s="17" t="s">
        <v>155</v>
      </c>
      <c r="F104" s="17" t="s">
        <v>155</v>
      </c>
      <c r="G104" s="17" t="s">
        <v>541</v>
      </c>
      <c r="H104" s="17" t="s">
        <v>1682</v>
      </c>
      <c r="I104" s="17" t="s">
        <v>1051</v>
      </c>
      <c r="J104" s="17">
        <v>2.0</v>
      </c>
      <c r="K104" s="17">
        <v>4.0</v>
      </c>
      <c r="L104" s="17">
        <v>2.0</v>
      </c>
      <c r="M104" s="17">
        <v>2.0</v>
      </c>
      <c r="N104" s="17">
        <v>300000.0</v>
      </c>
      <c r="O104" s="141">
        <f t="shared" si="1"/>
        <v>600000</v>
      </c>
      <c r="P104" s="17">
        <v>20.0</v>
      </c>
      <c r="Q104" s="17">
        <v>0.0</v>
      </c>
      <c r="R104" s="17">
        <v>40.0</v>
      </c>
      <c r="S104" s="171">
        <f t="shared" si="5"/>
        <v>40</v>
      </c>
      <c r="T104" s="171">
        <f t="shared" si="6"/>
        <v>40</v>
      </c>
      <c r="U104" s="171">
        <f t="shared" si="7"/>
        <v>40</v>
      </c>
      <c r="V104" s="17">
        <v>5.0</v>
      </c>
      <c r="W104" s="171">
        <f t="shared" si="4"/>
        <v>185</v>
      </c>
      <c r="X104" s="17" t="s">
        <v>453</v>
      </c>
      <c r="Y104" s="17" t="s">
        <v>2147</v>
      </c>
      <c r="Z104" s="133" t="s">
        <v>2148</v>
      </c>
      <c r="AA104" s="134" t="str">
        <f>HYPERLINK("https://drive.google.com/file/d/1pI5dvLHLu5rSfZ7d7ZnOuqECPnjDgTPU/view?usp=drivesdk","PSA_Iis Nurhasanah_451")</f>
        <v>PSA_Iis Nurhasanah_451</v>
      </c>
      <c r="AB104" s="17" t="s">
        <v>2149</v>
      </c>
    </row>
    <row r="105">
      <c r="A105" s="149">
        <v>45845.0</v>
      </c>
      <c r="B105" s="149">
        <v>45845.0</v>
      </c>
      <c r="C105" s="168">
        <v>463.0</v>
      </c>
      <c r="D105" s="136" t="s">
        <v>2150</v>
      </c>
      <c r="E105" s="136" t="s">
        <v>2151</v>
      </c>
      <c r="F105" s="136" t="s">
        <v>2152</v>
      </c>
      <c r="G105" s="17" t="s">
        <v>541</v>
      </c>
      <c r="H105" s="17" t="s">
        <v>1682</v>
      </c>
      <c r="I105" s="17" t="s">
        <v>2105</v>
      </c>
      <c r="J105" s="17">
        <v>4.0</v>
      </c>
      <c r="K105" s="17">
        <v>8.0</v>
      </c>
      <c r="L105" s="17">
        <v>4.0</v>
      </c>
      <c r="M105" s="17">
        <v>4.0</v>
      </c>
      <c r="N105" s="17">
        <v>300000.0</v>
      </c>
      <c r="O105" s="141">
        <f t="shared" si="1"/>
        <v>1200000</v>
      </c>
      <c r="P105" s="17">
        <v>20.0</v>
      </c>
      <c r="Q105" s="17">
        <v>0.0</v>
      </c>
      <c r="R105" s="17">
        <v>20.0</v>
      </c>
      <c r="S105" s="171">
        <f t="shared" si="5"/>
        <v>80</v>
      </c>
      <c r="T105" s="171">
        <f t="shared" si="6"/>
        <v>80</v>
      </c>
      <c r="U105" s="171">
        <f t="shared" si="7"/>
        <v>80</v>
      </c>
      <c r="V105" s="17">
        <v>5.0</v>
      </c>
      <c r="W105" s="171">
        <f t="shared" si="4"/>
        <v>285</v>
      </c>
      <c r="X105" s="17" t="s">
        <v>453</v>
      </c>
      <c r="Y105" s="17" t="s">
        <v>2153</v>
      </c>
      <c r="Z105" s="133" t="s">
        <v>2154</v>
      </c>
      <c r="AA105" s="134" t="str">
        <f>HYPERLINK("https://drive.google.com/file/d/1K2xlPUqxzjO6BR9GaAkUb6TDCS6TOltR/view?usp=drivesdk","PSA_Youstiana Dwi Rusita_463")</f>
        <v>PSA_Youstiana Dwi Rusita_463</v>
      </c>
      <c r="AB105" s="17" t="s">
        <v>2149</v>
      </c>
    </row>
    <row r="106">
      <c r="A106" s="149">
        <v>45834.0</v>
      </c>
      <c r="B106" s="149">
        <v>45847.0</v>
      </c>
      <c r="C106" s="168">
        <v>447.0</v>
      </c>
      <c r="D106" s="17" t="s">
        <v>1817</v>
      </c>
      <c r="E106" s="17" t="s">
        <v>155</v>
      </c>
      <c r="F106" s="17" t="s">
        <v>1818</v>
      </c>
      <c r="G106" s="17" t="s">
        <v>541</v>
      </c>
      <c r="H106" s="17" t="s">
        <v>1676</v>
      </c>
      <c r="I106" s="17" t="s">
        <v>1051</v>
      </c>
      <c r="J106" s="17">
        <v>1.0</v>
      </c>
      <c r="K106" s="17">
        <v>1.0</v>
      </c>
      <c r="L106" s="17">
        <v>1.0</v>
      </c>
      <c r="M106" s="17">
        <v>0.0</v>
      </c>
      <c r="N106" s="17">
        <v>400000.0</v>
      </c>
      <c r="O106" s="141">
        <f t="shared" si="1"/>
        <v>400000</v>
      </c>
      <c r="P106" s="17">
        <v>20.0</v>
      </c>
      <c r="Q106" s="17">
        <v>0.0</v>
      </c>
      <c r="R106" s="17">
        <v>20.0</v>
      </c>
      <c r="S106" s="171">
        <f t="shared" si="5"/>
        <v>0</v>
      </c>
      <c r="T106" s="171">
        <f t="shared" si="6"/>
        <v>20</v>
      </c>
      <c r="U106" s="171">
        <f t="shared" si="7"/>
        <v>10</v>
      </c>
      <c r="V106" s="17">
        <v>5.0</v>
      </c>
      <c r="W106" s="171">
        <f t="shared" si="4"/>
        <v>75</v>
      </c>
      <c r="X106" s="17" t="s">
        <v>453</v>
      </c>
      <c r="Y106" s="17" t="s">
        <v>2155</v>
      </c>
      <c r="Z106" s="133" t="s">
        <v>2156</v>
      </c>
      <c r="AA106" s="134" t="str">
        <f>HYPERLINK("https://drive.google.com/file/d/14w5JuH-poCj0uBFI1_uhMLns4D45vdYy/view?usp=drivesdk","PSA_PT IFARS_447")</f>
        <v>PSA_PT IFARS_447</v>
      </c>
      <c r="AB106" s="17" t="s">
        <v>2157</v>
      </c>
    </row>
    <row r="107">
      <c r="A107" s="149">
        <v>45846.0</v>
      </c>
      <c r="B107" s="149">
        <v>45847.0</v>
      </c>
      <c r="C107" s="168">
        <v>469.0</v>
      </c>
      <c r="D107" s="17" t="s">
        <v>2158</v>
      </c>
      <c r="E107" s="17" t="s">
        <v>2159</v>
      </c>
      <c r="F107" s="17" t="s">
        <v>1883</v>
      </c>
      <c r="G107" s="17" t="s">
        <v>621</v>
      </c>
      <c r="H107" s="17" t="s">
        <v>1698</v>
      </c>
      <c r="I107" s="17" t="s">
        <v>1051</v>
      </c>
      <c r="J107" s="17">
        <v>3.0</v>
      </c>
      <c r="K107" s="17">
        <v>3.0</v>
      </c>
      <c r="L107" s="17">
        <v>0.0</v>
      </c>
      <c r="M107" s="17">
        <v>3.0</v>
      </c>
      <c r="N107" s="17">
        <v>200000.0</v>
      </c>
      <c r="O107" s="141">
        <f t="shared" si="1"/>
        <v>600000</v>
      </c>
      <c r="P107" s="17">
        <v>20.0</v>
      </c>
      <c r="Q107" s="17">
        <v>0.0</v>
      </c>
      <c r="R107" s="17">
        <v>20.0</v>
      </c>
      <c r="S107" s="171">
        <f t="shared" si="5"/>
        <v>60</v>
      </c>
      <c r="T107" s="171">
        <f t="shared" si="6"/>
        <v>0</v>
      </c>
      <c r="U107" s="171">
        <f t="shared" si="7"/>
        <v>30</v>
      </c>
      <c r="V107" s="17">
        <v>5.0</v>
      </c>
      <c r="W107" s="171">
        <f t="shared" si="4"/>
        <v>135</v>
      </c>
      <c r="X107" s="17" t="s">
        <v>453</v>
      </c>
      <c r="Y107" s="17" t="s">
        <v>2160</v>
      </c>
      <c r="Z107" s="133" t="s">
        <v>2161</v>
      </c>
      <c r="AA107" s="134" t="str">
        <f>HYPERLINK("https://drive.google.com/file/d/1qoNbO6GEptvRjujA4cJlvCwbKT4EEz-u/view?usp=drivesdk","PSA_Ashrifathia Haifani_469")</f>
        <v>PSA_Ashrifathia Haifani_469</v>
      </c>
      <c r="AB107" s="17" t="s">
        <v>2162</v>
      </c>
    </row>
    <row r="108">
      <c r="A108" s="149">
        <v>45841.0</v>
      </c>
      <c r="B108" s="149">
        <v>45847.0</v>
      </c>
      <c r="C108" s="168">
        <v>458.0</v>
      </c>
      <c r="D108" s="17" t="s">
        <v>2163</v>
      </c>
      <c r="E108" s="17" t="s">
        <v>2164</v>
      </c>
      <c r="F108" s="17" t="s">
        <v>1132</v>
      </c>
      <c r="G108" s="17" t="s">
        <v>621</v>
      </c>
      <c r="H108" s="17" t="s">
        <v>1682</v>
      </c>
      <c r="I108" s="17" t="s">
        <v>1051</v>
      </c>
      <c r="J108" s="17">
        <v>1.0</v>
      </c>
      <c r="K108" s="17">
        <v>2.0</v>
      </c>
      <c r="L108" s="17">
        <v>1.0</v>
      </c>
      <c r="M108" s="17">
        <v>1.0</v>
      </c>
      <c r="N108" s="17">
        <v>300000.0</v>
      </c>
      <c r="O108" s="141">
        <f t="shared" si="1"/>
        <v>300000</v>
      </c>
      <c r="P108" s="17">
        <v>20.0</v>
      </c>
      <c r="Q108" s="17">
        <v>0.0</v>
      </c>
      <c r="R108" s="17">
        <v>20.0</v>
      </c>
      <c r="S108" s="171">
        <f t="shared" si="5"/>
        <v>20</v>
      </c>
      <c r="T108" s="171">
        <f t="shared" si="6"/>
        <v>20</v>
      </c>
      <c r="U108" s="171">
        <f t="shared" si="7"/>
        <v>20</v>
      </c>
      <c r="V108" s="17">
        <v>5.0</v>
      </c>
      <c r="W108" s="171">
        <f t="shared" si="4"/>
        <v>105</v>
      </c>
      <c r="X108" s="17" t="s">
        <v>453</v>
      </c>
      <c r="Y108" s="17" t="s">
        <v>2165</v>
      </c>
      <c r="Z108" s="133" t="s">
        <v>2166</v>
      </c>
      <c r="AA108" s="134" t="str">
        <f>HYPERLINK("https://drive.google.com/file/d/1Vex1qFh4-g5Xhktvd-FBctRurWTSKQeI/view?usp=drivesdk","PSA_Aan Kartika Fitirani_458")</f>
        <v>PSA_Aan Kartika Fitirani_458</v>
      </c>
      <c r="AB108" s="17" t="s">
        <v>2162</v>
      </c>
    </row>
    <row r="109">
      <c r="A109" s="149">
        <v>45848.0</v>
      </c>
      <c r="B109" s="149">
        <v>45849.0</v>
      </c>
      <c r="C109" s="168">
        <v>470.0</v>
      </c>
      <c r="D109" s="136" t="s">
        <v>2167</v>
      </c>
      <c r="E109" s="277" t="s">
        <v>2168</v>
      </c>
      <c r="F109" s="136" t="s">
        <v>2169</v>
      </c>
      <c r="G109" s="17" t="s">
        <v>541</v>
      </c>
      <c r="H109" s="17" t="s">
        <v>1676</v>
      </c>
      <c r="I109" s="17" t="s">
        <v>1051</v>
      </c>
      <c r="J109" s="17">
        <v>2.0</v>
      </c>
      <c r="K109" s="17">
        <v>2.0</v>
      </c>
      <c r="L109" s="17">
        <v>2.0</v>
      </c>
      <c r="M109" s="17">
        <v>0.0</v>
      </c>
      <c r="N109" s="17">
        <v>300000.0</v>
      </c>
      <c r="O109" s="141">
        <f t="shared" si="1"/>
        <v>600000</v>
      </c>
      <c r="P109" s="17">
        <v>20.0</v>
      </c>
      <c r="Q109" s="17">
        <v>0.0</v>
      </c>
      <c r="R109" s="17">
        <v>20.0</v>
      </c>
      <c r="S109" s="171">
        <f t="shared" si="5"/>
        <v>0</v>
      </c>
      <c r="T109" s="171">
        <f t="shared" si="6"/>
        <v>40</v>
      </c>
      <c r="U109" s="171">
        <f t="shared" si="7"/>
        <v>20</v>
      </c>
      <c r="V109" s="17">
        <v>5.0</v>
      </c>
      <c r="W109" s="171">
        <f t="shared" si="4"/>
        <v>105</v>
      </c>
      <c r="X109" s="17" t="s">
        <v>453</v>
      </c>
      <c r="Y109" s="17" t="s">
        <v>2170</v>
      </c>
      <c r="Z109" s="133" t="s">
        <v>2171</v>
      </c>
      <c r="AA109" s="134" t="str">
        <f>HYPERLINK("https://drive.google.com/file/d/1e2W1R9BlG7TvCeqnZteV1JRWqsG9U_yv/view?usp=drivesdk","PSA_Rifkarosita Putri Ginaris_470")</f>
        <v>PSA_Rifkarosita Putri Ginaris_470</v>
      </c>
      <c r="AB109" s="17" t="s">
        <v>2172</v>
      </c>
    </row>
    <row r="110">
      <c r="A110" s="149">
        <v>45849.0</v>
      </c>
      <c r="B110" s="149">
        <v>45849.0</v>
      </c>
      <c r="C110" s="168">
        <v>475.0</v>
      </c>
      <c r="D110" s="17" t="s">
        <v>629</v>
      </c>
      <c r="E110" s="17" t="s">
        <v>630</v>
      </c>
      <c r="F110" s="17" t="s">
        <v>1751</v>
      </c>
      <c r="G110" s="17" t="s">
        <v>541</v>
      </c>
      <c r="H110" s="17" t="s">
        <v>1676</v>
      </c>
      <c r="I110" s="17" t="s">
        <v>1051</v>
      </c>
      <c r="J110" s="17">
        <v>1.0</v>
      </c>
      <c r="K110" s="17">
        <v>1.0</v>
      </c>
      <c r="L110" s="17">
        <v>1.0</v>
      </c>
      <c r="M110" s="17">
        <v>0.0</v>
      </c>
      <c r="N110" s="17">
        <v>200000.0</v>
      </c>
      <c r="O110" s="141">
        <f t="shared" si="1"/>
        <v>200000</v>
      </c>
      <c r="P110" s="17">
        <v>20.0</v>
      </c>
      <c r="Q110" s="17">
        <v>0.0</v>
      </c>
      <c r="R110" s="17">
        <v>20.0</v>
      </c>
      <c r="S110" s="171">
        <f t="shared" si="5"/>
        <v>0</v>
      </c>
      <c r="T110" s="171">
        <f t="shared" si="6"/>
        <v>20</v>
      </c>
      <c r="U110" s="171">
        <f t="shared" si="7"/>
        <v>10</v>
      </c>
      <c r="V110" s="17">
        <v>5.0</v>
      </c>
      <c r="W110" s="171">
        <f t="shared" si="4"/>
        <v>75</v>
      </c>
      <c r="X110" s="17" t="s">
        <v>453</v>
      </c>
      <c r="Y110" s="17" t="s">
        <v>2173</v>
      </c>
      <c r="Z110" s="133" t="s">
        <v>2174</v>
      </c>
      <c r="AA110" s="134" t="str">
        <f>HYPERLINK("https://drive.google.com/file/d/1v6X6-XaKDyMB49Hwtsf0urhMEUZTwNiR/view?usp=drivesdk","PSA_Wardah Radhwa Hafizhah_475")</f>
        <v>PSA_Wardah Radhwa Hafizhah_475</v>
      </c>
      <c r="AB110" s="17" t="s">
        <v>2172</v>
      </c>
    </row>
    <row r="111">
      <c r="A111" s="149">
        <v>45894.0</v>
      </c>
      <c r="B111" s="149">
        <v>45894.0</v>
      </c>
      <c r="C111" s="168">
        <v>461.0</v>
      </c>
      <c r="D111" s="17" t="s">
        <v>2133</v>
      </c>
      <c r="E111" s="17" t="s">
        <v>2134</v>
      </c>
      <c r="F111" s="17" t="s">
        <v>2036</v>
      </c>
      <c r="G111" s="17" t="s">
        <v>621</v>
      </c>
      <c r="H111" s="17" t="s">
        <v>1676</v>
      </c>
      <c r="I111" s="17" t="s">
        <v>1051</v>
      </c>
      <c r="J111" s="17">
        <v>1.0</v>
      </c>
      <c r="K111" s="17">
        <v>1.0</v>
      </c>
      <c r="L111" s="17">
        <v>1.0</v>
      </c>
      <c r="M111" s="17">
        <v>0.0</v>
      </c>
      <c r="N111" s="17">
        <v>200000.0</v>
      </c>
      <c r="O111" s="141">
        <f t="shared" si="1"/>
        <v>200000</v>
      </c>
      <c r="P111" s="17">
        <v>20.0</v>
      </c>
      <c r="Q111" s="17">
        <v>0.0</v>
      </c>
      <c r="R111" s="17">
        <v>5.0</v>
      </c>
      <c r="S111" s="171">
        <f t="shared" si="5"/>
        <v>0</v>
      </c>
      <c r="T111" s="171">
        <f t="shared" si="6"/>
        <v>20</v>
      </c>
      <c r="U111" s="171">
        <f t="shared" si="7"/>
        <v>10</v>
      </c>
      <c r="V111" s="17">
        <v>5.0</v>
      </c>
      <c r="W111" s="171">
        <f t="shared" si="4"/>
        <v>60</v>
      </c>
      <c r="X111" s="17" t="s">
        <v>453</v>
      </c>
      <c r="Y111" s="17" t="s">
        <v>2175</v>
      </c>
      <c r="Z111" s="133" t="s">
        <v>2176</v>
      </c>
      <c r="AA111" s="134" t="str">
        <f>HYPERLINK("https://drive.google.com/file/d/1_VZyJnpXyQ76qo7xuH0J2JXaBUXYo7b2/view?usp=drivesdk","PSA_Evelyn Benedikta Sutanto_461")</f>
        <v>PSA_Evelyn Benedikta Sutanto_461</v>
      </c>
      <c r="AB111" s="17" t="s">
        <v>2177</v>
      </c>
    </row>
    <row r="112">
      <c r="A112" s="149">
        <v>45853.0</v>
      </c>
      <c r="B112" s="149">
        <v>45853.0</v>
      </c>
      <c r="C112" s="168">
        <v>480.0</v>
      </c>
      <c r="D112" s="17" t="s">
        <v>2133</v>
      </c>
      <c r="E112" s="17" t="s">
        <v>2134</v>
      </c>
      <c r="F112" s="17" t="s">
        <v>2036</v>
      </c>
      <c r="G112" s="17" t="s">
        <v>621</v>
      </c>
      <c r="H112" s="17" t="s">
        <v>1682</v>
      </c>
      <c r="I112" s="17" t="s">
        <v>1051</v>
      </c>
      <c r="J112" s="17">
        <v>2.0</v>
      </c>
      <c r="K112" s="17">
        <v>4.0</v>
      </c>
      <c r="L112" s="17">
        <v>2.0</v>
      </c>
      <c r="M112" s="17">
        <v>2.0</v>
      </c>
      <c r="N112" s="17">
        <v>200000.0</v>
      </c>
      <c r="O112" s="141">
        <f t="shared" si="1"/>
        <v>400000</v>
      </c>
      <c r="P112" s="17">
        <v>20.0</v>
      </c>
      <c r="Q112" s="17">
        <v>0.0</v>
      </c>
      <c r="R112" s="17">
        <v>5.0</v>
      </c>
      <c r="S112" s="171">
        <f t="shared" si="5"/>
        <v>40</v>
      </c>
      <c r="T112" s="171">
        <f t="shared" si="6"/>
        <v>40</v>
      </c>
      <c r="U112" s="171">
        <f t="shared" si="7"/>
        <v>40</v>
      </c>
      <c r="V112" s="17">
        <v>5.0</v>
      </c>
      <c r="W112" s="171">
        <f t="shared" si="4"/>
        <v>150</v>
      </c>
      <c r="X112" s="17" t="s">
        <v>453</v>
      </c>
      <c r="Y112" s="17" t="s">
        <v>2178</v>
      </c>
      <c r="Z112" s="133" t="s">
        <v>2179</v>
      </c>
      <c r="AA112" s="134" t="str">
        <f>HYPERLINK("https://drive.google.com/file/d/1b1uyEkRR_1U7KQCtvE6xCjecB87BH3eG/view?usp=drivesdk","PSA_Evelyn Benedikta Sutanto_480")</f>
        <v>PSA_Evelyn Benedikta Sutanto_480</v>
      </c>
      <c r="AB112" s="17" t="s">
        <v>2180</v>
      </c>
    </row>
    <row r="113">
      <c r="A113" s="149">
        <v>45862.0</v>
      </c>
      <c r="B113" s="149">
        <v>45862.0</v>
      </c>
      <c r="C113" s="168">
        <v>498.0</v>
      </c>
      <c r="D113" s="194" t="s">
        <v>2181</v>
      </c>
      <c r="E113" s="136" t="s">
        <v>2182</v>
      </c>
      <c r="F113" s="136" t="s">
        <v>2183</v>
      </c>
      <c r="G113" s="17" t="s">
        <v>621</v>
      </c>
      <c r="H113" s="17" t="s">
        <v>1682</v>
      </c>
      <c r="I113" s="17" t="s">
        <v>1051</v>
      </c>
      <c r="J113" s="17">
        <v>5.0</v>
      </c>
      <c r="K113" s="17">
        <v>10.0</v>
      </c>
      <c r="L113" s="17">
        <v>5.0</v>
      </c>
      <c r="M113" s="17">
        <v>5.0</v>
      </c>
      <c r="N113" s="17">
        <v>200000.0</v>
      </c>
      <c r="O113" s="141">
        <f t="shared" si="1"/>
        <v>1000000</v>
      </c>
      <c r="P113" s="17">
        <v>20.0</v>
      </c>
      <c r="Q113" s="17">
        <v>0.0</v>
      </c>
      <c r="R113" s="17">
        <v>5.0</v>
      </c>
      <c r="S113" s="171">
        <f t="shared" si="5"/>
        <v>100</v>
      </c>
      <c r="T113" s="171">
        <f t="shared" si="6"/>
        <v>100</v>
      </c>
      <c r="U113" s="171">
        <f t="shared" si="7"/>
        <v>100</v>
      </c>
      <c r="V113" s="17">
        <v>5.0</v>
      </c>
      <c r="W113" s="171">
        <f t="shared" si="4"/>
        <v>330</v>
      </c>
      <c r="X113" s="17" t="s">
        <v>453</v>
      </c>
      <c r="Y113" s="17" t="s">
        <v>2184</v>
      </c>
      <c r="Z113" s="133" t="s">
        <v>2185</v>
      </c>
      <c r="AA113" s="134" t="str">
        <f>HYPERLINK("https://drive.google.com/file/d/1DCar9oy89cJn-gYVHP6e5-ScbzSKqtWe/view?usp=drivesdk","PSA_Ryan Fauzy_498")</f>
        <v>PSA_Ryan Fauzy_498</v>
      </c>
      <c r="AB113" s="17" t="s">
        <v>2186</v>
      </c>
    </row>
    <row r="114">
      <c r="A114" s="149">
        <v>45869.0</v>
      </c>
      <c r="B114" s="149">
        <v>45869.0</v>
      </c>
      <c r="C114" s="168">
        <v>513.0</v>
      </c>
      <c r="D114" s="194" t="s">
        <v>2181</v>
      </c>
      <c r="E114" s="136" t="s">
        <v>2187</v>
      </c>
      <c r="F114" s="136" t="s">
        <v>2183</v>
      </c>
      <c r="G114" s="17" t="s">
        <v>621</v>
      </c>
      <c r="H114" s="17" t="s">
        <v>1682</v>
      </c>
      <c r="I114" s="17" t="s">
        <v>1051</v>
      </c>
      <c r="J114" s="17">
        <v>1.0</v>
      </c>
      <c r="K114" s="17">
        <v>2.0</v>
      </c>
      <c r="L114" s="17">
        <v>1.0</v>
      </c>
      <c r="M114" s="17">
        <v>1.0</v>
      </c>
      <c r="N114" s="17">
        <v>200000.0</v>
      </c>
      <c r="O114" s="141">
        <f t="shared" si="1"/>
        <v>200000</v>
      </c>
      <c r="P114" s="17">
        <v>20.0</v>
      </c>
      <c r="Q114" s="17">
        <v>0.0</v>
      </c>
      <c r="R114" s="17">
        <v>5.0</v>
      </c>
      <c r="S114" s="171">
        <f t="shared" si="5"/>
        <v>20</v>
      </c>
      <c r="T114" s="171">
        <f t="shared" si="6"/>
        <v>20</v>
      </c>
      <c r="U114" s="171">
        <f t="shared" si="7"/>
        <v>20</v>
      </c>
      <c r="V114" s="17">
        <v>5.0</v>
      </c>
      <c r="W114" s="171">
        <f t="shared" si="4"/>
        <v>90</v>
      </c>
      <c r="X114" s="17" t="s">
        <v>453</v>
      </c>
      <c r="Y114" s="17" t="s">
        <v>2188</v>
      </c>
      <c r="Z114" s="133" t="s">
        <v>2189</v>
      </c>
      <c r="AA114" s="134" t="str">
        <f>HYPERLINK("https://drive.google.com/file/d/1qbjMiffCIiC9btuCAG4y7oVyTuhhLhQ-/view?usp=drivesdk","PSA_Ryan Fauzy_513")</f>
        <v>PSA_Ryan Fauzy_513</v>
      </c>
      <c r="AB114" s="17" t="s">
        <v>2190</v>
      </c>
    </row>
    <row r="115">
      <c r="A115" s="149">
        <v>45874.0</v>
      </c>
      <c r="B115" s="149">
        <v>45874.0</v>
      </c>
      <c r="C115" s="168">
        <v>520.0</v>
      </c>
      <c r="D115" s="17" t="s">
        <v>2181</v>
      </c>
      <c r="E115" s="136" t="s">
        <v>2187</v>
      </c>
      <c r="F115" s="136" t="s">
        <v>2183</v>
      </c>
      <c r="G115" s="17" t="s">
        <v>621</v>
      </c>
      <c r="H115" s="17" t="s">
        <v>1682</v>
      </c>
      <c r="I115" s="17" t="s">
        <v>1051</v>
      </c>
      <c r="J115" s="17">
        <v>2.0</v>
      </c>
      <c r="K115" s="17">
        <v>4.0</v>
      </c>
      <c r="L115" s="17">
        <v>2.0</v>
      </c>
      <c r="M115" s="17">
        <v>2.0</v>
      </c>
      <c r="N115" s="17">
        <v>200000.0</v>
      </c>
      <c r="O115" s="141">
        <f t="shared" si="1"/>
        <v>400000</v>
      </c>
      <c r="P115" s="17">
        <v>20.0</v>
      </c>
      <c r="Q115" s="17">
        <v>0.0</v>
      </c>
      <c r="R115" s="17">
        <v>5.0</v>
      </c>
      <c r="S115" s="171">
        <f t="shared" si="5"/>
        <v>40</v>
      </c>
      <c r="T115" s="171">
        <f t="shared" si="6"/>
        <v>40</v>
      </c>
      <c r="U115" s="171">
        <f t="shared" si="7"/>
        <v>40</v>
      </c>
      <c r="V115" s="17">
        <v>5.0</v>
      </c>
      <c r="W115" s="171">
        <f t="shared" si="4"/>
        <v>150</v>
      </c>
      <c r="X115" s="17" t="s">
        <v>453</v>
      </c>
      <c r="Y115" s="17" t="s">
        <v>2191</v>
      </c>
      <c r="Z115" s="133" t="s">
        <v>2192</v>
      </c>
      <c r="AA115" s="134" t="str">
        <f>HYPERLINK("https://drive.google.com/file/d/17CQeDJCDb9ZXB0VWIPMXY1FauGxv_sQo/view?usp=drivesdk","PSA_Ryan Fauzy_520")</f>
        <v>PSA_Ryan Fauzy_520</v>
      </c>
      <c r="AB115" s="17" t="s">
        <v>2193</v>
      </c>
    </row>
    <row r="116">
      <c r="A116" s="149">
        <v>45876.0</v>
      </c>
      <c r="B116" s="149">
        <v>45894.0</v>
      </c>
      <c r="C116" s="168">
        <v>527.0</v>
      </c>
      <c r="D116" s="194" t="s">
        <v>2194</v>
      </c>
      <c r="E116" s="17" t="s">
        <v>2195</v>
      </c>
      <c r="F116" s="17" t="s">
        <v>1132</v>
      </c>
      <c r="G116" s="17" t="s">
        <v>621</v>
      </c>
      <c r="H116" s="17" t="s">
        <v>1676</v>
      </c>
      <c r="I116" s="17" t="s">
        <v>1051</v>
      </c>
      <c r="J116" s="17">
        <v>4.0</v>
      </c>
      <c r="K116" s="17">
        <v>4.0</v>
      </c>
      <c r="L116" s="17">
        <v>4.0</v>
      </c>
      <c r="M116" s="17">
        <v>0.0</v>
      </c>
      <c r="N116" s="17">
        <v>300000.0</v>
      </c>
      <c r="O116" s="141">
        <f t="shared" si="1"/>
        <v>1200000</v>
      </c>
      <c r="P116" s="17">
        <v>20.0</v>
      </c>
      <c r="Q116" s="17">
        <v>0.0</v>
      </c>
      <c r="R116" s="17">
        <v>5.0</v>
      </c>
      <c r="S116" s="171">
        <f t="shared" si="5"/>
        <v>0</v>
      </c>
      <c r="T116" s="171">
        <f t="shared" si="6"/>
        <v>80</v>
      </c>
      <c r="U116" s="171">
        <f t="shared" si="7"/>
        <v>40</v>
      </c>
      <c r="V116" s="17">
        <v>5.0</v>
      </c>
      <c r="W116" s="171">
        <f t="shared" si="4"/>
        <v>150</v>
      </c>
      <c r="X116" s="17" t="s">
        <v>453</v>
      </c>
      <c r="Y116" s="17" t="s">
        <v>2196</v>
      </c>
      <c r="Z116" s="133" t="s">
        <v>2197</v>
      </c>
      <c r="AA116" s="134" t="str">
        <f>HYPERLINK("https://drive.google.com/file/d/152CuccZK_qOSJ__1_60d_R7WxbkYFDQ2/view?usp=drivesdk","PSA_Dzakiyach Aufa Furqony_527")</f>
        <v>PSA_Dzakiyach Aufa Furqony_527</v>
      </c>
      <c r="AB116" s="17" t="s">
        <v>2177</v>
      </c>
    </row>
    <row r="117">
      <c r="A117" s="149">
        <v>45874.0</v>
      </c>
      <c r="B117" s="149">
        <v>45890.0</v>
      </c>
      <c r="C117" s="168">
        <v>523.0</v>
      </c>
      <c r="D117" s="17" t="s">
        <v>2065</v>
      </c>
      <c r="E117" s="17" t="s">
        <v>2066</v>
      </c>
      <c r="F117" s="17" t="s">
        <v>1132</v>
      </c>
      <c r="G117" s="17" t="s">
        <v>541</v>
      </c>
      <c r="H117" s="17" t="s">
        <v>1676</v>
      </c>
      <c r="I117" s="17" t="s">
        <v>1051</v>
      </c>
      <c r="J117" s="17">
        <v>1.0</v>
      </c>
      <c r="K117" s="17">
        <v>1.0</v>
      </c>
      <c r="L117" s="17">
        <v>1.0</v>
      </c>
      <c r="M117" s="17">
        <v>0.0</v>
      </c>
      <c r="N117" s="17">
        <v>300000.0</v>
      </c>
      <c r="O117" s="141">
        <f t="shared" si="1"/>
        <v>300000</v>
      </c>
      <c r="P117" s="17">
        <v>20.0</v>
      </c>
      <c r="Q117" s="17">
        <v>0.0</v>
      </c>
      <c r="R117" s="17">
        <v>5.0</v>
      </c>
      <c r="S117" s="171">
        <f t="shared" si="5"/>
        <v>0</v>
      </c>
      <c r="T117" s="171">
        <f t="shared" si="6"/>
        <v>20</v>
      </c>
      <c r="U117" s="171">
        <f t="shared" si="7"/>
        <v>10</v>
      </c>
      <c r="V117" s="17">
        <v>5.0</v>
      </c>
      <c r="W117" s="171">
        <f t="shared" si="4"/>
        <v>60</v>
      </c>
      <c r="X117" s="17" t="s">
        <v>453</v>
      </c>
      <c r="Y117" s="17" t="s">
        <v>2198</v>
      </c>
      <c r="Z117" s="133" t="s">
        <v>2199</v>
      </c>
      <c r="AA117" s="134" t="str">
        <f>HYPERLINK("https://drive.google.com/file/d/1sqYyVui5scXxZyphhB_qO7LQpNEf6N6f/view?usp=drivesdk","PSA_Khairunnisa_523")</f>
        <v>PSA_Khairunnisa_523</v>
      </c>
      <c r="AB117" s="17" t="s">
        <v>2177</v>
      </c>
    </row>
    <row r="118">
      <c r="A118" s="149">
        <v>45874.0</v>
      </c>
      <c r="B118" s="149">
        <v>45890.0</v>
      </c>
      <c r="C118" s="168">
        <v>524.0</v>
      </c>
      <c r="D118" s="17" t="s">
        <v>2065</v>
      </c>
      <c r="E118" s="17" t="s">
        <v>2066</v>
      </c>
      <c r="F118" s="17" t="s">
        <v>1132</v>
      </c>
      <c r="G118" s="17" t="s">
        <v>541</v>
      </c>
      <c r="H118" s="17" t="s">
        <v>1676</v>
      </c>
      <c r="I118" s="17" t="s">
        <v>1051</v>
      </c>
      <c r="J118" s="17">
        <v>1.0</v>
      </c>
      <c r="K118" s="17">
        <v>1.0</v>
      </c>
      <c r="L118" s="17">
        <v>1.0</v>
      </c>
      <c r="M118" s="17">
        <v>0.0</v>
      </c>
      <c r="N118" s="17">
        <v>300000.0</v>
      </c>
      <c r="O118" s="141">
        <f t="shared" si="1"/>
        <v>300000</v>
      </c>
      <c r="P118" s="17">
        <v>20.0</v>
      </c>
      <c r="Q118" s="17">
        <v>0.0</v>
      </c>
      <c r="R118" s="17">
        <v>5.0</v>
      </c>
      <c r="S118" s="171">
        <f t="shared" si="5"/>
        <v>0</v>
      </c>
      <c r="T118" s="171">
        <f t="shared" si="6"/>
        <v>20</v>
      </c>
      <c r="U118" s="171">
        <f t="shared" si="7"/>
        <v>10</v>
      </c>
      <c r="V118" s="17">
        <v>5.0</v>
      </c>
      <c r="W118" s="171">
        <f t="shared" si="4"/>
        <v>60</v>
      </c>
      <c r="X118" s="17" t="s">
        <v>453</v>
      </c>
      <c r="Y118" s="17" t="s">
        <v>2200</v>
      </c>
      <c r="Z118" s="133" t="s">
        <v>2201</v>
      </c>
      <c r="AA118" s="134" t="str">
        <f>HYPERLINK("https://drive.google.com/file/d/1pWQsLdFA56gf4u4RkM50PBphnHv8klhY/view?usp=drivesdk","PSA_Khairunnisa_524")</f>
        <v>PSA_Khairunnisa_524</v>
      </c>
      <c r="AB118" s="17" t="s">
        <v>2202</v>
      </c>
    </row>
    <row r="119">
      <c r="A119" s="149">
        <v>45889.0</v>
      </c>
      <c r="B119" s="149">
        <v>45895.0</v>
      </c>
      <c r="C119" s="168">
        <v>546.0</v>
      </c>
      <c r="D119" s="274" t="s">
        <v>2203</v>
      </c>
      <c r="E119" s="17" t="s">
        <v>2204</v>
      </c>
      <c r="F119" s="17" t="s">
        <v>1132</v>
      </c>
      <c r="G119" s="17" t="s">
        <v>541</v>
      </c>
      <c r="H119" s="17" t="s">
        <v>1676</v>
      </c>
      <c r="I119" s="17" t="s">
        <v>1051</v>
      </c>
      <c r="J119" s="17">
        <v>3.0</v>
      </c>
      <c r="K119" s="17">
        <v>3.0</v>
      </c>
      <c r="L119" s="17">
        <v>3.0</v>
      </c>
      <c r="M119" s="17">
        <v>0.0</v>
      </c>
      <c r="N119" s="17">
        <v>200000.0</v>
      </c>
      <c r="O119" s="141">
        <f t="shared" si="1"/>
        <v>600000</v>
      </c>
      <c r="P119" s="17">
        <v>20.0</v>
      </c>
      <c r="Q119" s="17">
        <v>0.0</v>
      </c>
      <c r="R119" s="17">
        <v>5.0</v>
      </c>
      <c r="S119" s="171">
        <f t="shared" si="5"/>
        <v>0</v>
      </c>
      <c r="T119" s="171">
        <f t="shared" si="6"/>
        <v>60</v>
      </c>
      <c r="U119" s="171">
        <f t="shared" si="7"/>
        <v>30</v>
      </c>
      <c r="V119" s="17">
        <v>5.0</v>
      </c>
      <c r="W119" s="171">
        <f t="shared" si="4"/>
        <v>120</v>
      </c>
      <c r="X119" s="17" t="s">
        <v>453</v>
      </c>
      <c r="Y119" s="17" t="s">
        <v>2205</v>
      </c>
      <c r="Z119" s="133" t="s">
        <v>2206</v>
      </c>
      <c r="AA119" s="134" t="str">
        <f>HYPERLINK("https://drive.google.com/file/d/1Cghz1trKbC5cEVVPKj9J0tNwgHDgowVh/view?usp=drivesdk","PSA_Anida Faizatur Rahmah_546")</f>
        <v>PSA_Anida Faizatur Rahmah_546</v>
      </c>
      <c r="AB119" s="17" t="s">
        <v>2207</v>
      </c>
    </row>
    <row r="120">
      <c r="A120" s="149">
        <v>45890.0</v>
      </c>
      <c r="B120" s="149">
        <v>45895.0</v>
      </c>
      <c r="C120" s="168">
        <v>547.0</v>
      </c>
      <c r="D120" s="17" t="s">
        <v>2208</v>
      </c>
      <c r="E120" s="17" t="s">
        <v>2209</v>
      </c>
      <c r="F120" s="17" t="s">
        <v>799</v>
      </c>
      <c r="G120" s="17" t="s">
        <v>541</v>
      </c>
      <c r="H120" s="17" t="s">
        <v>1676</v>
      </c>
      <c r="I120" s="17" t="s">
        <v>1051</v>
      </c>
      <c r="J120" s="17">
        <v>1.0</v>
      </c>
      <c r="K120" s="17">
        <v>1.0</v>
      </c>
      <c r="L120" s="17">
        <v>1.0</v>
      </c>
      <c r="M120" s="17">
        <v>0.0</v>
      </c>
      <c r="N120" s="17">
        <v>200000.0</v>
      </c>
      <c r="O120" s="141">
        <f t="shared" si="1"/>
        <v>200000</v>
      </c>
      <c r="P120" s="17">
        <v>20.0</v>
      </c>
      <c r="Q120" s="17">
        <v>0.0</v>
      </c>
      <c r="R120" s="17">
        <v>5.0</v>
      </c>
      <c r="S120" s="171">
        <f t="shared" si="5"/>
        <v>0</v>
      </c>
      <c r="T120" s="171">
        <f t="shared" si="6"/>
        <v>20</v>
      </c>
      <c r="U120" s="171">
        <f t="shared" si="7"/>
        <v>10</v>
      </c>
      <c r="V120" s="17">
        <v>5.0</v>
      </c>
      <c r="W120" s="171">
        <f t="shared" si="4"/>
        <v>60</v>
      </c>
      <c r="X120" s="17" t="s">
        <v>453</v>
      </c>
      <c r="Y120" s="17" t="s">
        <v>2210</v>
      </c>
      <c r="Z120" s="133" t="s">
        <v>2211</v>
      </c>
      <c r="AA120" s="134" t="str">
        <f>HYPERLINK("https://drive.google.com/file/d/18jQzu-oRtteVx7hmJ38OGxdCS5aznfFB/view?usp=drivesdk","PSA_Faradila Putri Dewinta Azzahra_547")</f>
        <v>PSA_Faradila Putri Dewinta Azzahra_547</v>
      </c>
      <c r="AB120" s="17" t="s">
        <v>2212</v>
      </c>
    </row>
    <row r="121">
      <c r="A121" s="149">
        <v>45882.0</v>
      </c>
      <c r="B121" s="149">
        <v>45896.0</v>
      </c>
      <c r="C121" s="278">
        <v>540.0</v>
      </c>
      <c r="D121" s="136" t="s">
        <v>2213</v>
      </c>
      <c r="E121" s="136" t="s">
        <v>2214</v>
      </c>
      <c r="F121" s="136" t="s">
        <v>2215</v>
      </c>
      <c r="G121" s="17" t="s">
        <v>541</v>
      </c>
      <c r="H121" s="17" t="s">
        <v>1676</v>
      </c>
      <c r="I121" s="17" t="s">
        <v>777</v>
      </c>
      <c r="J121" s="17">
        <v>4.0</v>
      </c>
      <c r="K121" s="17">
        <v>4.0</v>
      </c>
      <c r="L121" s="17">
        <v>4.0</v>
      </c>
      <c r="M121" s="17">
        <v>0.0</v>
      </c>
      <c r="N121" s="17">
        <v>300000.0</v>
      </c>
      <c r="O121" s="141">
        <f t="shared" si="1"/>
        <v>1200000</v>
      </c>
      <c r="P121" s="17">
        <v>20.0</v>
      </c>
      <c r="Q121" s="17">
        <v>0.0</v>
      </c>
      <c r="R121" s="17">
        <v>5.0</v>
      </c>
      <c r="S121" s="171">
        <f t="shared" si="5"/>
        <v>0</v>
      </c>
      <c r="T121" s="171">
        <f t="shared" si="6"/>
        <v>80</v>
      </c>
      <c r="U121" s="171">
        <f t="shared" si="7"/>
        <v>40</v>
      </c>
      <c r="V121" s="17">
        <v>5.0</v>
      </c>
      <c r="W121" s="171">
        <f t="shared" si="4"/>
        <v>150</v>
      </c>
      <c r="X121" s="17" t="s">
        <v>453</v>
      </c>
      <c r="Y121" s="17" t="s">
        <v>2216</v>
      </c>
      <c r="Z121" s="133" t="s">
        <v>2217</v>
      </c>
      <c r="AA121" s="134" t="str">
        <f>HYPERLINK("https://drive.google.com/file/d/17zIbOjpGWKU5e-EctOxNQ7hhmGAMMX4z/view?usp=drivesdk","PSA_Suhendro Trinugroho_540")</f>
        <v>PSA_Suhendro Trinugroho_540</v>
      </c>
      <c r="AB121" s="17" t="s">
        <v>2218</v>
      </c>
    </row>
    <row r="122">
      <c r="A122" s="149">
        <v>45894.0</v>
      </c>
      <c r="B122" s="149">
        <v>45896.0</v>
      </c>
      <c r="C122" s="278">
        <v>552.0</v>
      </c>
      <c r="D122" s="136" t="s">
        <v>2219</v>
      </c>
      <c r="E122" s="136" t="s">
        <v>2220</v>
      </c>
      <c r="F122" s="136" t="s">
        <v>2221</v>
      </c>
      <c r="G122" s="17" t="s">
        <v>541</v>
      </c>
      <c r="H122" s="17" t="s">
        <v>1676</v>
      </c>
      <c r="I122" s="17" t="s">
        <v>777</v>
      </c>
      <c r="J122" s="17">
        <v>3.0</v>
      </c>
      <c r="K122" s="17">
        <v>3.0</v>
      </c>
      <c r="L122" s="17">
        <v>3.0</v>
      </c>
      <c r="M122" s="17">
        <v>0.0</v>
      </c>
      <c r="N122" s="17">
        <v>200000.0</v>
      </c>
      <c r="O122" s="141">
        <f t="shared" si="1"/>
        <v>600000</v>
      </c>
      <c r="P122" s="17">
        <v>20.0</v>
      </c>
      <c r="Q122" s="17">
        <v>0.0</v>
      </c>
      <c r="R122" s="17">
        <v>5.0</v>
      </c>
      <c r="S122" s="171">
        <f t="shared" si="5"/>
        <v>0</v>
      </c>
      <c r="T122" s="171">
        <f t="shared" si="6"/>
        <v>60</v>
      </c>
      <c r="U122" s="171">
        <f t="shared" si="7"/>
        <v>30</v>
      </c>
      <c r="V122" s="17">
        <v>5.0</v>
      </c>
      <c r="W122" s="171">
        <f t="shared" si="4"/>
        <v>120</v>
      </c>
      <c r="X122" s="17" t="s">
        <v>453</v>
      </c>
      <c r="Y122" s="17" t="s">
        <v>2222</v>
      </c>
      <c r="Z122" s="133" t="s">
        <v>2223</v>
      </c>
      <c r="AA122" s="134" t="str">
        <f>HYPERLINK("https://drive.google.com/file/d/1eziSkfOZyAHONqNmVNZzUyQj1VeHzKe7/view?usp=drivesdk","PSA_Agnes Sabila Dekatrin Budi Susanti_552")</f>
        <v>PSA_Agnes Sabila Dekatrin Budi Susanti_552</v>
      </c>
      <c r="AB122" s="17" t="s">
        <v>2218</v>
      </c>
    </row>
    <row r="123">
      <c r="A123" s="149">
        <v>45902.0</v>
      </c>
      <c r="B123" s="149">
        <v>45903.0</v>
      </c>
      <c r="C123" s="168">
        <v>571.0</v>
      </c>
      <c r="D123" s="223" t="s">
        <v>2224</v>
      </c>
      <c r="E123" s="279" t="s">
        <v>155</v>
      </c>
      <c r="F123" s="17" t="s">
        <v>799</v>
      </c>
      <c r="G123" s="17" t="s">
        <v>541</v>
      </c>
      <c r="H123" s="17" t="s">
        <v>1676</v>
      </c>
      <c r="I123" s="17" t="s">
        <v>1051</v>
      </c>
      <c r="J123" s="17">
        <v>1.0</v>
      </c>
      <c r="K123" s="17">
        <v>1.0</v>
      </c>
      <c r="L123" s="17">
        <v>1.0</v>
      </c>
      <c r="M123" s="17">
        <v>0.0</v>
      </c>
      <c r="N123" s="17">
        <v>200000.0</v>
      </c>
      <c r="O123" s="141">
        <f t="shared" si="1"/>
        <v>200000</v>
      </c>
      <c r="P123" s="17">
        <v>20.0</v>
      </c>
      <c r="Q123" s="17">
        <v>0.0</v>
      </c>
      <c r="R123" s="17">
        <v>5.0</v>
      </c>
      <c r="S123" s="171">
        <f t="shared" si="5"/>
        <v>0</v>
      </c>
      <c r="T123" s="171">
        <f t="shared" si="6"/>
        <v>20</v>
      </c>
      <c r="U123" s="171">
        <f t="shared" si="7"/>
        <v>10</v>
      </c>
      <c r="V123" s="17">
        <v>5.0</v>
      </c>
      <c r="W123" s="171">
        <f t="shared" si="4"/>
        <v>60</v>
      </c>
      <c r="X123" s="17" t="s">
        <v>453</v>
      </c>
      <c r="Y123" s="17" t="s">
        <v>2225</v>
      </c>
      <c r="Z123" s="133" t="s">
        <v>2226</v>
      </c>
      <c r="AA123" s="134" t="str">
        <f>HYPERLINK("https://drive.google.com/file/d/1gqZWmtBXRnsGYsRHgvZtL8BhqKuaS81R/view?usp=drivesdk","PSA_Dr. rer. nat. Maulidan Firdaus, S.Si., M.Sc_571")</f>
        <v>PSA_Dr. rer. nat. Maulidan Firdaus, S.Si., M.Sc_571</v>
      </c>
      <c r="AB123" s="17" t="s">
        <v>2227</v>
      </c>
    </row>
    <row r="124">
      <c r="A124" s="149">
        <v>45904.0</v>
      </c>
      <c r="B124" s="149">
        <v>45910.0</v>
      </c>
      <c r="C124" s="168">
        <v>574.0</v>
      </c>
      <c r="D124" s="17" t="s">
        <v>2228</v>
      </c>
      <c r="E124" s="279" t="s">
        <v>155</v>
      </c>
      <c r="F124" s="17" t="s">
        <v>2229</v>
      </c>
      <c r="G124" s="17" t="s">
        <v>541</v>
      </c>
      <c r="H124" s="17" t="s">
        <v>1676</v>
      </c>
      <c r="I124" s="17" t="s">
        <v>1051</v>
      </c>
      <c r="J124" s="17">
        <v>1.0</v>
      </c>
      <c r="K124" s="17">
        <v>1.0</v>
      </c>
      <c r="L124" s="17">
        <v>1.0</v>
      </c>
      <c r="M124" s="17">
        <v>0.0</v>
      </c>
      <c r="N124" s="17">
        <v>300000.0</v>
      </c>
      <c r="O124" s="141">
        <f t="shared" si="1"/>
        <v>300000</v>
      </c>
      <c r="P124" s="17">
        <v>20.0</v>
      </c>
      <c r="Q124" s="17">
        <v>0.0</v>
      </c>
      <c r="R124" s="17">
        <v>5.0</v>
      </c>
      <c r="S124" s="171">
        <f t="shared" si="5"/>
        <v>0</v>
      </c>
      <c r="T124" s="171">
        <f t="shared" si="6"/>
        <v>20</v>
      </c>
      <c r="U124" s="171">
        <f t="shared" si="7"/>
        <v>10</v>
      </c>
      <c r="V124" s="17">
        <v>5.0</v>
      </c>
      <c r="W124" s="171">
        <f t="shared" si="4"/>
        <v>60</v>
      </c>
      <c r="X124" s="17" t="s">
        <v>453</v>
      </c>
      <c r="Y124" s="17" t="s">
        <v>2230</v>
      </c>
      <c r="Z124" s="133" t="s">
        <v>2231</v>
      </c>
      <c r="AA124" s="134" t="str">
        <f>HYPERLINK("https://drive.google.com/file/d/12RA7KOXfF17CA-olPqo1Mc77dS0qaZdZ/view?usp=drivesdk","PSA_apt. Yetti Hariningsih, M. Farm._574")</f>
        <v>PSA_apt. Yetti Hariningsih, M. Farm._574</v>
      </c>
      <c r="AB124" s="17" t="s">
        <v>2232</v>
      </c>
    </row>
    <row r="125">
      <c r="A125" s="149">
        <v>45911.0</v>
      </c>
      <c r="B125" s="149">
        <v>45911.0</v>
      </c>
      <c r="C125" s="168">
        <v>591.0</v>
      </c>
      <c r="D125" s="17" t="s">
        <v>2233</v>
      </c>
      <c r="E125" s="279" t="s">
        <v>155</v>
      </c>
      <c r="F125" s="17" t="s">
        <v>155</v>
      </c>
      <c r="G125" s="17" t="s">
        <v>541</v>
      </c>
      <c r="H125" s="17" t="s">
        <v>1676</v>
      </c>
      <c r="I125" s="17" t="s">
        <v>1051</v>
      </c>
      <c r="J125" s="17">
        <v>1.0</v>
      </c>
      <c r="K125" s="17">
        <v>1.0</v>
      </c>
      <c r="L125" s="17">
        <v>1.0</v>
      </c>
      <c r="M125" s="17">
        <v>0.0</v>
      </c>
      <c r="N125" s="17">
        <v>300000.0</v>
      </c>
      <c r="O125" s="141">
        <f t="shared" si="1"/>
        <v>300000</v>
      </c>
      <c r="P125" s="17">
        <v>20.0</v>
      </c>
      <c r="Q125" s="17">
        <v>0.0</v>
      </c>
      <c r="R125" s="17">
        <v>5.0</v>
      </c>
      <c r="S125" s="171">
        <f t="shared" si="5"/>
        <v>0</v>
      </c>
      <c r="T125" s="171">
        <f t="shared" si="6"/>
        <v>20</v>
      </c>
      <c r="U125" s="171">
        <f t="shared" si="7"/>
        <v>10</v>
      </c>
      <c r="V125" s="17">
        <v>5.0</v>
      </c>
      <c r="W125" s="171">
        <f t="shared" si="4"/>
        <v>60</v>
      </c>
      <c r="X125" s="17" t="s">
        <v>453</v>
      </c>
      <c r="Y125" s="17" t="s">
        <v>2234</v>
      </c>
      <c r="Z125" s="133" t="s">
        <v>2235</v>
      </c>
      <c r="AA125" s="134" t="str">
        <f>HYPERLINK("https://drive.google.com/file/d/1iry96pejknw92QU5Y70udw2UbyQKI8gf/view?usp=drivesdk","PSA_Stevy S_591")</f>
        <v>PSA_Stevy S_591</v>
      </c>
      <c r="AB125" s="17" t="s">
        <v>2236</v>
      </c>
    </row>
    <row r="126">
      <c r="A126" s="149">
        <v>45915.0</v>
      </c>
      <c r="B126" s="149">
        <v>45917.0</v>
      </c>
      <c r="C126" s="168">
        <v>597.0</v>
      </c>
      <c r="D126" s="17" t="s">
        <v>1692</v>
      </c>
      <c r="E126" s="279" t="s">
        <v>155</v>
      </c>
      <c r="F126" s="17" t="s">
        <v>155</v>
      </c>
      <c r="G126" s="17" t="s">
        <v>541</v>
      </c>
      <c r="H126" s="17" t="s">
        <v>1676</v>
      </c>
      <c r="I126" s="17" t="s">
        <v>1051</v>
      </c>
      <c r="J126" s="17">
        <v>2.0</v>
      </c>
      <c r="K126" s="17">
        <v>2.0</v>
      </c>
      <c r="L126" s="17">
        <v>2.0</v>
      </c>
      <c r="M126" s="17">
        <v>0.0</v>
      </c>
      <c r="N126" s="17">
        <v>300000.0</v>
      </c>
      <c r="O126" s="141">
        <f t="shared" si="1"/>
        <v>600000</v>
      </c>
      <c r="P126" s="17">
        <v>20.0</v>
      </c>
      <c r="Q126" s="17">
        <v>0.0</v>
      </c>
      <c r="R126" s="17">
        <v>0.0</v>
      </c>
      <c r="S126" s="171">
        <f t="shared" si="5"/>
        <v>0</v>
      </c>
      <c r="T126" s="171">
        <f t="shared" si="6"/>
        <v>40</v>
      </c>
      <c r="U126" s="171">
        <f t="shared" si="7"/>
        <v>20</v>
      </c>
      <c r="V126" s="17">
        <v>5.0</v>
      </c>
      <c r="W126" s="171">
        <f t="shared" si="4"/>
        <v>85</v>
      </c>
      <c r="X126" s="17" t="s">
        <v>453</v>
      </c>
      <c r="Y126" s="17" t="s">
        <v>2237</v>
      </c>
      <c r="Z126" s="133" t="s">
        <v>2238</v>
      </c>
      <c r="AA126" s="134" t="str">
        <f>HYPERLINK("https://drive.google.com/file/d/1lKcMfetoYJlVdYpHcCCuK3cEskwXqInR/view?usp=drivesdk","PSA_Prof Agus S_597")</f>
        <v>PSA_Prof Agus S_597</v>
      </c>
      <c r="AB126" s="17" t="s">
        <v>2239</v>
      </c>
    </row>
    <row r="127">
      <c r="A127" s="149">
        <v>45915.0</v>
      </c>
      <c r="B127" s="149">
        <v>45917.0</v>
      </c>
      <c r="C127" s="168">
        <v>598.0</v>
      </c>
      <c r="D127" s="17" t="s">
        <v>1692</v>
      </c>
      <c r="E127" s="279" t="s">
        <v>155</v>
      </c>
      <c r="F127" s="17" t="s">
        <v>155</v>
      </c>
      <c r="G127" s="17" t="s">
        <v>541</v>
      </c>
      <c r="H127" s="17" t="s">
        <v>1682</v>
      </c>
      <c r="I127" s="17" t="s">
        <v>1051</v>
      </c>
      <c r="J127" s="17">
        <v>3.0</v>
      </c>
      <c r="K127" s="17">
        <v>6.0</v>
      </c>
      <c r="L127" s="17">
        <v>3.0</v>
      </c>
      <c r="M127" s="17">
        <v>3.0</v>
      </c>
      <c r="N127" s="17">
        <v>300000.0</v>
      </c>
      <c r="O127" s="141">
        <f t="shared" si="1"/>
        <v>900000</v>
      </c>
      <c r="P127" s="17">
        <v>20.0</v>
      </c>
      <c r="Q127" s="17">
        <v>0.0</v>
      </c>
      <c r="R127" s="17">
        <v>15.0</v>
      </c>
      <c r="S127" s="171">
        <f t="shared" si="5"/>
        <v>60</v>
      </c>
      <c r="T127" s="171">
        <f t="shared" si="6"/>
        <v>60</v>
      </c>
      <c r="U127" s="171">
        <f t="shared" si="7"/>
        <v>60</v>
      </c>
      <c r="V127" s="17">
        <v>5.0</v>
      </c>
      <c r="W127" s="171">
        <f t="shared" si="4"/>
        <v>220</v>
      </c>
      <c r="X127" s="17" t="s">
        <v>453</v>
      </c>
      <c r="Y127" s="17" t="s">
        <v>2240</v>
      </c>
      <c r="Z127" s="133" t="s">
        <v>2241</v>
      </c>
      <c r="AA127" s="134" t="str">
        <f>HYPERLINK("https://drive.google.com/file/d/1W5fd8gxCrktWon3mwvUiSjMhg7ij1Ooe/view?usp=drivesdk","PSA_Prof Agus S_598")</f>
        <v>PSA_Prof Agus S_598</v>
      </c>
      <c r="AB127" s="17" t="s">
        <v>2239</v>
      </c>
    </row>
    <row r="128">
      <c r="A128" s="149">
        <v>6704665.0</v>
      </c>
      <c r="B128" s="149">
        <v>45931.0</v>
      </c>
      <c r="C128" s="168">
        <v>642.0</v>
      </c>
      <c r="D128" s="17" t="s">
        <v>2242</v>
      </c>
      <c r="E128" s="279" t="s">
        <v>155</v>
      </c>
      <c r="F128" s="17" t="s">
        <v>155</v>
      </c>
      <c r="G128" s="17" t="s">
        <v>541</v>
      </c>
      <c r="H128" s="17" t="s">
        <v>1676</v>
      </c>
      <c r="I128" s="17" t="s">
        <v>1051</v>
      </c>
      <c r="J128" s="17">
        <v>1.0</v>
      </c>
      <c r="K128" s="17">
        <v>1.0</v>
      </c>
      <c r="L128" s="17">
        <v>1.0</v>
      </c>
      <c r="M128" s="17">
        <v>0.0</v>
      </c>
      <c r="N128" s="17">
        <v>300000.0</v>
      </c>
      <c r="O128" s="141">
        <f t="shared" si="1"/>
        <v>300000</v>
      </c>
      <c r="P128" s="17">
        <v>20.0</v>
      </c>
      <c r="Q128" s="17">
        <v>0.0</v>
      </c>
      <c r="R128" s="17">
        <v>15.0</v>
      </c>
      <c r="S128" s="171">
        <f t="shared" si="5"/>
        <v>0</v>
      </c>
      <c r="T128" s="171">
        <f t="shared" si="6"/>
        <v>20</v>
      </c>
      <c r="U128" s="171">
        <f t="shared" si="7"/>
        <v>10</v>
      </c>
      <c r="V128" s="17">
        <v>5.0</v>
      </c>
      <c r="W128" s="171">
        <f t="shared" si="4"/>
        <v>70</v>
      </c>
      <c r="X128" s="17" t="s">
        <v>453</v>
      </c>
      <c r="Y128" s="17" t="s">
        <v>2243</v>
      </c>
      <c r="Z128" s="133" t="s">
        <v>2244</v>
      </c>
      <c r="AA128" s="134" t="str">
        <f>HYPERLINK("https://drive.google.com/file/d/1HbIzCTGB91qa9hIv4CNRksYq1qVhrxWm/view?usp=drivesdk","PSA_Mei Suhartono_642")</f>
        <v>PSA_Mei Suhartono_642</v>
      </c>
      <c r="AB128" s="17" t="s">
        <v>2245</v>
      </c>
    </row>
    <row r="129">
      <c r="A129" s="149">
        <v>45929.0</v>
      </c>
      <c r="B129" s="149">
        <v>45931.0</v>
      </c>
      <c r="C129" s="168">
        <v>639.0</v>
      </c>
      <c r="D129" s="17" t="s">
        <v>2208</v>
      </c>
      <c r="E129" s="279" t="s">
        <v>2209</v>
      </c>
      <c r="F129" s="17" t="s">
        <v>799</v>
      </c>
      <c r="G129" s="17" t="s">
        <v>541</v>
      </c>
      <c r="H129" s="17" t="s">
        <v>1682</v>
      </c>
      <c r="I129" s="17" t="s">
        <v>1051</v>
      </c>
      <c r="J129" s="17">
        <v>1.0</v>
      </c>
      <c r="K129" s="17">
        <v>2.0</v>
      </c>
      <c r="L129" s="17">
        <v>1.0</v>
      </c>
      <c r="M129" s="17">
        <v>1.0</v>
      </c>
      <c r="N129" s="17">
        <v>200000.0</v>
      </c>
      <c r="O129" s="141">
        <f t="shared" si="1"/>
        <v>200000</v>
      </c>
      <c r="P129" s="17">
        <v>20.0</v>
      </c>
      <c r="Q129" s="17">
        <v>0.0</v>
      </c>
      <c r="R129" s="17">
        <v>15.0</v>
      </c>
      <c r="S129" s="171">
        <f t="shared" si="5"/>
        <v>20</v>
      </c>
      <c r="T129" s="171">
        <f t="shared" si="6"/>
        <v>20</v>
      </c>
      <c r="U129" s="171">
        <f t="shared" si="7"/>
        <v>20</v>
      </c>
      <c r="V129" s="17">
        <v>5.0</v>
      </c>
      <c r="W129" s="171">
        <f t="shared" si="4"/>
        <v>100</v>
      </c>
      <c r="X129" s="17" t="s">
        <v>453</v>
      </c>
      <c r="Y129" s="17" t="s">
        <v>2246</v>
      </c>
      <c r="Z129" s="133" t="s">
        <v>2247</v>
      </c>
      <c r="AA129" s="134" t="str">
        <f>HYPERLINK("https://drive.google.com/file/d/1217gmrrnl9fKFYNw-UHmndYGs9RjRlUj/view?usp=drivesdk","PSA_Faradila Putri Dewinta Azzahra_639")</f>
        <v>PSA_Faradila Putri Dewinta Azzahra_639</v>
      </c>
      <c r="AB129" s="17" t="s">
        <v>2245</v>
      </c>
    </row>
    <row r="130">
      <c r="A130" s="149">
        <v>45929.0</v>
      </c>
      <c r="B130" s="149">
        <v>45932.0</v>
      </c>
      <c r="C130" s="168">
        <v>638.0</v>
      </c>
      <c r="D130" s="17" t="s">
        <v>1692</v>
      </c>
      <c r="E130" s="279" t="s">
        <v>155</v>
      </c>
      <c r="F130" s="17" t="s">
        <v>155</v>
      </c>
      <c r="G130" s="17" t="s">
        <v>541</v>
      </c>
      <c r="H130" s="17" t="s">
        <v>1676</v>
      </c>
      <c r="I130" s="17" t="s">
        <v>1051</v>
      </c>
      <c r="J130" s="17">
        <v>2.0</v>
      </c>
      <c r="K130" s="17">
        <v>2.0</v>
      </c>
      <c r="L130" s="17">
        <v>2.0</v>
      </c>
      <c r="M130" s="17">
        <v>0.0</v>
      </c>
      <c r="N130" s="17">
        <v>300000.0</v>
      </c>
      <c r="O130" s="141">
        <f t="shared" si="1"/>
        <v>600000</v>
      </c>
      <c r="P130" s="17">
        <v>20.0</v>
      </c>
      <c r="Q130" s="17">
        <v>0.0</v>
      </c>
      <c r="R130" s="17">
        <v>15.0</v>
      </c>
      <c r="S130" s="171">
        <f t="shared" si="5"/>
        <v>0</v>
      </c>
      <c r="T130" s="171">
        <f t="shared" si="6"/>
        <v>40</v>
      </c>
      <c r="U130" s="171">
        <f t="shared" si="7"/>
        <v>20</v>
      </c>
      <c r="V130" s="17">
        <v>5.0</v>
      </c>
      <c r="W130" s="171">
        <f t="shared" si="4"/>
        <v>100</v>
      </c>
      <c r="X130" s="17" t="s">
        <v>453</v>
      </c>
      <c r="Y130" s="17" t="s">
        <v>2248</v>
      </c>
      <c r="Z130" s="133" t="s">
        <v>2249</v>
      </c>
      <c r="AA130" s="134" t="str">
        <f>HYPERLINK("https://drive.google.com/file/d/1cGGrN_GD5nLRMyMuyQ0P2HCljlPvlJj7/view?usp=drivesdk","PSA_Prof Agus S_638")</f>
        <v>PSA_Prof Agus S_638</v>
      </c>
      <c r="AB130" s="17" t="s">
        <v>2250</v>
      </c>
    </row>
    <row r="131">
      <c r="A131" s="149">
        <v>45925.0</v>
      </c>
      <c r="B131" s="149">
        <v>45929.0</v>
      </c>
      <c r="C131" s="168">
        <v>631.0</v>
      </c>
      <c r="D131" s="17" t="s">
        <v>1692</v>
      </c>
      <c r="E131" s="279" t="s">
        <v>155</v>
      </c>
      <c r="F131" s="17" t="s">
        <v>155</v>
      </c>
      <c r="G131" s="17" t="s">
        <v>541</v>
      </c>
      <c r="H131" s="17" t="s">
        <v>1676</v>
      </c>
      <c r="I131" s="17" t="s">
        <v>1051</v>
      </c>
      <c r="J131" s="17">
        <v>1.0</v>
      </c>
      <c r="K131" s="17">
        <v>1.0</v>
      </c>
      <c r="L131" s="17">
        <v>1.0</v>
      </c>
      <c r="M131" s="17">
        <v>0.0</v>
      </c>
      <c r="N131" s="17">
        <v>300000.0</v>
      </c>
      <c r="O131" s="141">
        <f t="shared" si="1"/>
        <v>300000</v>
      </c>
      <c r="P131" s="17">
        <v>20.0</v>
      </c>
      <c r="Q131" s="17">
        <v>0.0</v>
      </c>
      <c r="R131" s="17">
        <v>15.0</v>
      </c>
      <c r="S131" s="171">
        <f t="shared" si="5"/>
        <v>0</v>
      </c>
      <c r="T131" s="171">
        <f t="shared" si="6"/>
        <v>20</v>
      </c>
      <c r="U131" s="171">
        <f t="shared" si="7"/>
        <v>10</v>
      </c>
      <c r="V131" s="17">
        <v>5.0</v>
      </c>
      <c r="W131" s="171">
        <f t="shared" si="4"/>
        <v>70</v>
      </c>
      <c r="X131" s="17" t="s">
        <v>453</v>
      </c>
      <c r="Y131" s="17" t="s">
        <v>2251</v>
      </c>
      <c r="Z131" s="133" t="s">
        <v>2252</v>
      </c>
      <c r="AA131" s="134" t="str">
        <f>HYPERLINK("https://drive.google.com/file/d/1JjNZpNFXiTZf8bVn4kH1cZUenIQbyqHN/view?usp=drivesdk","PSA_Prof Agus S_631")</f>
        <v>PSA_Prof Agus S_631</v>
      </c>
      <c r="AB131" s="17" t="s">
        <v>2250</v>
      </c>
    </row>
    <row r="132">
      <c r="A132" s="149">
        <v>45926.0</v>
      </c>
      <c r="B132" s="149">
        <v>45929.0</v>
      </c>
      <c r="C132" s="168">
        <v>635.0</v>
      </c>
      <c r="D132" s="17" t="s">
        <v>2228</v>
      </c>
      <c r="E132" s="279" t="s">
        <v>155</v>
      </c>
      <c r="F132" s="17" t="s">
        <v>2229</v>
      </c>
      <c r="G132" s="17" t="s">
        <v>541</v>
      </c>
      <c r="H132" s="17" t="s">
        <v>1676</v>
      </c>
      <c r="I132" s="17" t="s">
        <v>1051</v>
      </c>
      <c r="J132" s="17">
        <v>1.0</v>
      </c>
      <c r="K132" s="17">
        <v>1.0</v>
      </c>
      <c r="L132" s="17">
        <v>1.0</v>
      </c>
      <c r="M132" s="17">
        <v>0.0</v>
      </c>
      <c r="N132" s="17">
        <v>300000.0</v>
      </c>
      <c r="O132" s="141">
        <f t="shared" si="1"/>
        <v>300000</v>
      </c>
      <c r="P132" s="17">
        <v>20.0</v>
      </c>
      <c r="Q132" s="17">
        <v>0.0</v>
      </c>
      <c r="R132" s="17">
        <v>15.0</v>
      </c>
      <c r="S132" s="171">
        <f t="shared" si="5"/>
        <v>0</v>
      </c>
      <c r="T132" s="171">
        <f t="shared" si="6"/>
        <v>20</v>
      </c>
      <c r="U132" s="171">
        <f t="shared" si="7"/>
        <v>10</v>
      </c>
      <c r="V132" s="17">
        <v>5.0</v>
      </c>
      <c r="W132" s="171">
        <f t="shared" si="4"/>
        <v>70</v>
      </c>
      <c r="X132" s="17" t="s">
        <v>453</v>
      </c>
      <c r="Y132" s="17" t="s">
        <v>2253</v>
      </c>
      <c r="Z132" s="133" t="s">
        <v>2254</v>
      </c>
      <c r="AA132" s="134" t="str">
        <f>HYPERLINK("https://drive.google.com/file/d/1gVEBhI-ioTOrY-mrlMPQvOKfTE2lX3QT/view?usp=drivesdk","PSA_apt. Yetti Hariningsih, M. Farm._635")</f>
        <v>PSA_apt. Yetti Hariningsih, M. Farm._635</v>
      </c>
      <c r="AB132" s="17" t="s">
        <v>2250</v>
      </c>
    </row>
    <row r="133">
      <c r="A133" s="149">
        <v>45940.0</v>
      </c>
      <c r="B133" s="149">
        <v>45943.0</v>
      </c>
      <c r="C133" s="280">
        <v>671.0</v>
      </c>
      <c r="D133" s="136" t="s">
        <v>2255</v>
      </c>
      <c r="E133" s="233" t="s">
        <v>2256</v>
      </c>
      <c r="F133" s="136" t="s">
        <v>2257</v>
      </c>
      <c r="G133" s="17" t="s">
        <v>541</v>
      </c>
      <c r="H133" s="17" t="s">
        <v>1682</v>
      </c>
      <c r="I133" s="17" t="s">
        <v>777</v>
      </c>
      <c r="J133" s="17">
        <v>1.0</v>
      </c>
      <c r="K133" s="17">
        <v>1.0</v>
      </c>
      <c r="L133" s="17">
        <v>1.0</v>
      </c>
      <c r="M133" s="17">
        <v>1.0</v>
      </c>
      <c r="N133" s="17">
        <v>200000.0</v>
      </c>
      <c r="O133" s="141">
        <f t="shared" si="1"/>
        <v>200000</v>
      </c>
      <c r="P133" s="17">
        <v>20.0</v>
      </c>
      <c r="Q133" s="17">
        <v>0.0</v>
      </c>
      <c r="R133" s="17">
        <v>15.0</v>
      </c>
      <c r="S133" s="171">
        <f t="shared" si="5"/>
        <v>20</v>
      </c>
      <c r="T133" s="171">
        <f t="shared" si="6"/>
        <v>20</v>
      </c>
      <c r="U133" s="171">
        <f t="shared" si="7"/>
        <v>10</v>
      </c>
      <c r="V133" s="17">
        <v>5.0</v>
      </c>
      <c r="W133" s="171">
        <f t="shared" si="4"/>
        <v>90</v>
      </c>
      <c r="X133" s="17" t="s">
        <v>453</v>
      </c>
      <c r="Y133" s="17" t="s">
        <v>2258</v>
      </c>
      <c r="Z133" s="133" t="s">
        <v>2259</v>
      </c>
      <c r="AA133" s="134" t="str">
        <f>HYPERLINK("https://drive.google.com/file/d/1hrq0vyT9yJk3zImz-Dki12rEx_69W7La/view?usp=drivesdk","PSA_Rafli rinaldi_671")</f>
        <v>PSA_Rafli rinaldi_671</v>
      </c>
      <c r="AB133" s="17" t="s">
        <v>2260</v>
      </c>
    </row>
    <row r="134">
      <c r="A134" s="149">
        <v>45930.0</v>
      </c>
      <c r="B134" s="149">
        <v>45933.0</v>
      </c>
      <c r="C134" s="280">
        <v>651.0</v>
      </c>
      <c r="D134" s="136" t="s">
        <v>2261</v>
      </c>
      <c r="E134" s="233">
        <v>2.307100042E9</v>
      </c>
      <c r="F134" s="136" t="s">
        <v>2262</v>
      </c>
      <c r="G134" s="17" t="s">
        <v>541</v>
      </c>
      <c r="H134" s="17" t="s">
        <v>1698</v>
      </c>
      <c r="I134" s="17" t="s">
        <v>777</v>
      </c>
      <c r="J134" s="17">
        <v>1.0</v>
      </c>
      <c r="K134" s="17">
        <v>2.0</v>
      </c>
      <c r="L134" s="17">
        <v>0.0</v>
      </c>
      <c r="M134" s="17">
        <v>1.0</v>
      </c>
      <c r="N134" s="17">
        <v>300000.0</v>
      </c>
      <c r="O134" s="141">
        <f t="shared" si="1"/>
        <v>300000</v>
      </c>
      <c r="P134" s="17">
        <v>20.0</v>
      </c>
      <c r="Q134" s="17">
        <v>0.0</v>
      </c>
      <c r="R134" s="17">
        <v>15.0</v>
      </c>
      <c r="S134" s="171">
        <f t="shared" si="5"/>
        <v>20</v>
      </c>
      <c r="T134" s="171">
        <f t="shared" si="6"/>
        <v>0</v>
      </c>
      <c r="U134" s="171">
        <f t="shared" si="7"/>
        <v>20</v>
      </c>
      <c r="V134" s="17">
        <v>5.0</v>
      </c>
      <c r="W134" s="171">
        <f t="shared" si="4"/>
        <v>80</v>
      </c>
      <c r="X134" s="17" t="s">
        <v>453</v>
      </c>
      <c r="Y134" s="17" t="s">
        <v>2263</v>
      </c>
      <c r="Z134" s="133" t="s">
        <v>2264</v>
      </c>
      <c r="AA134" s="134" t="str">
        <f>HYPERLINK("https://drive.google.com/file/d/1C1CrXUoNjUAd29j0UKiTGrcPwSgTFNa3/view?usp=drivesdk","PSA_Godeliva Adriani_651")</f>
        <v>PSA_Godeliva Adriani_651</v>
      </c>
      <c r="AB134" s="17" t="s">
        <v>2265</v>
      </c>
    </row>
    <row r="135">
      <c r="A135" s="149">
        <v>45930.0</v>
      </c>
      <c r="B135" s="149">
        <v>45933.0</v>
      </c>
      <c r="C135" s="280">
        <v>645.0</v>
      </c>
      <c r="D135" s="136" t="s">
        <v>2266</v>
      </c>
      <c r="E135" s="233" t="s">
        <v>2267</v>
      </c>
      <c r="F135" s="136" t="s">
        <v>2268</v>
      </c>
      <c r="G135" s="17" t="s">
        <v>541</v>
      </c>
      <c r="H135" s="17" t="s">
        <v>1676</v>
      </c>
      <c r="I135" s="17" t="s">
        <v>777</v>
      </c>
      <c r="J135" s="17">
        <v>4.0</v>
      </c>
      <c r="K135" s="17">
        <v>1.0</v>
      </c>
      <c r="L135" s="17">
        <v>4.0</v>
      </c>
      <c r="M135" s="17">
        <v>0.0</v>
      </c>
      <c r="N135" s="17">
        <v>300000.0</v>
      </c>
      <c r="O135" s="141">
        <f t="shared" si="1"/>
        <v>1200000</v>
      </c>
      <c r="P135" s="17">
        <v>20.0</v>
      </c>
      <c r="Q135" s="17">
        <v>0.0</v>
      </c>
      <c r="R135" s="17">
        <v>15.0</v>
      </c>
      <c r="S135" s="171">
        <f t="shared" si="5"/>
        <v>0</v>
      </c>
      <c r="T135" s="171">
        <f t="shared" si="6"/>
        <v>80</v>
      </c>
      <c r="U135" s="171">
        <f t="shared" si="7"/>
        <v>10</v>
      </c>
      <c r="V135" s="17">
        <v>5.0</v>
      </c>
      <c r="W135" s="171">
        <f t="shared" si="4"/>
        <v>130</v>
      </c>
      <c r="X135" s="17" t="s">
        <v>453</v>
      </c>
      <c r="Y135" s="17" t="s">
        <v>2269</v>
      </c>
      <c r="Z135" s="133" t="s">
        <v>2270</v>
      </c>
      <c r="AA135" s="134" t="str">
        <f>HYPERLINK("https://drive.google.com/file/d/1MDI7xR7pyG4ZiRZCK3XOqHspQCdXX9NL/view?usp=drivesdk","PSA_Aura Raudhatul Jannah _645")</f>
        <v>PSA_Aura Raudhatul Jannah _645</v>
      </c>
      <c r="AB135" s="17" t="s">
        <v>2265</v>
      </c>
    </row>
    <row r="136">
      <c r="A136" s="149">
        <v>45924.0</v>
      </c>
      <c r="B136" s="149">
        <v>45933.0</v>
      </c>
      <c r="C136" s="280">
        <v>630.0</v>
      </c>
      <c r="D136" s="136" t="s">
        <v>2271</v>
      </c>
      <c r="E136" s="233">
        <v>25754.0</v>
      </c>
      <c r="F136" s="136" t="s">
        <v>2272</v>
      </c>
      <c r="G136" s="17" t="s">
        <v>541</v>
      </c>
      <c r="H136" s="17" t="s">
        <v>1676</v>
      </c>
      <c r="I136" s="17" t="s">
        <v>777</v>
      </c>
      <c r="J136" s="17">
        <v>1.0</v>
      </c>
      <c r="K136" s="17">
        <v>1.0</v>
      </c>
      <c r="L136" s="17">
        <v>1.0</v>
      </c>
      <c r="M136" s="17">
        <v>0.0</v>
      </c>
      <c r="N136" s="17">
        <v>300000.0</v>
      </c>
      <c r="O136" s="141">
        <f t="shared" si="1"/>
        <v>300000</v>
      </c>
      <c r="P136" s="17">
        <v>20.0</v>
      </c>
      <c r="Q136" s="17">
        <v>0.0</v>
      </c>
      <c r="R136" s="17">
        <v>15.0</v>
      </c>
      <c r="S136" s="171">
        <f t="shared" si="5"/>
        <v>0</v>
      </c>
      <c r="T136" s="171">
        <f t="shared" si="6"/>
        <v>20</v>
      </c>
      <c r="U136" s="171">
        <f t="shared" si="7"/>
        <v>10</v>
      </c>
      <c r="V136" s="17">
        <v>5.0</v>
      </c>
      <c r="W136" s="171">
        <f t="shared" si="4"/>
        <v>70</v>
      </c>
      <c r="X136" s="17" t="s">
        <v>453</v>
      </c>
      <c r="Y136" s="17" t="s">
        <v>2273</v>
      </c>
      <c r="Z136" s="133" t="s">
        <v>2274</v>
      </c>
      <c r="AA136" s="134" t="str">
        <f>HYPERLINK("https://drive.google.com/file/d/1XoPtNIvbQBsNbt_lc8Veuiy9n6enuinW/view?usp=drivesdk","PSA_NAURA KAYANA HANANIA_630")</f>
        <v>PSA_NAURA KAYANA HANANIA_630</v>
      </c>
      <c r="AB136" s="17" t="s">
        <v>2265</v>
      </c>
    </row>
    <row r="137">
      <c r="A137" s="149">
        <v>45918.0</v>
      </c>
      <c r="B137" s="149">
        <v>45943.0</v>
      </c>
      <c r="C137" s="280">
        <v>595.0</v>
      </c>
      <c r="D137" s="136" t="s">
        <v>2275</v>
      </c>
      <c r="E137" s="233" t="s">
        <v>155</v>
      </c>
      <c r="F137" s="136" t="s">
        <v>2275</v>
      </c>
      <c r="G137" s="17" t="s">
        <v>541</v>
      </c>
      <c r="H137" s="17" t="s">
        <v>1676</v>
      </c>
      <c r="I137" s="17" t="s">
        <v>777</v>
      </c>
      <c r="J137" s="17">
        <v>2.0</v>
      </c>
      <c r="K137" s="17">
        <v>1.0</v>
      </c>
      <c r="L137" s="17">
        <v>2.0</v>
      </c>
      <c r="M137" s="17">
        <v>0.0</v>
      </c>
      <c r="N137" s="17">
        <v>300000.0</v>
      </c>
      <c r="O137" s="141">
        <f t="shared" si="1"/>
        <v>600000</v>
      </c>
      <c r="P137" s="17">
        <v>20.0</v>
      </c>
      <c r="Q137" s="17">
        <v>0.0</v>
      </c>
      <c r="R137" s="17">
        <v>15.0</v>
      </c>
      <c r="S137" s="171">
        <f t="shared" si="5"/>
        <v>0</v>
      </c>
      <c r="T137" s="171">
        <f t="shared" si="6"/>
        <v>40</v>
      </c>
      <c r="U137" s="171">
        <f t="shared" si="7"/>
        <v>10</v>
      </c>
      <c r="V137" s="17">
        <v>5.0</v>
      </c>
      <c r="W137" s="171">
        <f t="shared" si="4"/>
        <v>90</v>
      </c>
      <c r="X137" s="17" t="s">
        <v>453</v>
      </c>
      <c r="Y137" s="17" t="s">
        <v>2276</v>
      </c>
      <c r="Z137" s="133" t="s">
        <v>2277</v>
      </c>
      <c r="AA137" s="134" t="str">
        <f>HYPERLINK("https://drive.google.com/file/d/1tPm-qUIZa-hkMrMTq0cV_vcRBc2h2z5c/view?usp=drivesdk","PSA_PT IFARS PHARMACEUTICAL LABORATORIES_595")</f>
        <v>PSA_PT IFARS PHARMACEUTICAL LABORATORIES_595</v>
      </c>
      <c r="AB137" s="17" t="s">
        <v>2265</v>
      </c>
    </row>
    <row r="138">
      <c r="A138" s="149">
        <v>45912.0</v>
      </c>
      <c r="B138" s="149">
        <v>45933.0</v>
      </c>
      <c r="C138" s="280">
        <v>580.0</v>
      </c>
      <c r="D138" s="136" t="s">
        <v>2278</v>
      </c>
      <c r="E138" s="150">
        <v>2.354231002E9</v>
      </c>
      <c r="F138" s="136" t="s">
        <v>2279</v>
      </c>
      <c r="G138" s="17" t="s">
        <v>541</v>
      </c>
      <c r="H138" s="17" t="s">
        <v>1698</v>
      </c>
      <c r="I138" s="17" t="s">
        <v>777</v>
      </c>
      <c r="J138" s="17">
        <v>1.0</v>
      </c>
      <c r="K138" s="17">
        <v>1.0</v>
      </c>
      <c r="L138" s="17">
        <v>0.0</v>
      </c>
      <c r="M138" s="17">
        <v>1.0</v>
      </c>
      <c r="N138" s="17">
        <v>300000.0</v>
      </c>
      <c r="O138" s="141">
        <f t="shared" si="1"/>
        <v>300000</v>
      </c>
      <c r="P138" s="17">
        <v>20.0</v>
      </c>
      <c r="Q138" s="17">
        <v>0.0</v>
      </c>
      <c r="R138" s="17">
        <v>15.0</v>
      </c>
      <c r="S138" s="171">
        <f t="shared" si="5"/>
        <v>20</v>
      </c>
      <c r="T138" s="171">
        <f t="shared" si="6"/>
        <v>0</v>
      </c>
      <c r="U138" s="171">
        <f t="shared" si="7"/>
        <v>10</v>
      </c>
      <c r="V138" s="17">
        <v>5.0</v>
      </c>
      <c r="W138" s="171">
        <f t="shared" si="4"/>
        <v>70</v>
      </c>
      <c r="X138" s="17" t="s">
        <v>453</v>
      </c>
      <c r="Y138" s="17" t="s">
        <v>2280</v>
      </c>
      <c r="Z138" s="133" t="s">
        <v>2281</v>
      </c>
      <c r="AA138" s="134" t="str">
        <f>HYPERLINK("https://drive.google.com/file/d/1QpmvCIQrk84GatY4n3WVjvNMUuyluhe_/view?usp=drivesdk","PSA_Renaldi Noaf Pratama_580")</f>
        <v>PSA_Renaldi Noaf Pratama_580</v>
      </c>
      <c r="AB138" s="17" t="s">
        <v>2265</v>
      </c>
    </row>
    <row r="139">
      <c r="A139" s="149">
        <v>45944.0</v>
      </c>
      <c r="B139" s="149">
        <v>45944.0</v>
      </c>
      <c r="C139" s="168">
        <v>675.0</v>
      </c>
      <c r="D139" s="17" t="s">
        <v>1692</v>
      </c>
      <c r="E139" s="17" t="s">
        <v>155</v>
      </c>
      <c r="F139" s="17" t="s">
        <v>155</v>
      </c>
      <c r="G139" s="17" t="s">
        <v>541</v>
      </c>
      <c r="H139" s="17" t="s">
        <v>1676</v>
      </c>
      <c r="I139" s="17" t="s">
        <v>1051</v>
      </c>
      <c r="J139" s="17">
        <v>3.0</v>
      </c>
      <c r="K139" s="17">
        <v>3.0</v>
      </c>
      <c r="L139" s="17">
        <v>3.0</v>
      </c>
      <c r="M139" s="17">
        <v>0.0</v>
      </c>
      <c r="N139" s="17">
        <v>300000.0</v>
      </c>
      <c r="O139" s="141">
        <f t="shared" si="1"/>
        <v>900000</v>
      </c>
      <c r="P139" s="17">
        <v>20.0</v>
      </c>
      <c r="Q139" s="17">
        <v>0.0</v>
      </c>
      <c r="R139" s="17">
        <v>15.0</v>
      </c>
      <c r="S139" s="171">
        <f t="shared" si="5"/>
        <v>0</v>
      </c>
      <c r="T139" s="171">
        <f t="shared" si="6"/>
        <v>60</v>
      </c>
      <c r="U139" s="171">
        <f t="shared" si="7"/>
        <v>30</v>
      </c>
      <c r="V139" s="17">
        <v>5.0</v>
      </c>
      <c r="W139" s="171">
        <f t="shared" si="4"/>
        <v>130</v>
      </c>
      <c r="X139" s="17" t="s">
        <v>453</v>
      </c>
      <c r="Y139" s="17" t="s">
        <v>2282</v>
      </c>
      <c r="Z139" s="133" t="s">
        <v>2283</v>
      </c>
      <c r="AA139" s="134" t="str">
        <f>HYPERLINK("https://drive.google.com/file/d/1e4mKnssjatHQ8d1_bVyTHYPVcH-gsfxW/view?usp=drivesdk","PSA_Prof Agus S_675")</f>
        <v>PSA_Prof Agus S_675</v>
      </c>
      <c r="AB139" s="17" t="s">
        <v>2284</v>
      </c>
    </row>
    <row r="140">
      <c r="A140" s="149">
        <v>45945.0</v>
      </c>
      <c r="B140" s="149">
        <v>45945.0</v>
      </c>
      <c r="C140" s="168">
        <v>676.0</v>
      </c>
      <c r="D140" s="195" t="s">
        <v>1686</v>
      </c>
      <c r="E140" s="17" t="s">
        <v>1687</v>
      </c>
      <c r="F140" s="17" t="s">
        <v>1336</v>
      </c>
      <c r="G140" s="17" t="s">
        <v>541</v>
      </c>
      <c r="H140" s="17" t="s">
        <v>2285</v>
      </c>
      <c r="I140" s="17" t="s">
        <v>1051</v>
      </c>
      <c r="J140" s="17">
        <v>1.0</v>
      </c>
      <c r="K140" s="17">
        <v>1.0</v>
      </c>
      <c r="L140" s="17">
        <v>0.0</v>
      </c>
      <c r="M140" s="17">
        <v>1.0</v>
      </c>
      <c r="N140" s="17">
        <v>200000.0</v>
      </c>
      <c r="O140" s="141">
        <f t="shared" si="1"/>
        <v>200000</v>
      </c>
      <c r="P140" s="17">
        <v>20.0</v>
      </c>
      <c r="Q140" s="17">
        <v>0.0</v>
      </c>
      <c r="R140" s="17">
        <v>15.0</v>
      </c>
      <c r="S140" s="171">
        <f t="shared" si="5"/>
        <v>20</v>
      </c>
      <c r="T140" s="171">
        <f t="shared" si="6"/>
        <v>0</v>
      </c>
      <c r="U140" s="171">
        <f t="shared" si="7"/>
        <v>10</v>
      </c>
      <c r="V140" s="17">
        <v>5.0</v>
      </c>
      <c r="W140" s="171">
        <f t="shared" si="4"/>
        <v>70</v>
      </c>
      <c r="X140" s="17" t="s">
        <v>453</v>
      </c>
      <c r="Y140" s="17" t="s">
        <v>2286</v>
      </c>
      <c r="Z140" s="133" t="s">
        <v>2287</v>
      </c>
      <c r="AA140" s="134" t="str">
        <f>HYPERLINK("https://drive.google.com/file/d/1jhfkBUcqBEYNpAfTs0TZchiHcAlpim_D/view?usp=drivesdk","PSA_Agung Prakoso_676")</f>
        <v>PSA_Agung Prakoso_676</v>
      </c>
      <c r="AB140" s="17" t="s">
        <v>2284</v>
      </c>
    </row>
    <row r="141">
      <c r="A141" s="149">
        <v>45951.0</v>
      </c>
      <c r="B141" s="149">
        <v>45957.0</v>
      </c>
      <c r="C141" s="168">
        <v>696.0</v>
      </c>
      <c r="D141" s="17" t="s">
        <v>2288</v>
      </c>
      <c r="E141" s="17" t="s">
        <v>155</v>
      </c>
      <c r="F141" s="17" t="s">
        <v>155</v>
      </c>
      <c r="G141" s="17" t="s">
        <v>541</v>
      </c>
      <c r="H141" s="17" t="s">
        <v>1676</v>
      </c>
      <c r="I141" s="17" t="s">
        <v>1051</v>
      </c>
      <c r="J141" s="17">
        <v>1.0</v>
      </c>
      <c r="K141" s="17">
        <v>1.0</v>
      </c>
      <c r="L141" s="17">
        <v>1.0</v>
      </c>
      <c r="M141" s="17">
        <v>0.0</v>
      </c>
      <c r="N141" s="17">
        <v>300000.0</v>
      </c>
      <c r="O141" s="141">
        <f t="shared" si="1"/>
        <v>300000</v>
      </c>
      <c r="P141" s="17">
        <v>20.0</v>
      </c>
      <c r="Q141" s="17">
        <v>0.0</v>
      </c>
      <c r="R141" s="17">
        <v>15.0</v>
      </c>
      <c r="S141" s="171">
        <f t="shared" si="5"/>
        <v>0</v>
      </c>
      <c r="T141" s="171">
        <f t="shared" si="6"/>
        <v>20</v>
      </c>
      <c r="U141" s="171">
        <f t="shared" si="7"/>
        <v>10</v>
      </c>
      <c r="V141" s="17">
        <v>5.0</v>
      </c>
      <c r="W141" s="171">
        <f t="shared" si="4"/>
        <v>70</v>
      </c>
      <c r="X141" s="17" t="s">
        <v>453</v>
      </c>
      <c r="Y141" s="17" t="s">
        <v>2289</v>
      </c>
      <c r="Z141" s="133" t="s">
        <v>2290</v>
      </c>
      <c r="AA141" s="134" t="str">
        <f>HYPERLINK("https://drive.google.com/file/d/1l-AWwFEofQa0loVs28exKRIS8uagUT3R/view?usp=drivesdk","PSA_M Ibnu R_696")</f>
        <v>PSA_M Ibnu R_696</v>
      </c>
      <c r="AB141" s="17" t="s">
        <v>2291</v>
      </c>
    </row>
    <row r="142">
      <c r="A142" s="149">
        <v>45953.0</v>
      </c>
      <c r="B142" s="149">
        <v>45957.0</v>
      </c>
      <c r="C142" s="168">
        <v>705.0</v>
      </c>
      <c r="D142" s="17" t="s">
        <v>2292</v>
      </c>
      <c r="E142" s="17" t="s">
        <v>155</v>
      </c>
      <c r="F142" s="17" t="s">
        <v>155</v>
      </c>
      <c r="G142" s="17" t="s">
        <v>541</v>
      </c>
      <c r="H142" s="17" t="s">
        <v>1676</v>
      </c>
      <c r="I142" s="17" t="s">
        <v>1051</v>
      </c>
      <c r="J142" s="17">
        <v>1.0</v>
      </c>
      <c r="K142" s="17">
        <v>1.0</v>
      </c>
      <c r="L142" s="17">
        <v>1.0</v>
      </c>
      <c r="M142" s="17">
        <v>0.0</v>
      </c>
      <c r="N142" s="17">
        <v>300000.0</v>
      </c>
      <c r="O142" s="141">
        <f t="shared" si="1"/>
        <v>300000</v>
      </c>
      <c r="P142" s="17">
        <v>20.0</v>
      </c>
      <c r="Q142" s="17">
        <v>0.0</v>
      </c>
      <c r="R142" s="17">
        <v>15.0</v>
      </c>
      <c r="S142" s="171">
        <f t="shared" si="5"/>
        <v>0</v>
      </c>
      <c r="T142" s="171">
        <f t="shared" si="6"/>
        <v>20</v>
      </c>
      <c r="U142" s="171">
        <f t="shared" si="7"/>
        <v>10</v>
      </c>
      <c r="V142" s="17">
        <v>5.0</v>
      </c>
      <c r="W142" s="171">
        <f t="shared" si="4"/>
        <v>70</v>
      </c>
      <c r="X142" s="17" t="s">
        <v>453</v>
      </c>
      <c r="Y142" s="17" t="s">
        <v>2293</v>
      </c>
      <c r="Z142" s="133" t="s">
        <v>2294</v>
      </c>
      <c r="AA142" s="134" t="str">
        <f>HYPERLINK("https://drive.google.com/file/d/1kSKhMZ5mnrmmDejIAH8yMpdfY8VYeUq2/view?usp=drivesdk","PSA_Oktovin_705")</f>
        <v>PSA_Oktovin_705</v>
      </c>
      <c r="AB142" s="17" t="s">
        <v>2291</v>
      </c>
    </row>
    <row r="143">
      <c r="A143" s="149">
        <v>45957.0</v>
      </c>
      <c r="B143" s="149">
        <v>45958.0</v>
      </c>
      <c r="C143" s="17">
        <v>715.0</v>
      </c>
      <c r="D143" s="17" t="s">
        <v>1033</v>
      </c>
      <c r="E143" s="17" t="s">
        <v>1092</v>
      </c>
      <c r="F143" s="17" t="s">
        <v>1093</v>
      </c>
      <c r="G143" s="17" t="s">
        <v>541</v>
      </c>
      <c r="H143" s="17" t="s">
        <v>1682</v>
      </c>
      <c r="I143" s="17" t="s">
        <v>1051</v>
      </c>
      <c r="J143" s="17">
        <v>3.0</v>
      </c>
      <c r="K143" s="17">
        <v>3.0</v>
      </c>
      <c r="L143" s="17">
        <v>3.0</v>
      </c>
      <c r="M143" s="17">
        <v>3.0</v>
      </c>
      <c r="N143" s="141">
        <v>400000.0</v>
      </c>
      <c r="O143" s="141">
        <f t="shared" si="1"/>
        <v>1200000</v>
      </c>
      <c r="P143" s="17">
        <v>20.0</v>
      </c>
      <c r="Q143" s="17">
        <v>0.0</v>
      </c>
      <c r="R143" s="17">
        <v>15.0</v>
      </c>
      <c r="S143" s="171">
        <f t="shared" si="5"/>
        <v>60</v>
      </c>
      <c r="T143" s="171">
        <f t="shared" si="6"/>
        <v>60</v>
      </c>
      <c r="U143" s="171">
        <f t="shared" si="7"/>
        <v>30</v>
      </c>
      <c r="V143" s="17">
        <v>5.0</v>
      </c>
      <c r="W143" s="171">
        <f t="shared" si="4"/>
        <v>190</v>
      </c>
      <c r="X143" s="17" t="s">
        <v>453</v>
      </c>
      <c r="Y143" s="17" t="s">
        <v>2295</v>
      </c>
      <c r="Z143" s="133" t="s">
        <v>2296</v>
      </c>
      <c r="AA143" s="134" t="str">
        <f>HYPERLINK("https://drive.google.com/file/d/1CyfVIC9lgj4StHdM2w3u3akRpzpYFZev/view?usp=drivesdk","PSA_Lia Umi Khasanah_715")</f>
        <v>PSA_Lia Umi Khasanah_715</v>
      </c>
      <c r="AB143" s="17" t="s">
        <v>2297</v>
      </c>
    </row>
    <row r="144">
      <c r="A144" s="149">
        <v>45957.0</v>
      </c>
      <c r="B144" s="149">
        <v>45958.0</v>
      </c>
      <c r="C144" s="17">
        <v>716.0</v>
      </c>
      <c r="D144" s="17" t="s">
        <v>826</v>
      </c>
      <c r="E144" s="17" t="s">
        <v>827</v>
      </c>
      <c r="F144" s="17" t="s">
        <v>898</v>
      </c>
      <c r="G144" s="17" t="s">
        <v>541</v>
      </c>
      <c r="H144" s="17" t="s">
        <v>1682</v>
      </c>
      <c r="I144" s="17" t="s">
        <v>1051</v>
      </c>
      <c r="J144" s="17">
        <v>70.0</v>
      </c>
      <c r="K144" s="17">
        <v>70.0</v>
      </c>
      <c r="L144" s="17">
        <v>70.0</v>
      </c>
      <c r="M144" s="17">
        <v>70.0</v>
      </c>
      <c r="N144" s="141">
        <v>400000.0</v>
      </c>
      <c r="O144" s="141">
        <f t="shared" si="1"/>
        <v>28000000</v>
      </c>
      <c r="P144" s="17">
        <v>20.0</v>
      </c>
      <c r="Q144" s="17">
        <v>0.0</v>
      </c>
      <c r="R144" s="17">
        <v>15.0</v>
      </c>
      <c r="S144" s="171">
        <f t="shared" si="5"/>
        <v>1400</v>
      </c>
      <c r="T144" s="171">
        <f t="shared" si="6"/>
        <v>1400</v>
      </c>
      <c r="U144" s="171">
        <f t="shared" si="7"/>
        <v>700</v>
      </c>
      <c r="V144" s="17">
        <v>5.0</v>
      </c>
      <c r="W144" s="171">
        <f t="shared" si="4"/>
        <v>3540</v>
      </c>
      <c r="X144" s="17" t="s">
        <v>453</v>
      </c>
      <c r="Y144" s="17" t="s">
        <v>2298</v>
      </c>
      <c r="Z144" s="133" t="s">
        <v>2299</v>
      </c>
      <c r="AA144" s="134" t="str">
        <f>HYPERLINK("https://drive.google.com/file/d/1oZ_xDYdjgHdaVYNQ6UswPvd4AZlhrMmL/view?usp=drivesdk","PSA_Rohula Utami_716")</f>
        <v>PSA_Rohula Utami_716</v>
      </c>
      <c r="AB144" s="17" t="s">
        <v>2297</v>
      </c>
    </row>
    <row r="145">
      <c r="A145" s="149">
        <v>45940.0</v>
      </c>
      <c r="B145" s="149">
        <v>45958.0</v>
      </c>
      <c r="C145" s="168">
        <v>667.0</v>
      </c>
      <c r="D145" s="17" t="s">
        <v>2300</v>
      </c>
      <c r="E145" s="17" t="s">
        <v>2301</v>
      </c>
      <c r="F145" s="17" t="s">
        <v>2302</v>
      </c>
      <c r="G145" s="17" t="s">
        <v>541</v>
      </c>
      <c r="H145" s="17" t="s">
        <v>1682</v>
      </c>
      <c r="I145" s="17" t="s">
        <v>1051</v>
      </c>
      <c r="J145" s="17">
        <v>2.0</v>
      </c>
      <c r="K145" s="17">
        <v>2.0</v>
      </c>
      <c r="L145" s="17">
        <v>2.0</v>
      </c>
      <c r="M145" s="17">
        <v>2.0</v>
      </c>
      <c r="N145" s="17">
        <v>400000.0</v>
      </c>
      <c r="O145" s="141">
        <f t="shared" si="1"/>
        <v>800000</v>
      </c>
      <c r="P145" s="17">
        <v>20.0</v>
      </c>
      <c r="Q145" s="17">
        <v>0.0</v>
      </c>
      <c r="R145" s="17">
        <v>15.0</v>
      </c>
      <c r="S145" s="171">
        <f t="shared" si="5"/>
        <v>40</v>
      </c>
      <c r="T145" s="171">
        <f t="shared" si="6"/>
        <v>40</v>
      </c>
      <c r="U145" s="171">
        <f t="shared" si="7"/>
        <v>20</v>
      </c>
      <c r="V145" s="17">
        <v>5.0</v>
      </c>
      <c r="W145" s="171">
        <f t="shared" si="4"/>
        <v>140</v>
      </c>
      <c r="X145" s="17" t="s">
        <v>453</v>
      </c>
      <c r="Y145" s="17" t="s">
        <v>2303</v>
      </c>
      <c r="Z145" s="133" t="s">
        <v>2304</v>
      </c>
      <c r="AA145" s="134" t="str">
        <f>HYPERLINK("https://drive.google.com/file/d/1NUV5Tr_l5QF1LpmOlpftyZENpVpMDDCL/view?usp=drivesdk","PSA_Ummi Hani Puspaningrum_667")</f>
        <v>PSA_Ummi Hani Puspaningrum_667</v>
      </c>
      <c r="AB145" s="17" t="s">
        <v>2305</v>
      </c>
    </row>
    <row r="146">
      <c r="A146" s="149">
        <v>45959.0</v>
      </c>
      <c r="B146" s="149">
        <v>45959.0</v>
      </c>
      <c r="C146" s="168">
        <v>727.0</v>
      </c>
      <c r="D146" s="17" t="s">
        <v>1692</v>
      </c>
      <c r="E146" s="17" t="s">
        <v>155</v>
      </c>
      <c r="F146" s="17" t="s">
        <v>155</v>
      </c>
      <c r="G146" s="17" t="s">
        <v>541</v>
      </c>
      <c r="H146" s="17" t="s">
        <v>1676</v>
      </c>
      <c r="I146" s="17" t="s">
        <v>1051</v>
      </c>
      <c r="J146" s="17">
        <v>3.0</v>
      </c>
      <c r="K146" s="17">
        <v>3.0</v>
      </c>
      <c r="L146" s="17">
        <v>3.0</v>
      </c>
      <c r="M146" s="17">
        <v>0.0</v>
      </c>
      <c r="N146" s="17">
        <v>300000.0</v>
      </c>
      <c r="O146" s="141">
        <f t="shared" si="1"/>
        <v>900000</v>
      </c>
      <c r="P146" s="17">
        <v>20.0</v>
      </c>
      <c r="Q146" s="17">
        <v>0.0</v>
      </c>
      <c r="R146" s="17">
        <v>15.0</v>
      </c>
      <c r="S146" s="171">
        <f t="shared" si="5"/>
        <v>0</v>
      </c>
      <c r="T146" s="171">
        <f t="shared" si="6"/>
        <v>60</v>
      </c>
      <c r="U146" s="171">
        <f t="shared" si="7"/>
        <v>30</v>
      </c>
      <c r="V146" s="17">
        <v>5.0</v>
      </c>
      <c r="W146" s="171">
        <f t="shared" si="4"/>
        <v>130</v>
      </c>
      <c r="X146" s="17" t="s">
        <v>453</v>
      </c>
      <c r="Y146" s="17" t="s">
        <v>2306</v>
      </c>
      <c r="Z146" s="133" t="s">
        <v>2307</v>
      </c>
      <c r="AA146" s="134" t="str">
        <f>HYPERLINK("https://drive.google.com/file/d/1hylFwp-IsH7ALynKhtHCTKj2VF6Kkmi_/view?usp=drivesdk","PSA_Prof Agus S_727")</f>
        <v>PSA_Prof Agus S_727</v>
      </c>
      <c r="AB146" s="17" t="s">
        <v>2308</v>
      </c>
    </row>
    <row r="147">
      <c r="A147" s="149">
        <v>45933.0</v>
      </c>
      <c r="B147" s="149">
        <v>45964.0</v>
      </c>
      <c r="C147" s="168">
        <v>652.0</v>
      </c>
      <c r="D147" s="17" t="s">
        <v>2309</v>
      </c>
      <c r="E147" s="17" t="s">
        <v>2310</v>
      </c>
      <c r="F147" s="17" t="s">
        <v>1132</v>
      </c>
      <c r="G147" s="17" t="s">
        <v>621</v>
      </c>
      <c r="H147" s="17" t="s">
        <v>1676</v>
      </c>
      <c r="I147" s="17" t="s">
        <v>1051</v>
      </c>
      <c r="J147" s="17">
        <v>5.0</v>
      </c>
      <c r="K147" s="17">
        <v>5.0</v>
      </c>
      <c r="L147" s="17">
        <v>5.0</v>
      </c>
      <c r="M147" s="17">
        <v>0.0</v>
      </c>
      <c r="N147" s="17">
        <v>200000.0</v>
      </c>
      <c r="O147" s="141">
        <f t="shared" si="1"/>
        <v>1000000</v>
      </c>
      <c r="P147" s="17">
        <v>20.0</v>
      </c>
      <c r="Q147" s="17">
        <v>0.0</v>
      </c>
      <c r="R147" s="17">
        <v>15.0</v>
      </c>
      <c r="S147" s="171">
        <f t="shared" si="5"/>
        <v>0</v>
      </c>
      <c r="T147" s="171">
        <f t="shared" si="6"/>
        <v>100</v>
      </c>
      <c r="U147" s="171">
        <f t="shared" si="7"/>
        <v>50</v>
      </c>
      <c r="V147" s="17">
        <v>5.0</v>
      </c>
      <c r="W147" s="171">
        <f t="shared" si="4"/>
        <v>190</v>
      </c>
      <c r="X147" s="17" t="s">
        <v>453</v>
      </c>
      <c r="Y147" s="17" t="s">
        <v>2311</v>
      </c>
      <c r="Z147" s="133" t="s">
        <v>2312</v>
      </c>
      <c r="AA147" s="134" t="str">
        <f>HYPERLINK("https://drive.google.com/file/d/1e8qyOZoJeXA7UpyKmncpuE3Mhuhfe0gJ/view?usp=drivesdk","PSA_Laelatul Fadilah_652")</f>
        <v>PSA_Laelatul Fadilah_652</v>
      </c>
      <c r="AB147" s="17" t="s">
        <v>2313</v>
      </c>
    </row>
    <row r="148">
      <c r="A148" s="149">
        <v>45945.0</v>
      </c>
      <c r="B148" s="149">
        <v>6693377.0</v>
      </c>
      <c r="C148" s="168">
        <v>658.0</v>
      </c>
      <c r="D148" s="17" t="s">
        <v>1818</v>
      </c>
      <c r="E148" s="17" t="s">
        <v>155</v>
      </c>
      <c r="F148" s="17" t="s">
        <v>1818</v>
      </c>
      <c r="G148" s="17" t="s">
        <v>541</v>
      </c>
      <c r="H148" s="17" t="s">
        <v>1676</v>
      </c>
      <c r="I148" s="17" t="s">
        <v>1051</v>
      </c>
      <c r="J148" s="17">
        <v>9.0</v>
      </c>
      <c r="K148" s="17">
        <v>9.0</v>
      </c>
      <c r="L148" s="17">
        <v>9.0</v>
      </c>
      <c r="M148" s="17">
        <v>0.0</v>
      </c>
      <c r="N148" s="17">
        <v>400000.0</v>
      </c>
      <c r="O148" s="141">
        <f t="shared" si="1"/>
        <v>3600000</v>
      </c>
      <c r="P148" s="17">
        <v>20.0</v>
      </c>
      <c r="Q148" s="17">
        <v>0.0</v>
      </c>
      <c r="R148" s="17">
        <v>15.0</v>
      </c>
      <c r="S148" s="171">
        <f t="shared" si="5"/>
        <v>0</v>
      </c>
      <c r="T148" s="171">
        <f t="shared" si="6"/>
        <v>180</v>
      </c>
      <c r="U148" s="171">
        <f t="shared" si="7"/>
        <v>90</v>
      </c>
      <c r="V148" s="17">
        <v>5.0</v>
      </c>
      <c r="W148" s="171">
        <f t="shared" si="4"/>
        <v>310</v>
      </c>
      <c r="X148" s="17" t="s">
        <v>453</v>
      </c>
      <c r="Y148" s="17" t="s">
        <v>2314</v>
      </c>
      <c r="Z148" s="133" t="s">
        <v>2315</v>
      </c>
      <c r="AA148" s="134" t="str">
        <f>HYPERLINK("https://drive.google.com/file/d/1DPUiAVJ8eRsJ04ep_bXqkk8qwrO_Lpei/view?usp=drivesdk","PSA_PT IFARS Pharmaceutical Laboratories_658")</f>
        <v>PSA_PT IFARS Pharmaceutical Laboratories_658</v>
      </c>
      <c r="AB148" s="17" t="s">
        <v>2313</v>
      </c>
    </row>
    <row r="149">
      <c r="A149" s="149">
        <v>45964.0</v>
      </c>
      <c r="B149" s="149">
        <v>45964.0</v>
      </c>
      <c r="C149" s="168">
        <v>737.0</v>
      </c>
      <c r="D149" s="17" t="s">
        <v>1692</v>
      </c>
      <c r="E149" s="17" t="s">
        <v>155</v>
      </c>
      <c r="F149" s="17" t="s">
        <v>155</v>
      </c>
      <c r="G149" s="17" t="s">
        <v>541</v>
      </c>
      <c r="H149" s="17" t="s">
        <v>1676</v>
      </c>
      <c r="I149" s="17" t="s">
        <v>1051</v>
      </c>
      <c r="J149" s="17">
        <v>3.0</v>
      </c>
      <c r="K149" s="17">
        <v>3.0</v>
      </c>
      <c r="L149" s="17">
        <v>3.0</v>
      </c>
      <c r="M149" s="17">
        <v>0.0</v>
      </c>
      <c r="N149" s="17">
        <v>300000.0</v>
      </c>
      <c r="O149" s="141">
        <f t="shared" si="1"/>
        <v>900000</v>
      </c>
      <c r="P149" s="17">
        <v>20.0</v>
      </c>
      <c r="Q149" s="17">
        <v>0.0</v>
      </c>
      <c r="R149" s="17">
        <v>15.0</v>
      </c>
      <c r="S149" s="171">
        <f t="shared" si="5"/>
        <v>0</v>
      </c>
      <c r="T149" s="171">
        <f t="shared" si="6"/>
        <v>60</v>
      </c>
      <c r="U149" s="171">
        <f t="shared" si="7"/>
        <v>30</v>
      </c>
      <c r="V149" s="17">
        <v>5.0</v>
      </c>
      <c r="W149" s="171">
        <f t="shared" si="4"/>
        <v>130</v>
      </c>
      <c r="X149" s="17" t="s">
        <v>453</v>
      </c>
      <c r="Y149" s="17" t="s">
        <v>2316</v>
      </c>
      <c r="Z149" s="133" t="s">
        <v>2317</v>
      </c>
      <c r="AA149" s="134" t="str">
        <f>HYPERLINK("https://drive.google.com/file/d/1xGBtlZyJBhFy8UptoMRsq_-wPDDk_9xW/view?usp=drivesdk","PSA_Prof Agus S_737")</f>
        <v>PSA_Prof Agus S_737</v>
      </c>
      <c r="AB149" s="17" t="s">
        <v>2313</v>
      </c>
    </row>
    <row r="150">
      <c r="A150" s="149">
        <v>45965.0</v>
      </c>
      <c r="B150" s="149">
        <v>45965.0</v>
      </c>
      <c r="C150" s="168">
        <v>738.0</v>
      </c>
      <c r="D150" s="17" t="s">
        <v>2318</v>
      </c>
      <c r="E150" s="17" t="s">
        <v>2256</v>
      </c>
      <c r="F150" s="17" t="s">
        <v>2036</v>
      </c>
      <c r="G150" s="17" t="s">
        <v>541</v>
      </c>
      <c r="H150" s="17" t="s">
        <v>1682</v>
      </c>
      <c r="I150" s="17" t="s">
        <v>1051</v>
      </c>
      <c r="J150" s="17">
        <v>1.0</v>
      </c>
      <c r="K150" s="17">
        <v>2.0</v>
      </c>
      <c r="L150" s="17">
        <v>1.0</v>
      </c>
      <c r="M150" s="17">
        <v>1.0</v>
      </c>
      <c r="N150" s="17">
        <v>400000.0</v>
      </c>
      <c r="O150" s="141">
        <f t="shared" si="1"/>
        <v>400000</v>
      </c>
      <c r="P150" s="17">
        <v>20.0</v>
      </c>
      <c r="Q150" s="17">
        <v>0.0</v>
      </c>
      <c r="R150" s="17">
        <v>15.0</v>
      </c>
      <c r="S150" s="171">
        <f t="shared" si="5"/>
        <v>20</v>
      </c>
      <c r="T150" s="171">
        <f t="shared" si="6"/>
        <v>20</v>
      </c>
      <c r="U150" s="171">
        <f t="shared" si="7"/>
        <v>20</v>
      </c>
      <c r="V150" s="17">
        <v>5.0</v>
      </c>
      <c r="W150" s="171">
        <f t="shared" si="4"/>
        <v>100</v>
      </c>
      <c r="X150" s="17" t="s">
        <v>453</v>
      </c>
      <c r="Y150" s="17" t="s">
        <v>2319</v>
      </c>
      <c r="Z150" s="133" t="s">
        <v>2320</v>
      </c>
      <c r="AA150" s="134" t="str">
        <f>HYPERLINK("https://drive.google.com/file/d/1qOqRTbmz0_yp-1SdFvtpeBIJsUk5-lPO/view?usp=drivesdk","PSA_Rafli Rinaldi_738")</f>
        <v>PSA_Rafli Rinaldi_738</v>
      </c>
      <c r="AB150" s="17" t="s">
        <v>2321</v>
      </c>
    </row>
    <row r="151">
      <c r="A151" s="149">
        <v>45966.0</v>
      </c>
      <c r="B151" s="149">
        <v>45966.0</v>
      </c>
      <c r="C151" s="168">
        <v>742.0</v>
      </c>
      <c r="D151" s="17" t="s">
        <v>1692</v>
      </c>
      <c r="E151" s="17" t="s">
        <v>155</v>
      </c>
      <c r="F151" s="17" t="s">
        <v>155</v>
      </c>
      <c r="G151" s="17" t="s">
        <v>541</v>
      </c>
      <c r="H151" s="17" t="s">
        <v>1676</v>
      </c>
      <c r="I151" s="17" t="s">
        <v>1051</v>
      </c>
      <c r="J151" s="17">
        <v>3.0</v>
      </c>
      <c r="K151" s="17">
        <v>3.0</v>
      </c>
      <c r="L151" s="17">
        <v>3.0</v>
      </c>
      <c r="M151" s="17">
        <v>0.0</v>
      </c>
      <c r="N151" s="17">
        <v>300000.0</v>
      </c>
      <c r="O151" s="141">
        <f t="shared" si="1"/>
        <v>900000</v>
      </c>
      <c r="P151" s="17">
        <v>20.0</v>
      </c>
      <c r="Q151" s="17">
        <v>0.0</v>
      </c>
      <c r="R151" s="17">
        <v>15.0</v>
      </c>
      <c r="S151" s="171">
        <f t="shared" si="5"/>
        <v>0</v>
      </c>
      <c r="T151" s="171">
        <f t="shared" si="6"/>
        <v>60</v>
      </c>
      <c r="U151" s="171">
        <f t="shared" si="7"/>
        <v>30</v>
      </c>
      <c r="V151" s="17">
        <v>5.0</v>
      </c>
      <c r="W151" s="171">
        <f t="shared" si="4"/>
        <v>130</v>
      </c>
      <c r="X151" s="17" t="s">
        <v>453</v>
      </c>
      <c r="Y151" s="17" t="s">
        <v>2322</v>
      </c>
      <c r="Z151" s="133" t="s">
        <v>2323</v>
      </c>
      <c r="AA151" s="134" t="str">
        <f>HYPERLINK("https://drive.google.com/file/d/132G6q2YxgszE9lEYHA-mhLCWqFKeS-PV/view?usp=drivesdk","PSA_Prof Agus S_742")</f>
        <v>PSA_Prof Agus S_742</v>
      </c>
      <c r="AB151" s="17" t="s">
        <v>2321</v>
      </c>
    </row>
    <row r="152">
      <c r="A152" s="149">
        <v>45965.0</v>
      </c>
      <c r="B152" s="149">
        <v>45968.0</v>
      </c>
      <c r="C152" s="168">
        <v>739.0</v>
      </c>
      <c r="D152" s="17" t="s">
        <v>2324</v>
      </c>
      <c r="E152" s="136" t="s">
        <v>2325</v>
      </c>
      <c r="F152" s="136" t="s">
        <v>1132</v>
      </c>
      <c r="G152" s="17" t="s">
        <v>541</v>
      </c>
      <c r="H152" s="17" t="s">
        <v>1676</v>
      </c>
      <c r="I152" s="17" t="s">
        <v>1051</v>
      </c>
      <c r="J152" s="17">
        <v>3.0</v>
      </c>
      <c r="K152" s="17">
        <v>3.0</v>
      </c>
      <c r="L152" s="17">
        <v>3.0</v>
      </c>
      <c r="M152" s="17">
        <v>0.0</v>
      </c>
      <c r="N152" s="17">
        <v>200000.0</v>
      </c>
      <c r="O152" s="141">
        <f t="shared" si="1"/>
        <v>600000</v>
      </c>
      <c r="P152" s="17">
        <v>20.0</v>
      </c>
      <c r="Q152" s="17">
        <v>0.0</v>
      </c>
      <c r="R152" s="17">
        <v>15.0</v>
      </c>
      <c r="S152" s="171">
        <f t="shared" si="5"/>
        <v>0</v>
      </c>
      <c r="T152" s="171">
        <f t="shared" si="6"/>
        <v>60</v>
      </c>
      <c r="U152" s="171">
        <f t="shared" si="7"/>
        <v>30</v>
      </c>
      <c r="V152" s="17">
        <v>5.0</v>
      </c>
      <c r="W152" s="171">
        <f t="shared" si="4"/>
        <v>130</v>
      </c>
      <c r="X152" s="17" t="s">
        <v>453</v>
      </c>
      <c r="Y152" s="17" t="s">
        <v>2326</v>
      </c>
      <c r="Z152" s="133" t="s">
        <v>2327</v>
      </c>
      <c r="AA152" s="134" t="str">
        <f>HYPERLINK("https://drive.google.com/file/d/1qqCw1CG7O7tiNYmcD9vBps6eXQEylYqy/view?usp=drivesdk","PSA_Wahyu Febrilia_739")</f>
        <v>PSA_Wahyu Febrilia_739</v>
      </c>
      <c r="AB152" s="17" t="s">
        <v>2328</v>
      </c>
    </row>
    <row r="153">
      <c r="A153" s="149">
        <v>45982.0</v>
      </c>
      <c r="B153" s="149">
        <v>45982.0</v>
      </c>
      <c r="C153" s="168">
        <v>778.0</v>
      </c>
      <c r="D153" s="17" t="s">
        <v>1692</v>
      </c>
      <c r="E153" s="17" t="s">
        <v>155</v>
      </c>
      <c r="F153" s="17" t="s">
        <v>155</v>
      </c>
      <c r="G153" s="17" t="s">
        <v>541</v>
      </c>
      <c r="H153" s="17" t="s">
        <v>1676</v>
      </c>
      <c r="I153" s="17" t="s">
        <v>1051</v>
      </c>
      <c r="J153" s="17">
        <v>3.0</v>
      </c>
      <c r="K153" s="17">
        <v>3.0</v>
      </c>
      <c r="L153" s="17">
        <v>3.0</v>
      </c>
      <c r="M153" s="17">
        <v>0.0</v>
      </c>
      <c r="N153" s="17">
        <v>300000.0</v>
      </c>
      <c r="O153" s="141">
        <f t="shared" si="1"/>
        <v>900000</v>
      </c>
      <c r="P153" s="17">
        <v>20.0</v>
      </c>
      <c r="Q153" s="17">
        <v>0.0</v>
      </c>
      <c r="R153" s="17">
        <v>15.0</v>
      </c>
      <c r="S153" s="171">
        <f t="shared" si="5"/>
        <v>0</v>
      </c>
      <c r="T153" s="171">
        <f t="shared" si="6"/>
        <v>60</v>
      </c>
      <c r="U153" s="171">
        <f t="shared" si="7"/>
        <v>30</v>
      </c>
      <c r="V153" s="17">
        <v>5.0</v>
      </c>
      <c r="W153" s="171">
        <f t="shared" si="4"/>
        <v>130</v>
      </c>
      <c r="X153" s="17" t="s">
        <v>453</v>
      </c>
      <c r="Y153" s="17" t="s">
        <v>2329</v>
      </c>
      <c r="Z153" s="133" t="s">
        <v>2330</v>
      </c>
      <c r="AA153" s="134" t="str">
        <f>HYPERLINK("https://drive.google.com/file/d/1ZVhFMbr5nz-6HJQ7KXVo7i-MhbPE9yrn/view?usp=drivesdk","PSA_Prof Agus S_778")</f>
        <v>PSA_Prof Agus S_778</v>
      </c>
      <c r="AB153" s="17" t="s">
        <v>2331</v>
      </c>
    </row>
    <row r="154">
      <c r="A154" s="151"/>
      <c r="B154" s="151"/>
      <c r="O154" s="140">
        <f>sum(O50:O153)</f>
        <v>94550000</v>
      </c>
    </row>
    <row r="155">
      <c r="A155" s="151"/>
      <c r="B155" s="151"/>
    </row>
    <row r="156">
      <c r="A156" s="151"/>
      <c r="B156" s="151"/>
    </row>
    <row r="157">
      <c r="A157" s="151"/>
      <c r="B157" s="151"/>
    </row>
    <row r="158">
      <c r="A158" s="151"/>
      <c r="B158" s="151"/>
    </row>
    <row r="159">
      <c r="A159" s="151"/>
      <c r="B159" s="151"/>
    </row>
    <row r="160">
      <c r="A160" s="151"/>
      <c r="B160" s="151"/>
    </row>
    <row r="161">
      <c r="A161" s="151"/>
      <c r="B161" s="151"/>
    </row>
    <row r="162">
      <c r="A162" s="151"/>
      <c r="B162" s="151"/>
    </row>
    <row r="163">
      <c r="A163" s="151"/>
      <c r="B163" s="151"/>
      <c r="P163" s="17">
        <v>2.0</v>
      </c>
    </row>
    <row r="164">
      <c r="A164" s="151"/>
      <c r="B164" s="151"/>
    </row>
    <row r="165">
      <c r="A165" s="151"/>
      <c r="B165" s="151"/>
    </row>
    <row r="166">
      <c r="A166" s="151"/>
      <c r="B166" s="151"/>
    </row>
    <row r="167">
      <c r="A167" s="151"/>
      <c r="B167" s="151"/>
    </row>
    <row r="168">
      <c r="A168" s="151"/>
      <c r="B168" s="151"/>
    </row>
    <row r="169">
      <c r="A169" s="151"/>
      <c r="B169" s="151"/>
    </row>
    <row r="170">
      <c r="A170" s="151"/>
      <c r="B170" s="151"/>
    </row>
    <row r="171">
      <c r="A171" s="151"/>
      <c r="B171" s="151"/>
    </row>
    <row r="172">
      <c r="A172" s="151"/>
      <c r="B172" s="151"/>
    </row>
    <row r="173">
      <c r="A173" s="151"/>
      <c r="B173" s="151"/>
    </row>
    <row r="174">
      <c r="A174" s="151"/>
      <c r="B174" s="151"/>
    </row>
    <row r="175">
      <c r="A175" s="151"/>
      <c r="B175" s="151"/>
    </row>
    <row r="176">
      <c r="A176" s="151"/>
      <c r="B176" s="151"/>
    </row>
    <row r="177">
      <c r="A177" s="151"/>
      <c r="B177" s="151"/>
    </row>
    <row r="178">
      <c r="A178" s="151"/>
      <c r="B178" s="151"/>
    </row>
    <row r="179">
      <c r="A179" s="151"/>
      <c r="B179" s="151"/>
    </row>
    <row r="180">
      <c r="A180" s="151"/>
      <c r="B180" s="151"/>
    </row>
    <row r="181">
      <c r="A181" s="151"/>
      <c r="B181" s="151"/>
    </row>
    <row r="182">
      <c r="A182" s="151"/>
      <c r="B182" s="151"/>
    </row>
    <row r="183">
      <c r="A183" s="151"/>
      <c r="B183" s="151"/>
    </row>
    <row r="184">
      <c r="A184" s="151"/>
      <c r="B184" s="151"/>
    </row>
    <row r="185">
      <c r="A185" s="151"/>
      <c r="B185" s="151"/>
    </row>
    <row r="186">
      <c r="A186" s="151"/>
      <c r="B186" s="151"/>
    </row>
    <row r="187">
      <c r="A187" s="151"/>
      <c r="B187" s="151"/>
    </row>
    <row r="188">
      <c r="A188" s="151"/>
      <c r="B188" s="151"/>
    </row>
    <row r="189">
      <c r="A189" s="151"/>
      <c r="B189" s="151"/>
    </row>
    <row r="190">
      <c r="A190" s="151"/>
      <c r="B190" s="151"/>
    </row>
    <row r="191">
      <c r="A191" s="151"/>
      <c r="B191" s="151"/>
    </row>
    <row r="192">
      <c r="A192" s="151"/>
      <c r="B192" s="151"/>
    </row>
    <row r="193">
      <c r="A193" s="151"/>
      <c r="B193" s="151"/>
    </row>
    <row r="194">
      <c r="A194" s="151"/>
      <c r="B194" s="151"/>
    </row>
    <row r="195">
      <c r="A195" s="151"/>
      <c r="B195" s="151"/>
    </row>
    <row r="196">
      <c r="A196" s="151"/>
      <c r="B196" s="151"/>
    </row>
    <row r="197">
      <c r="A197" s="151"/>
      <c r="B197" s="151"/>
    </row>
    <row r="198">
      <c r="A198" s="151"/>
      <c r="B198" s="151"/>
    </row>
    <row r="199">
      <c r="A199" s="151"/>
      <c r="B199" s="151"/>
    </row>
    <row r="200">
      <c r="A200" s="151"/>
      <c r="B200" s="151"/>
    </row>
    <row r="201">
      <c r="A201" s="151"/>
      <c r="B201" s="151"/>
    </row>
    <row r="202">
      <c r="A202" s="151"/>
      <c r="B202" s="151"/>
    </row>
    <row r="203">
      <c r="A203" s="151"/>
      <c r="B203" s="151"/>
    </row>
    <row r="204">
      <c r="A204" s="151"/>
      <c r="B204" s="151"/>
    </row>
    <row r="205">
      <c r="A205" s="151"/>
      <c r="B205" s="151"/>
    </row>
    <row r="206">
      <c r="A206" s="151"/>
      <c r="B206" s="151"/>
    </row>
    <row r="207">
      <c r="A207" s="151"/>
      <c r="B207" s="151"/>
    </row>
    <row r="208">
      <c r="A208" s="151"/>
      <c r="B208" s="151"/>
    </row>
    <row r="209">
      <c r="A209" s="151"/>
      <c r="B209" s="151"/>
    </row>
    <row r="210">
      <c r="A210" s="151"/>
      <c r="B210" s="151"/>
    </row>
    <row r="211">
      <c r="A211" s="151"/>
      <c r="B211" s="151"/>
    </row>
    <row r="212">
      <c r="A212" s="151"/>
      <c r="B212" s="151"/>
    </row>
    <row r="213">
      <c r="A213" s="151"/>
      <c r="B213" s="151"/>
    </row>
    <row r="214">
      <c r="A214" s="151"/>
      <c r="B214" s="151"/>
    </row>
    <row r="215">
      <c r="A215" s="151"/>
      <c r="B215" s="151"/>
    </row>
    <row r="216">
      <c r="A216" s="151"/>
      <c r="B216" s="151"/>
    </row>
    <row r="217">
      <c r="A217" s="151"/>
      <c r="B217" s="151"/>
    </row>
    <row r="218">
      <c r="A218" s="151"/>
      <c r="B218" s="151"/>
    </row>
    <row r="219">
      <c r="A219" s="151"/>
      <c r="B219" s="151"/>
    </row>
    <row r="220">
      <c r="A220" s="151"/>
      <c r="B220" s="151"/>
    </row>
    <row r="221">
      <c r="A221" s="151"/>
      <c r="B221" s="151"/>
    </row>
    <row r="222">
      <c r="A222" s="151"/>
      <c r="B222" s="151"/>
    </row>
    <row r="223">
      <c r="A223" s="151"/>
      <c r="B223" s="151"/>
    </row>
    <row r="224">
      <c r="A224" s="151"/>
      <c r="B224" s="151"/>
    </row>
    <row r="225">
      <c r="A225" s="151"/>
      <c r="B225" s="151"/>
    </row>
    <row r="226">
      <c r="A226" s="151"/>
      <c r="B226" s="151"/>
    </row>
    <row r="227">
      <c r="A227" s="151"/>
      <c r="B227" s="151"/>
    </row>
    <row r="228">
      <c r="A228" s="151"/>
      <c r="B228" s="151"/>
    </row>
    <row r="229">
      <c r="A229" s="151"/>
      <c r="B229" s="151"/>
    </row>
    <row r="230">
      <c r="A230" s="151"/>
      <c r="B230" s="151"/>
    </row>
    <row r="231">
      <c r="A231" s="151"/>
      <c r="B231" s="151"/>
    </row>
    <row r="232">
      <c r="A232" s="151"/>
      <c r="B232" s="151"/>
    </row>
    <row r="233">
      <c r="A233" s="151"/>
      <c r="B233" s="151"/>
    </row>
    <row r="234">
      <c r="A234" s="151"/>
      <c r="B234" s="151"/>
    </row>
    <row r="235">
      <c r="A235" s="151"/>
      <c r="B235" s="151"/>
    </row>
    <row r="236">
      <c r="A236" s="151"/>
      <c r="B236" s="151"/>
    </row>
    <row r="237">
      <c r="A237" s="151"/>
      <c r="B237" s="151"/>
    </row>
    <row r="238">
      <c r="A238" s="151"/>
      <c r="B238" s="151"/>
    </row>
    <row r="239">
      <c r="A239" s="151"/>
      <c r="B239" s="151"/>
    </row>
    <row r="240">
      <c r="A240" s="151"/>
      <c r="B240" s="151"/>
    </row>
    <row r="241">
      <c r="A241" s="151"/>
      <c r="B241" s="151"/>
    </row>
    <row r="242">
      <c r="A242" s="151"/>
      <c r="B242" s="151"/>
    </row>
    <row r="243">
      <c r="A243" s="151"/>
      <c r="B243" s="151"/>
    </row>
    <row r="244">
      <c r="A244" s="151"/>
      <c r="B244" s="151"/>
    </row>
    <row r="245">
      <c r="A245" s="151"/>
      <c r="B245" s="151"/>
    </row>
    <row r="246">
      <c r="A246" s="151"/>
      <c r="B246" s="151"/>
    </row>
    <row r="247">
      <c r="A247" s="151"/>
      <c r="B247" s="151"/>
    </row>
    <row r="248">
      <c r="A248" s="151"/>
      <c r="B248" s="151"/>
    </row>
    <row r="249">
      <c r="A249" s="151"/>
      <c r="B249" s="151"/>
    </row>
    <row r="250">
      <c r="A250" s="151"/>
      <c r="B250" s="151"/>
    </row>
    <row r="251">
      <c r="A251" s="151"/>
      <c r="B251" s="151"/>
    </row>
    <row r="252">
      <c r="A252" s="151"/>
      <c r="B252" s="151"/>
    </row>
    <row r="253">
      <c r="A253" s="151"/>
      <c r="B253" s="151"/>
    </row>
    <row r="254">
      <c r="A254" s="151"/>
      <c r="B254" s="151"/>
    </row>
    <row r="255">
      <c r="A255" s="151"/>
      <c r="B255" s="151"/>
    </row>
    <row r="256">
      <c r="A256" s="151"/>
      <c r="B256" s="151"/>
    </row>
    <row r="257">
      <c r="A257" s="151"/>
      <c r="B257" s="151"/>
    </row>
    <row r="258">
      <c r="A258" s="151"/>
      <c r="B258" s="151"/>
    </row>
    <row r="259">
      <c r="A259" s="151"/>
      <c r="B259" s="151"/>
    </row>
    <row r="260">
      <c r="A260" s="151"/>
      <c r="B260" s="151"/>
    </row>
    <row r="261">
      <c r="A261" s="151"/>
      <c r="B261" s="151"/>
    </row>
    <row r="262">
      <c r="A262" s="151"/>
      <c r="B262" s="151"/>
    </row>
    <row r="263">
      <c r="A263" s="151"/>
      <c r="B263" s="151"/>
    </row>
    <row r="264">
      <c r="A264" s="151"/>
      <c r="B264" s="151"/>
    </row>
    <row r="265">
      <c r="A265" s="151"/>
      <c r="B265" s="151"/>
    </row>
    <row r="266">
      <c r="A266" s="151"/>
      <c r="B266" s="151"/>
    </row>
    <row r="267">
      <c r="A267" s="151"/>
      <c r="B267" s="151"/>
    </row>
    <row r="268">
      <c r="A268" s="151"/>
      <c r="B268" s="151"/>
    </row>
    <row r="269">
      <c r="A269" s="151"/>
      <c r="B269" s="151"/>
    </row>
    <row r="270">
      <c r="A270" s="151"/>
      <c r="B270" s="151"/>
    </row>
    <row r="271">
      <c r="A271" s="151"/>
      <c r="B271" s="151"/>
    </row>
    <row r="272">
      <c r="A272" s="151"/>
      <c r="B272" s="151"/>
    </row>
    <row r="273">
      <c r="A273" s="151"/>
      <c r="B273" s="151"/>
    </row>
    <row r="274">
      <c r="A274" s="151"/>
      <c r="B274" s="151"/>
    </row>
    <row r="275">
      <c r="A275" s="151"/>
      <c r="B275" s="151"/>
    </row>
    <row r="276">
      <c r="A276" s="151"/>
      <c r="B276" s="151"/>
    </row>
    <row r="277">
      <c r="A277" s="151"/>
      <c r="B277" s="151"/>
    </row>
    <row r="278">
      <c r="A278" s="151"/>
      <c r="B278" s="151"/>
    </row>
    <row r="279">
      <c r="A279" s="151"/>
      <c r="B279" s="151"/>
    </row>
    <row r="280">
      <c r="A280" s="151"/>
      <c r="B280" s="151"/>
    </row>
    <row r="281">
      <c r="A281" s="151"/>
      <c r="B281" s="151"/>
    </row>
    <row r="282">
      <c r="A282" s="151"/>
      <c r="B282" s="151"/>
    </row>
    <row r="283">
      <c r="A283" s="151"/>
      <c r="B283" s="151"/>
    </row>
    <row r="284">
      <c r="A284" s="151"/>
      <c r="B284" s="151"/>
    </row>
    <row r="285">
      <c r="A285" s="151"/>
      <c r="B285" s="151"/>
    </row>
    <row r="286">
      <c r="A286" s="151"/>
      <c r="B286" s="151"/>
    </row>
    <row r="287">
      <c r="A287" s="151"/>
      <c r="B287" s="151"/>
    </row>
    <row r="288">
      <c r="A288" s="151"/>
      <c r="B288" s="151"/>
    </row>
    <row r="289">
      <c r="A289" s="151"/>
      <c r="B289" s="151"/>
    </row>
    <row r="290">
      <c r="A290" s="151"/>
      <c r="B290" s="151"/>
    </row>
    <row r="291">
      <c r="A291" s="151"/>
      <c r="B291" s="151"/>
    </row>
    <row r="292">
      <c r="A292" s="151"/>
      <c r="B292" s="151"/>
    </row>
    <row r="293">
      <c r="A293" s="151"/>
      <c r="B293" s="151"/>
    </row>
    <row r="294">
      <c r="A294" s="151"/>
      <c r="B294" s="151"/>
    </row>
    <row r="295">
      <c r="A295" s="151"/>
      <c r="B295" s="151"/>
    </row>
    <row r="296">
      <c r="A296" s="151"/>
      <c r="B296" s="151"/>
    </row>
    <row r="297">
      <c r="A297" s="151"/>
      <c r="B297" s="151"/>
    </row>
    <row r="298">
      <c r="A298" s="151"/>
      <c r="B298" s="151"/>
    </row>
    <row r="299">
      <c r="A299" s="151"/>
      <c r="B299" s="151"/>
    </row>
    <row r="300">
      <c r="A300" s="151"/>
      <c r="B300" s="151"/>
    </row>
    <row r="301">
      <c r="A301" s="151"/>
      <c r="B301" s="151"/>
    </row>
    <row r="302">
      <c r="A302" s="151"/>
      <c r="B302" s="151"/>
    </row>
    <row r="303">
      <c r="A303" s="151"/>
      <c r="B303" s="151"/>
    </row>
    <row r="304">
      <c r="A304" s="151"/>
      <c r="B304" s="151"/>
    </row>
    <row r="305">
      <c r="A305" s="151"/>
      <c r="B305" s="151"/>
    </row>
    <row r="306">
      <c r="A306" s="151"/>
      <c r="B306" s="151"/>
    </row>
    <row r="307">
      <c r="A307" s="151"/>
      <c r="B307" s="151"/>
    </row>
    <row r="308">
      <c r="A308" s="151"/>
      <c r="B308" s="151"/>
    </row>
    <row r="309">
      <c r="A309" s="151"/>
      <c r="B309" s="151"/>
    </row>
    <row r="310">
      <c r="A310" s="151"/>
      <c r="B310" s="151"/>
    </row>
    <row r="311">
      <c r="A311" s="151"/>
      <c r="B311" s="151"/>
    </row>
    <row r="312">
      <c r="A312" s="151"/>
      <c r="B312" s="151"/>
    </row>
    <row r="313">
      <c r="A313" s="151"/>
      <c r="B313" s="151"/>
    </row>
    <row r="314">
      <c r="A314" s="151"/>
      <c r="B314" s="151"/>
    </row>
    <row r="315">
      <c r="A315" s="151"/>
      <c r="B315" s="151"/>
    </row>
    <row r="316">
      <c r="A316" s="151"/>
      <c r="B316" s="151"/>
    </row>
    <row r="317">
      <c r="A317" s="151"/>
      <c r="B317" s="151"/>
    </row>
    <row r="318">
      <c r="A318" s="151"/>
      <c r="B318" s="151"/>
    </row>
    <row r="319">
      <c r="A319" s="151"/>
      <c r="B319" s="151"/>
    </row>
    <row r="320">
      <c r="A320" s="151"/>
      <c r="B320" s="151"/>
    </row>
    <row r="321">
      <c r="A321" s="151"/>
      <c r="B321" s="151"/>
    </row>
    <row r="322">
      <c r="A322" s="151"/>
      <c r="B322" s="151"/>
    </row>
    <row r="323">
      <c r="A323" s="151"/>
      <c r="B323" s="151"/>
    </row>
    <row r="324">
      <c r="A324" s="151"/>
      <c r="B324" s="151"/>
    </row>
    <row r="325">
      <c r="A325" s="151"/>
      <c r="B325" s="151"/>
    </row>
    <row r="326">
      <c r="A326" s="151"/>
      <c r="B326" s="151"/>
    </row>
    <row r="327">
      <c r="A327" s="151"/>
      <c r="B327" s="151"/>
    </row>
    <row r="328">
      <c r="A328" s="151"/>
      <c r="B328" s="151"/>
    </row>
    <row r="329">
      <c r="A329" s="151"/>
      <c r="B329" s="151"/>
    </row>
    <row r="330">
      <c r="A330" s="151"/>
      <c r="B330" s="151"/>
    </row>
    <row r="331">
      <c r="A331" s="151"/>
      <c r="B331" s="151"/>
    </row>
    <row r="332">
      <c r="A332" s="151"/>
      <c r="B332" s="151"/>
    </row>
    <row r="333">
      <c r="A333" s="151"/>
      <c r="B333" s="151"/>
    </row>
    <row r="334">
      <c r="A334" s="151"/>
      <c r="B334" s="151"/>
    </row>
    <row r="335">
      <c r="A335" s="151"/>
      <c r="B335" s="151"/>
    </row>
    <row r="336">
      <c r="A336" s="151"/>
      <c r="B336" s="151"/>
    </row>
    <row r="337">
      <c r="A337" s="151"/>
      <c r="B337" s="151"/>
    </row>
    <row r="338">
      <c r="A338" s="151"/>
      <c r="B338" s="151"/>
    </row>
    <row r="339">
      <c r="A339" s="151"/>
      <c r="B339" s="151"/>
    </row>
    <row r="340">
      <c r="A340" s="151"/>
      <c r="B340" s="151"/>
    </row>
    <row r="341">
      <c r="A341" s="151"/>
      <c r="B341" s="151"/>
    </row>
    <row r="342">
      <c r="A342" s="151"/>
      <c r="B342" s="151"/>
    </row>
    <row r="343">
      <c r="A343" s="151"/>
      <c r="B343" s="151"/>
    </row>
    <row r="344">
      <c r="A344" s="151"/>
      <c r="B344" s="151"/>
    </row>
    <row r="345">
      <c r="A345" s="151"/>
      <c r="B345" s="151"/>
    </row>
    <row r="346">
      <c r="A346" s="151"/>
      <c r="B346" s="151"/>
    </row>
    <row r="347">
      <c r="A347" s="151"/>
      <c r="B347" s="151"/>
    </row>
    <row r="348">
      <c r="A348" s="151"/>
      <c r="B348" s="151"/>
    </row>
    <row r="349">
      <c r="A349" s="151"/>
      <c r="B349" s="151"/>
    </row>
    <row r="350">
      <c r="A350" s="151"/>
      <c r="B350" s="151"/>
    </row>
    <row r="351">
      <c r="A351" s="151"/>
      <c r="B351" s="151"/>
    </row>
    <row r="352">
      <c r="A352" s="151"/>
      <c r="B352" s="151"/>
    </row>
    <row r="353">
      <c r="A353" s="151"/>
      <c r="B353" s="151"/>
    </row>
    <row r="354">
      <c r="A354" s="151"/>
      <c r="B354" s="151"/>
    </row>
    <row r="355">
      <c r="A355" s="151"/>
      <c r="B355" s="151"/>
    </row>
    <row r="356">
      <c r="A356" s="151"/>
      <c r="B356" s="151"/>
    </row>
    <row r="357">
      <c r="A357" s="151"/>
      <c r="B357" s="151"/>
    </row>
    <row r="358">
      <c r="A358" s="151"/>
      <c r="B358" s="151"/>
    </row>
    <row r="359">
      <c r="A359" s="151"/>
      <c r="B359" s="151"/>
    </row>
    <row r="360">
      <c r="A360" s="151"/>
      <c r="B360" s="151"/>
    </row>
    <row r="361">
      <c r="A361" s="151"/>
      <c r="B361" s="151"/>
    </row>
    <row r="362">
      <c r="A362" s="151"/>
      <c r="B362" s="151"/>
    </row>
    <row r="363">
      <c r="A363" s="151"/>
      <c r="B363" s="151"/>
    </row>
    <row r="364">
      <c r="A364" s="151"/>
      <c r="B364" s="151"/>
    </row>
    <row r="365">
      <c r="A365" s="151"/>
      <c r="B365" s="151"/>
    </row>
    <row r="366">
      <c r="A366" s="151"/>
      <c r="B366" s="151"/>
    </row>
    <row r="367">
      <c r="A367" s="151"/>
      <c r="B367" s="151"/>
    </row>
    <row r="368">
      <c r="A368" s="151"/>
      <c r="B368" s="151"/>
    </row>
    <row r="369">
      <c r="A369" s="151"/>
      <c r="B369" s="151"/>
    </row>
    <row r="370">
      <c r="A370" s="151"/>
      <c r="B370" s="151"/>
    </row>
    <row r="371">
      <c r="A371" s="151"/>
      <c r="B371" s="151"/>
    </row>
    <row r="372">
      <c r="A372" s="151"/>
      <c r="B372" s="151"/>
    </row>
    <row r="373">
      <c r="A373" s="151"/>
      <c r="B373" s="151"/>
    </row>
    <row r="374">
      <c r="A374" s="151"/>
      <c r="B374" s="151"/>
    </row>
    <row r="375">
      <c r="A375" s="151"/>
      <c r="B375" s="151"/>
    </row>
    <row r="376">
      <c r="A376" s="151"/>
      <c r="B376" s="151"/>
    </row>
    <row r="377">
      <c r="A377" s="151"/>
      <c r="B377" s="151"/>
    </row>
    <row r="378">
      <c r="A378" s="151"/>
      <c r="B378" s="151"/>
    </row>
    <row r="379">
      <c r="A379" s="151"/>
      <c r="B379" s="151"/>
    </row>
    <row r="380">
      <c r="A380" s="151"/>
      <c r="B380" s="151"/>
    </row>
    <row r="381">
      <c r="A381" s="151"/>
      <c r="B381" s="151"/>
    </row>
    <row r="382">
      <c r="A382" s="151"/>
      <c r="B382" s="151"/>
    </row>
    <row r="383">
      <c r="A383" s="151"/>
      <c r="B383" s="151"/>
    </row>
    <row r="384">
      <c r="A384" s="151"/>
      <c r="B384" s="151"/>
    </row>
    <row r="385">
      <c r="A385" s="151"/>
      <c r="B385" s="151"/>
    </row>
    <row r="386">
      <c r="A386" s="151"/>
      <c r="B386" s="151"/>
    </row>
    <row r="387">
      <c r="A387" s="151"/>
      <c r="B387" s="151"/>
    </row>
    <row r="388">
      <c r="A388" s="151"/>
      <c r="B388" s="151"/>
    </row>
    <row r="389">
      <c r="A389" s="151"/>
      <c r="B389" s="151"/>
    </row>
    <row r="390">
      <c r="A390" s="151"/>
      <c r="B390" s="151"/>
    </row>
    <row r="391">
      <c r="A391" s="151"/>
      <c r="B391" s="151"/>
    </row>
    <row r="392">
      <c r="A392" s="151"/>
      <c r="B392" s="151"/>
    </row>
    <row r="393">
      <c r="A393" s="151"/>
      <c r="B393" s="151"/>
    </row>
    <row r="394">
      <c r="A394" s="151"/>
      <c r="B394" s="151"/>
    </row>
    <row r="395">
      <c r="A395" s="151"/>
      <c r="B395" s="151"/>
    </row>
    <row r="396">
      <c r="A396" s="151"/>
      <c r="B396" s="151"/>
    </row>
    <row r="397">
      <c r="A397" s="151"/>
      <c r="B397" s="151"/>
    </row>
    <row r="398">
      <c r="A398" s="151"/>
      <c r="B398" s="151"/>
    </row>
    <row r="399">
      <c r="A399" s="151"/>
      <c r="B399" s="151"/>
    </row>
    <row r="400">
      <c r="A400" s="151"/>
      <c r="B400" s="151"/>
    </row>
    <row r="401">
      <c r="A401" s="151"/>
      <c r="B401" s="151"/>
    </row>
    <row r="402">
      <c r="A402" s="151"/>
      <c r="B402" s="151"/>
    </row>
    <row r="403">
      <c r="A403" s="151"/>
      <c r="B403" s="151"/>
    </row>
    <row r="404">
      <c r="A404" s="151"/>
      <c r="B404" s="151"/>
    </row>
    <row r="405">
      <c r="A405" s="151"/>
      <c r="B405" s="151"/>
    </row>
    <row r="406">
      <c r="A406" s="151"/>
      <c r="B406" s="151"/>
    </row>
    <row r="407">
      <c r="A407" s="151"/>
      <c r="B407" s="151"/>
    </row>
    <row r="408">
      <c r="A408" s="151"/>
      <c r="B408" s="151"/>
    </row>
    <row r="409">
      <c r="A409" s="151"/>
      <c r="B409" s="151"/>
    </row>
    <row r="410">
      <c r="A410" s="151"/>
      <c r="B410" s="151"/>
    </row>
    <row r="411">
      <c r="A411" s="151"/>
      <c r="B411" s="151"/>
    </row>
    <row r="412">
      <c r="A412" s="151"/>
      <c r="B412" s="151"/>
    </row>
    <row r="413">
      <c r="A413" s="151"/>
      <c r="B413" s="151"/>
    </row>
    <row r="414">
      <c r="A414" s="151"/>
      <c r="B414" s="151"/>
    </row>
    <row r="415">
      <c r="A415" s="151"/>
      <c r="B415" s="151"/>
    </row>
    <row r="416">
      <c r="A416" s="151"/>
      <c r="B416" s="151"/>
    </row>
    <row r="417">
      <c r="A417" s="151"/>
      <c r="B417" s="151"/>
    </row>
    <row r="418">
      <c r="A418" s="151"/>
      <c r="B418" s="151"/>
    </row>
    <row r="419">
      <c r="A419" s="151"/>
      <c r="B419" s="151"/>
    </row>
    <row r="420">
      <c r="A420" s="151"/>
      <c r="B420" s="151"/>
    </row>
    <row r="421">
      <c r="A421" s="151"/>
      <c r="B421" s="151"/>
    </row>
    <row r="422">
      <c r="A422" s="151"/>
      <c r="B422" s="151"/>
    </row>
    <row r="423">
      <c r="A423" s="151"/>
      <c r="B423" s="151"/>
    </row>
    <row r="424">
      <c r="A424" s="151"/>
      <c r="B424" s="151"/>
    </row>
    <row r="425">
      <c r="A425" s="151"/>
      <c r="B425" s="151"/>
    </row>
    <row r="426">
      <c r="A426" s="151"/>
      <c r="B426" s="151"/>
    </row>
    <row r="427">
      <c r="A427" s="151"/>
      <c r="B427" s="151"/>
    </row>
    <row r="428">
      <c r="A428" s="151"/>
      <c r="B428" s="151"/>
    </row>
    <row r="429">
      <c r="A429" s="151"/>
      <c r="B429" s="151"/>
    </row>
    <row r="430">
      <c r="A430" s="151"/>
      <c r="B430" s="151"/>
    </row>
    <row r="431">
      <c r="A431" s="151"/>
      <c r="B431" s="151"/>
    </row>
    <row r="432">
      <c r="A432" s="151"/>
      <c r="B432" s="151"/>
    </row>
    <row r="433">
      <c r="A433" s="151"/>
      <c r="B433" s="151"/>
    </row>
    <row r="434">
      <c r="A434" s="151"/>
      <c r="B434" s="151"/>
    </row>
    <row r="435">
      <c r="A435" s="151"/>
      <c r="B435" s="151"/>
    </row>
    <row r="436">
      <c r="A436" s="151"/>
      <c r="B436" s="151"/>
    </row>
    <row r="437">
      <c r="A437" s="151"/>
      <c r="B437" s="151"/>
    </row>
    <row r="438">
      <c r="A438" s="151"/>
      <c r="B438" s="151"/>
    </row>
    <row r="439">
      <c r="A439" s="151"/>
      <c r="B439" s="151"/>
    </row>
    <row r="440">
      <c r="A440" s="151"/>
      <c r="B440" s="151"/>
    </row>
    <row r="441">
      <c r="A441" s="151"/>
      <c r="B441" s="151"/>
    </row>
    <row r="442">
      <c r="A442" s="151"/>
      <c r="B442" s="151"/>
    </row>
    <row r="443">
      <c r="A443" s="151"/>
      <c r="B443" s="151"/>
    </row>
    <row r="444">
      <c r="A444" s="151"/>
      <c r="B444" s="151"/>
    </row>
    <row r="445">
      <c r="A445" s="151"/>
      <c r="B445" s="151"/>
    </row>
    <row r="446">
      <c r="A446" s="151"/>
      <c r="B446" s="151"/>
    </row>
    <row r="447">
      <c r="A447" s="151"/>
      <c r="B447" s="151"/>
    </row>
    <row r="448">
      <c r="A448" s="151"/>
      <c r="B448" s="151"/>
    </row>
    <row r="449">
      <c r="A449" s="151"/>
      <c r="B449" s="151"/>
    </row>
    <row r="450">
      <c r="A450" s="151"/>
      <c r="B450" s="151"/>
    </row>
    <row r="451">
      <c r="A451" s="151"/>
      <c r="B451" s="151"/>
    </row>
    <row r="452">
      <c r="A452" s="151"/>
      <c r="B452" s="151"/>
    </row>
    <row r="453">
      <c r="A453" s="151"/>
      <c r="B453" s="151"/>
    </row>
    <row r="454">
      <c r="A454" s="151"/>
      <c r="B454" s="151"/>
    </row>
    <row r="455">
      <c r="A455" s="151"/>
      <c r="B455" s="151"/>
    </row>
    <row r="456">
      <c r="A456" s="151"/>
      <c r="B456" s="151"/>
    </row>
    <row r="457">
      <c r="A457" s="151"/>
      <c r="B457" s="151"/>
    </row>
    <row r="458">
      <c r="A458" s="151"/>
      <c r="B458" s="151"/>
    </row>
    <row r="459">
      <c r="A459" s="151"/>
      <c r="B459" s="151"/>
    </row>
    <row r="460">
      <c r="A460" s="151"/>
      <c r="B460" s="151"/>
    </row>
    <row r="461">
      <c r="A461" s="151"/>
      <c r="B461" s="151"/>
    </row>
    <row r="462">
      <c r="A462" s="151"/>
      <c r="B462" s="151"/>
    </row>
    <row r="463">
      <c r="A463" s="151"/>
      <c r="B463" s="151"/>
    </row>
    <row r="464">
      <c r="A464" s="151"/>
      <c r="B464" s="151"/>
    </row>
    <row r="465">
      <c r="A465" s="151"/>
      <c r="B465" s="151"/>
    </row>
    <row r="466">
      <c r="A466" s="151"/>
      <c r="B466" s="151"/>
    </row>
    <row r="467">
      <c r="A467" s="151"/>
      <c r="B467" s="151"/>
    </row>
    <row r="468">
      <c r="A468" s="151"/>
      <c r="B468" s="151"/>
    </row>
    <row r="469">
      <c r="A469" s="151"/>
      <c r="B469" s="151"/>
    </row>
    <row r="470">
      <c r="A470" s="151"/>
      <c r="B470" s="151"/>
    </row>
    <row r="471">
      <c r="A471" s="151"/>
      <c r="B471" s="151"/>
    </row>
    <row r="472">
      <c r="A472" s="151"/>
      <c r="B472" s="151"/>
    </row>
    <row r="473">
      <c r="A473" s="151"/>
      <c r="B473" s="151"/>
    </row>
    <row r="474">
      <c r="A474" s="151"/>
      <c r="B474" s="151"/>
    </row>
    <row r="475">
      <c r="A475" s="151"/>
      <c r="B475" s="151"/>
    </row>
    <row r="476">
      <c r="A476" s="151"/>
      <c r="B476" s="151"/>
    </row>
    <row r="477">
      <c r="A477" s="151"/>
      <c r="B477" s="151"/>
    </row>
    <row r="478">
      <c r="A478" s="151"/>
      <c r="B478" s="151"/>
    </row>
    <row r="479">
      <c r="A479" s="151"/>
      <c r="B479" s="151"/>
    </row>
    <row r="480">
      <c r="A480" s="151"/>
      <c r="B480" s="151"/>
    </row>
    <row r="481">
      <c r="A481" s="151"/>
      <c r="B481" s="151"/>
    </row>
    <row r="482">
      <c r="A482" s="151"/>
      <c r="B482" s="151"/>
    </row>
    <row r="483">
      <c r="A483" s="151"/>
      <c r="B483" s="151"/>
    </row>
    <row r="484">
      <c r="A484" s="151"/>
      <c r="B484" s="151"/>
    </row>
    <row r="485">
      <c r="A485" s="151"/>
      <c r="B485" s="151"/>
    </row>
    <row r="486">
      <c r="A486" s="151"/>
      <c r="B486" s="151"/>
    </row>
    <row r="487">
      <c r="A487" s="151"/>
      <c r="B487" s="151"/>
    </row>
    <row r="488">
      <c r="A488" s="151"/>
      <c r="B488" s="151"/>
    </row>
    <row r="489">
      <c r="A489" s="151"/>
      <c r="B489" s="151"/>
    </row>
    <row r="490">
      <c r="A490" s="151"/>
      <c r="B490" s="151"/>
    </row>
    <row r="491">
      <c r="A491" s="151"/>
      <c r="B491" s="151"/>
    </row>
    <row r="492">
      <c r="A492" s="151"/>
      <c r="B492" s="151"/>
    </row>
    <row r="493">
      <c r="A493" s="151"/>
      <c r="B493" s="151"/>
    </row>
    <row r="494">
      <c r="A494" s="151"/>
      <c r="B494" s="151"/>
    </row>
    <row r="495">
      <c r="A495" s="151"/>
      <c r="B495" s="151"/>
    </row>
    <row r="496">
      <c r="A496" s="151"/>
      <c r="B496" s="151"/>
    </row>
    <row r="497">
      <c r="A497" s="151"/>
      <c r="B497" s="151"/>
    </row>
    <row r="498">
      <c r="A498" s="151"/>
      <c r="B498" s="151"/>
    </row>
    <row r="499">
      <c r="A499" s="151"/>
      <c r="B499" s="151"/>
    </row>
    <row r="500">
      <c r="A500" s="151"/>
      <c r="B500" s="151"/>
    </row>
    <row r="501">
      <c r="A501" s="151"/>
      <c r="B501" s="151"/>
    </row>
    <row r="502">
      <c r="A502" s="151"/>
      <c r="B502" s="151"/>
    </row>
    <row r="503">
      <c r="A503" s="151"/>
      <c r="B503" s="151"/>
    </row>
    <row r="504">
      <c r="A504" s="151"/>
      <c r="B504" s="151"/>
    </row>
    <row r="505">
      <c r="A505" s="151"/>
      <c r="B505" s="151"/>
    </row>
    <row r="506">
      <c r="A506" s="151"/>
      <c r="B506" s="151"/>
    </row>
    <row r="507">
      <c r="A507" s="151"/>
      <c r="B507" s="151"/>
    </row>
    <row r="508">
      <c r="A508" s="151"/>
      <c r="B508" s="151"/>
    </row>
    <row r="509">
      <c r="A509" s="151"/>
      <c r="B509" s="151"/>
    </row>
    <row r="510">
      <c r="A510" s="151"/>
      <c r="B510" s="151"/>
    </row>
    <row r="511">
      <c r="A511" s="151"/>
      <c r="B511" s="151"/>
    </row>
    <row r="512">
      <c r="A512" s="151"/>
      <c r="B512" s="151"/>
    </row>
    <row r="513">
      <c r="A513" s="151"/>
      <c r="B513" s="151"/>
    </row>
    <row r="514">
      <c r="A514" s="151"/>
      <c r="B514" s="151"/>
    </row>
    <row r="515">
      <c r="A515" s="151"/>
      <c r="B515" s="151"/>
    </row>
    <row r="516">
      <c r="A516" s="151"/>
      <c r="B516" s="151"/>
    </row>
    <row r="517">
      <c r="A517" s="151"/>
      <c r="B517" s="151"/>
    </row>
    <row r="518">
      <c r="A518" s="151"/>
      <c r="B518" s="151"/>
    </row>
    <row r="519">
      <c r="A519" s="151"/>
      <c r="B519" s="151"/>
    </row>
    <row r="520">
      <c r="A520" s="151"/>
      <c r="B520" s="151"/>
    </row>
    <row r="521">
      <c r="A521" s="151"/>
      <c r="B521" s="151"/>
    </row>
    <row r="522">
      <c r="A522" s="151"/>
      <c r="B522" s="151"/>
    </row>
    <row r="523">
      <c r="A523" s="151"/>
      <c r="B523" s="151"/>
    </row>
    <row r="524">
      <c r="A524" s="151"/>
      <c r="B524" s="151"/>
    </row>
    <row r="525">
      <c r="A525" s="151"/>
      <c r="B525" s="151"/>
    </row>
    <row r="526">
      <c r="A526" s="151"/>
      <c r="B526" s="151"/>
    </row>
    <row r="527">
      <c r="A527" s="151"/>
      <c r="B527" s="151"/>
    </row>
    <row r="528">
      <c r="A528" s="151"/>
      <c r="B528" s="151"/>
    </row>
    <row r="529">
      <c r="A529" s="151"/>
      <c r="B529" s="151"/>
    </row>
    <row r="530">
      <c r="A530" s="151"/>
      <c r="B530" s="151"/>
    </row>
    <row r="531">
      <c r="A531" s="151"/>
      <c r="B531" s="151"/>
    </row>
    <row r="532">
      <c r="A532" s="151"/>
      <c r="B532" s="151"/>
    </row>
    <row r="533">
      <c r="A533" s="151"/>
      <c r="B533" s="151"/>
    </row>
    <row r="534">
      <c r="A534" s="151"/>
      <c r="B534" s="151"/>
    </row>
    <row r="535">
      <c r="A535" s="151"/>
      <c r="B535" s="151"/>
    </row>
    <row r="536">
      <c r="A536" s="151"/>
      <c r="B536" s="151"/>
    </row>
    <row r="537">
      <c r="A537" s="151"/>
      <c r="B537" s="151"/>
    </row>
    <row r="538">
      <c r="A538" s="151"/>
      <c r="B538" s="151"/>
    </row>
    <row r="539">
      <c r="A539" s="151"/>
      <c r="B539" s="151"/>
    </row>
    <row r="540">
      <c r="A540" s="151"/>
      <c r="B540" s="151"/>
    </row>
    <row r="541">
      <c r="A541" s="151"/>
      <c r="B541" s="151"/>
    </row>
    <row r="542">
      <c r="A542" s="151"/>
      <c r="B542" s="151"/>
    </row>
    <row r="543">
      <c r="A543" s="151"/>
      <c r="B543" s="151"/>
    </row>
    <row r="544">
      <c r="A544" s="151"/>
      <c r="B544" s="151"/>
    </row>
    <row r="545">
      <c r="A545" s="151"/>
      <c r="B545" s="151"/>
    </row>
    <row r="546">
      <c r="A546" s="151"/>
      <c r="B546" s="151"/>
    </row>
    <row r="547">
      <c r="A547" s="151"/>
      <c r="B547" s="151"/>
    </row>
    <row r="548">
      <c r="A548" s="151"/>
      <c r="B548" s="151"/>
    </row>
    <row r="549">
      <c r="A549" s="151"/>
      <c r="B549" s="151"/>
    </row>
    <row r="550">
      <c r="A550" s="151"/>
      <c r="B550" s="151"/>
    </row>
    <row r="551">
      <c r="A551" s="151"/>
      <c r="B551" s="151"/>
    </row>
    <row r="552">
      <c r="A552" s="151"/>
      <c r="B552" s="151"/>
    </row>
    <row r="553">
      <c r="A553" s="151"/>
      <c r="B553" s="151"/>
    </row>
    <row r="554">
      <c r="A554" s="151"/>
      <c r="B554" s="151"/>
    </row>
    <row r="555">
      <c r="A555" s="151"/>
      <c r="B555" s="151"/>
    </row>
    <row r="556">
      <c r="A556" s="151"/>
      <c r="B556" s="151"/>
    </row>
    <row r="557">
      <c r="A557" s="151"/>
      <c r="B557" s="151"/>
    </row>
    <row r="558">
      <c r="A558" s="151"/>
      <c r="B558" s="151"/>
    </row>
    <row r="559">
      <c r="A559" s="151"/>
      <c r="B559" s="151"/>
    </row>
    <row r="560">
      <c r="A560" s="151"/>
      <c r="B560" s="151"/>
    </row>
    <row r="561">
      <c r="A561" s="151"/>
      <c r="B561" s="151"/>
    </row>
    <row r="562">
      <c r="A562" s="151"/>
      <c r="B562" s="151"/>
    </row>
    <row r="563">
      <c r="A563" s="151"/>
      <c r="B563" s="151"/>
    </row>
    <row r="564">
      <c r="A564" s="151"/>
      <c r="B564" s="151"/>
    </row>
    <row r="565">
      <c r="A565" s="151"/>
      <c r="B565" s="151"/>
    </row>
    <row r="566">
      <c r="A566" s="151"/>
      <c r="B566" s="151"/>
    </row>
    <row r="567">
      <c r="A567" s="151"/>
      <c r="B567" s="151"/>
    </row>
    <row r="568">
      <c r="A568" s="151"/>
      <c r="B568" s="151"/>
    </row>
    <row r="569">
      <c r="A569" s="151"/>
      <c r="B569" s="151"/>
    </row>
    <row r="570">
      <c r="A570" s="151"/>
      <c r="B570" s="151"/>
    </row>
    <row r="571">
      <c r="A571" s="151"/>
      <c r="B571" s="151"/>
    </row>
    <row r="572">
      <c r="A572" s="151"/>
      <c r="B572" s="151"/>
    </row>
    <row r="573">
      <c r="A573" s="151"/>
      <c r="B573" s="151"/>
    </row>
    <row r="574">
      <c r="A574" s="151"/>
      <c r="B574" s="151"/>
    </row>
    <row r="575">
      <c r="A575" s="151"/>
      <c r="B575" s="151"/>
    </row>
    <row r="576">
      <c r="A576" s="151"/>
      <c r="B576" s="151"/>
    </row>
    <row r="577">
      <c r="A577" s="151"/>
      <c r="B577" s="151"/>
    </row>
    <row r="578">
      <c r="A578" s="151"/>
      <c r="B578" s="151"/>
    </row>
    <row r="579">
      <c r="A579" s="151"/>
      <c r="B579" s="151"/>
    </row>
    <row r="580">
      <c r="A580" s="151"/>
      <c r="B580" s="151"/>
    </row>
    <row r="581">
      <c r="A581" s="151"/>
      <c r="B581" s="151"/>
    </row>
    <row r="582">
      <c r="A582" s="151"/>
      <c r="B582" s="151"/>
    </row>
    <row r="583">
      <c r="A583" s="151"/>
      <c r="B583" s="151"/>
    </row>
    <row r="584">
      <c r="A584" s="151"/>
      <c r="B584" s="151"/>
    </row>
    <row r="585">
      <c r="A585" s="151"/>
      <c r="B585" s="151"/>
    </row>
    <row r="586">
      <c r="A586" s="151"/>
      <c r="B586" s="151"/>
    </row>
    <row r="587">
      <c r="A587" s="151"/>
      <c r="B587" s="151"/>
    </row>
    <row r="588">
      <c r="A588" s="151"/>
      <c r="B588" s="151"/>
    </row>
    <row r="589">
      <c r="A589" s="151"/>
      <c r="B589" s="151"/>
    </row>
    <row r="590">
      <c r="A590" s="151"/>
      <c r="B590" s="151"/>
    </row>
    <row r="591">
      <c r="A591" s="151"/>
      <c r="B591" s="151"/>
    </row>
    <row r="592">
      <c r="A592" s="151"/>
      <c r="B592" s="151"/>
    </row>
    <row r="593">
      <c r="A593" s="151"/>
      <c r="B593" s="151"/>
    </row>
    <row r="594">
      <c r="A594" s="151"/>
      <c r="B594" s="151"/>
    </row>
    <row r="595">
      <c r="A595" s="151"/>
      <c r="B595" s="151"/>
    </row>
    <row r="596">
      <c r="A596" s="151"/>
      <c r="B596" s="151"/>
    </row>
    <row r="597">
      <c r="A597" s="151"/>
      <c r="B597" s="151"/>
    </row>
    <row r="598">
      <c r="A598" s="151"/>
      <c r="B598" s="151"/>
    </row>
    <row r="599">
      <c r="A599" s="151"/>
      <c r="B599" s="151"/>
    </row>
    <row r="600">
      <c r="A600" s="151"/>
      <c r="B600" s="151"/>
    </row>
    <row r="601">
      <c r="A601" s="151"/>
      <c r="B601" s="151"/>
    </row>
    <row r="602">
      <c r="A602" s="151"/>
      <c r="B602" s="151"/>
    </row>
    <row r="603">
      <c r="A603" s="151"/>
      <c r="B603" s="151"/>
    </row>
    <row r="604">
      <c r="A604" s="151"/>
      <c r="B604" s="151"/>
    </row>
    <row r="605">
      <c r="A605" s="151"/>
      <c r="B605" s="151"/>
    </row>
    <row r="606">
      <c r="A606" s="151"/>
      <c r="B606" s="151"/>
    </row>
    <row r="607">
      <c r="A607" s="151"/>
      <c r="B607" s="151"/>
    </row>
    <row r="608">
      <c r="A608" s="151"/>
      <c r="B608" s="151"/>
    </row>
    <row r="609">
      <c r="A609" s="151"/>
      <c r="B609" s="151"/>
    </row>
    <row r="610">
      <c r="A610" s="151"/>
      <c r="B610" s="151"/>
    </row>
    <row r="611">
      <c r="A611" s="151"/>
      <c r="B611" s="151"/>
    </row>
    <row r="612">
      <c r="A612" s="151"/>
      <c r="B612" s="151"/>
    </row>
    <row r="613">
      <c r="A613" s="151"/>
      <c r="B613" s="151"/>
    </row>
    <row r="614">
      <c r="A614" s="151"/>
      <c r="B614" s="151"/>
    </row>
    <row r="615">
      <c r="A615" s="151"/>
      <c r="B615" s="151"/>
    </row>
    <row r="616">
      <c r="A616" s="151"/>
      <c r="B616" s="151"/>
    </row>
    <row r="617">
      <c r="A617" s="151"/>
      <c r="B617" s="151"/>
    </row>
    <row r="618">
      <c r="A618" s="151"/>
      <c r="B618" s="151"/>
    </row>
    <row r="619">
      <c r="A619" s="151"/>
      <c r="B619" s="151"/>
    </row>
    <row r="620">
      <c r="A620" s="151"/>
      <c r="B620" s="151"/>
    </row>
    <row r="621">
      <c r="A621" s="151"/>
      <c r="B621" s="151"/>
    </row>
    <row r="622">
      <c r="A622" s="151"/>
      <c r="B622" s="151"/>
    </row>
    <row r="623">
      <c r="A623" s="151"/>
      <c r="B623" s="151"/>
    </row>
    <row r="624">
      <c r="A624" s="151"/>
      <c r="B624" s="151"/>
    </row>
    <row r="625">
      <c r="A625" s="151"/>
      <c r="B625" s="151"/>
    </row>
    <row r="626">
      <c r="A626" s="151"/>
      <c r="B626" s="151"/>
    </row>
    <row r="627">
      <c r="A627" s="151"/>
      <c r="B627" s="151"/>
    </row>
    <row r="628">
      <c r="A628" s="151"/>
      <c r="B628" s="151"/>
    </row>
    <row r="629">
      <c r="A629" s="151"/>
      <c r="B629" s="151"/>
    </row>
    <row r="630">
      <c r="A630" s="151"/>
      <c r="B630" s="151"/>
    </row>
    <row r="631">
      <c r="A631" s="151"/>
      <c r="B631" s="151"/>
    </row>
    <row r="632">
      <c r="A632" s="151"/>
      <c r="B632" s="151"/>
    </row>
    <row r="633">
      <c r="A633" s="151"/>
      <c r="B633" s="151"/>
    </row>
    <row r="634">
      <c r="A634" s="151"/>
      <c r="B634" s="151"/>
    </row>
    <row r="635">
      <c r="A635" s="151"/>
      <c r="B635" s="151"/>
    </row>
    <row r="636">
      <c r="A636" s="151"/>
      <c r="B636" s="151"/>
    </row>
    <row r="637">
      <c r="A637" s="151"/>
      <c r="B637" s="151"/>
    </row>
    <row r="638">
      <c r="A638" s="151"/>
      <c r="B638" s="151"/>
    </row>
    <row r="639">
      <c r="A639" s="151"/>
      <c r="B639" s="151"/>
    </row>
    <row r="640">
      <c r="A640" s="151"/>
      <c r="B640" s="151"/>
    </row>
    <row r="641">
      <c r="A641" s="151"/>
      <c r="B641" s="151"/>
    </row>
    <row r="642">
      <c r="A642" s="151"/>
      <c r="B642" s="151"/>
    </row>
    <row r="643">
      <c r="A643" s="151"/>
      <c r="B643" s="151"/>
    </row>
    <row r="644">
      <c r="A644" s="151"/>
      <c r="B644" s="151"/>
    </row>
    <row r="645">
      <c r="A645" s="151"/>
      <c r="B645" s="151"/>
    </row>
    <row r="646">
      <c r="A646" s="151"/>
      <c r="B646" s="151"/>
    </row>
    <row r="647">
      <c r="A647" s="151"/>
      <c r="B647" s="151"/>
    </row>
    <row r="648">
      <c r="A648" s="151"/>
      <c r="B648" s="151"/>
    </row>
    <row r="649">
      <c r="A649" s="151"/>
      <c r="B649" s="151"/>
    </row>
    <row r="650">
      <c r="A650" s="151"/>
      <c r="B650" s="151"/>
    </row>
    <row r="651">
      <c r="A651" s="151"/>
      <c r="B651" s="151"/>
    </row>
    <row r="652">
      <c r="A652" s="151"/>
      <c r="B652" s="151"/>
    </row>
    <row r="653">
      <c r="A653" s="151"/>
      <c r="B653" s="151"/>
    </row>
    <row r="654">
      <c r="A654" s="151"/>
      <c r="B654" s="151"/>
    </row>
    <row r="655">
      <c r="A655" s="151"/>
      <c r="B655" s="151"/>
    </row>
    <row r="656">
      <c r="A656" s="151"/>
      <c r="B656" s="151"/>
    </row>
    <row r="657">
      <c r="A657" s="151"/>
      <c r="B657" s="151"/>
    </row>
    <row r="658">
      <c r="A658" s="151"/>
      <c r="B658" s="151"/>
    </row>
    <row r="659">
      <c r="A659" s="151"/>
      <c r="B659" s="151"/>
    </row>
    <row r="660">
      <c r="A660" s="151"/>
      <c r="B660" s="151"/>
    </row>
    <row r="661">
      <c r="A661" s="151"/>
      <c r="B661" s="151"/>
    </row>
    <row r="662">
      <c r="A662" s="151"/>
      <c r="B662" s="151"/>
    </row>
    <row r="663">
      <c r="A663" s="151"/>
      <c r="B663" s="151"/>
    </row>
    <row r="664">
      <c r="A664" s="151"/>
      <c r="B664" s="151"/>
    </row>
    <row r="665">
      <c r="A665" s="151"/>
      <c r="B665" s="151"/>
    </row>
    <row r="666">
      <c r="A666" s="151"/>
      <c r="B666" s="151"/>
    </row>
    <row r="667">
      <c r="A667" s="151"/>
      <c r="B667" s="151"/>
    </row>
    <row r="668">
      <c r="A668" s="151"/>
      <c r="B668" s="151"/>
    </row>
    <row r="669">
      <c r="A669" s="151"/>
      <c r="B669" s="151"/>
    </row>
    <row r="670">
      <c r="A670" s="151"/>
      <c r="B670" s="151"/>
    </row>
    <row r="671">
      <c r="A671" s="151"/>
      <c r="B671" s="151"/>
    </row>
    <row r="672">
      <c r="A672" s="151"/>
      <c r="B672" s="151"/>
    </row>
    <row r="673">
      <c r="A673" s="151"/>
      <c r="B673" s="151"/>
    </row>
    <row r="674">
      <c r="A674" s="151"/>
      <c r="B674" s="151"/>
    </row>
    <row r="675">
      <c r="A675" s="151"/>
      <c r="B675" s="151"/>
    </row>
    <row r="676">
      <c r="A676" s="151"/>
      <c r="B676" s="151"/>
    </row>
    <row r="677">
      <c r="A677" s="151"/>
      <c r="B677" s="151"/>
    </row>
    <row r="678">
      <c r="A678" s="151"/>
      <c r="B678" s="151"/>
    </row>
    <row r="679">
      <c r="A679" s="151"/>
      <c r="B679" s="151"/>
    </row>
    <row r="680">
      <c r="A680" s="151"/>
      <c r="B680" s="151"/>
    </row>
    <row r="681">
      <c r="A681" s="151"/>
      <c r="B681" s="151"/>
    </row>
    <row r="682">
      <c r="A682" s="151"/>
      <c r="B682" s="151"/>
    </row>
    <row r="683">
      <c r="A683" s="151"/>
      <c r="B683" s="151"/>
    </row>
    <row r="684">
      <c r="A684" s="151"/>
      <c r="B684" s="151"/>
    </row>
    <row r="685">
      <c r="A685" s="151"/>
      <c r="B685" s="151"/>
    </row>
    <row r="686">
      <c r="A686" s="151"/>
      <c r="B686" s="151"/>
    </row>
    <row r="687">
      <c r="A687" s="151"/>
      <c r="B687" s="151"/>
    </row>
    <row r="688">
      <c r="A688" s="151"/>
      <c r="B688" s="151"/>
    </row>
    <row r="689">
      <c r="A689" s="151"/>
      <c r="B689" s="151"/>
    </row>
    <row r="690">
      <c r="A690" s="151"/>
      <c r="B690" s="151"/>
    </row>
    <row r="691">
      <c r="A691" s="151"/>
      <c r="B691" s="151"/>
    </row>
    <row r="692">
      <c r="A692" s="151"/>
      <c r="B692" s="151"/>
    </row>
    <row r="693">
      <c r="A693" s="151"/>
      <c r="B693" s="151"/>
    </row>
    <row r="694">
      <c r="A694" s="151"/>
      <c r="B694" s="151"/>
    </row>
    <row r="695">
      <c r="A695" s="151"/>
      <c r="B695" s="151"/>
    </row>
    <row r="696">
      <c r="A696" s="151"/>
      <c r="B696" s="151"/>
    </row>
    <row r="697">
      <c r="A697" s="151"/>
      <c r="B697" s="151"/>
    </row>
    <row r="698">
      <c r="A698" s="151"/>
      <c r="B698" s="151"/>
    </row>
    <row r="699">
      <c r="A699" s="151"/>
      <c r="B699" s="151"/>
    </row>
    <row r="700">
      <c r="A700" s="151"/>
      <c r="B700" s="151"/>
    </row>
    <row r="701">
      <c r="A701" s="151"/>
      <c r="B701" s="151"/>
    </row>
    <row r="702">
      <c r="A702" s="151"/>
      <c r="B702" s="151"/>
    </row>
    <row r="703">
      <c r="A703" s="151"/>
      <c r="B703" s="151"/>
    </row>
    <row r="704">
      <c r="A704" s="151"/>
      <c r="B704" s="151"/>
    </row>
    <row r="705">
      <c r="A705" s="151"/>
      <c r="B705" s="151"/>
    </row>
    <row r="706">
      <c r="A706" s="151"/>
      <c r="B706" s="151"/>
    </row>
    <row r="707">
      <c r="A707" s="151"/>
      <c r="B707" s="151"/>
    </row>
    <row r="708">
      <c r="A708" s="151"/>
      <c r="B708" s="151"/>
    </row>
    <row r="709">
      <c r="A709" s="151"/>
      <c r="B709" s="151"/>
    </row>
    <row r="710">
      <c r="A710" s="151"/>
      <c r="B710" s="151"/>
    </row>
    <row r="711">
      <c r="A711" s="151"/>
      <c r="B711" s="151"/>
    </row>
    <row r="712">
      <c r="A712" s="151"/>
      <c r="B712" s="151"/>
    </row>
    <row r="713">
      <c r="A713" s="151"/>
      <c r="B713" s="151"/>
    </row>
    <row r="714">
      <c r="A714" s="151"/>
      <c r="B714" s="151"/>
    </row>
    <row r="715">
      <c r="A715" s="151"/>
      <c r="B715" s="151"/>
    </row>
    <row r="716">
      <c r="A716" s="151"/>
      <c r="B716" s="151"/>
    </row>
    <row r="717">
      <c r="A717" s="151"/>
      <c r="B717" s="151"/>
    </row>
    <row r="718">
      <c r="A718" s="151"/>
      <c r="B718" s="151"/>
    </row>
    <row r="719">
      <c r="A719" s="151"/>
      <c r="B719" s="151"/>
    </row>
    <row r="720">
      <c r="A720" s="151"/>
      <c r="B720" s="151"/>
    </row>
    <row r="721">
      <c r="A721" s="151"/>
      <c r="B721" s="151"/>
    </row>
    <row r="722">
      <c r="A722" s="151"/>
      <c r="B722" s="151"/>
    </row>
    <row r="723">
      <c r="A723" s="151"/>
      <c r="B723" s="151"/>
    </row>
    <row r="724">
      <c r="A724" s="151"/>
      <c r="B724" s="151"/>
    </row>
    <row r="725">
      <c r="A725" s="151"/>
      <c r="B725" s="151"/>
    </row>
    <row r="726">
      <c r="A726" s="151"/>
      <c r="B726" s="151"/>
    </row>
    <row r="727">
      <c r="A727" s="151"/>
      <c r="B727" s="151"/>
    </row>
    <row r="728">
      <c r="A728" s="151"/>
      <c r="B728" s="151"/>
    </row>
    <row r="729">
      <c r="A729" s="151"/>
      <c r="B729" s="151"/>
    </row>
    <row r="730">
      <c r="A730" s="151"/>
      <c r="B730" s="151"/>
    </row>
    <row r="731">
      <c r="A731" s="151"/>
      <c r="B731" s="151"/>
    </row>
    <row r="732">
      <c r="A732" s="151"/>
      <c r="B732" s="151"/>
    </row>
    <row r="733">
      <c r="A733" s="151"/>
      <c r="B733" s="151"/>
    </row>
    <row r="734">
      <c r="A734" s="151"/>
      <c r="B734" s="151"/>
    </row>
    <row r="735">
      <c r="A735" s="151"/>
      <c r="B735" s="151"/>
    </row>
    <row r="736">
      <c r="A736" s="151"/>
      <c r="B736" s="151"/>
    </row>
    <row r="737">
      <c r="A737" s="151"/>
      <c r="B737" s="151"/>
    </row>
    <row r="738">
      <c r="A738" s="151"/>
      <c r="B738" s="151"/>
    </row>
    <row r="739">
      <c r="A739" s="151"/>
      <c r="B739" s="151"/>
    </row>
    <row r="740">
      <c r="A740" s="151"/>
      <c r="B740" s="151"/>
    </row>
    <row r="741">
      <c r="A741" s="151"/>
      <c r="B741" s="151"/>
    </row>
    <row r="742">
      <c r="A742" s="151"/>
      <c r="B742" s="151"/>
    </row>
    <row r="743">
      <c r="A743" s="151"/>
      <c r="B743" s="151"/>
    </row>
    <row r="744">
      <c r="A744" s="151"/>
      <c r="B744" s="151"/>
    </row>
    <row r="745">
      <c r="A745" s="151"/>
      <c r="B745" s="151"/>
    </row>
    <row r="746">
      <c r="A746" s="151"/>
      <c r="B746" s="151"/>
    </row>
    <row r="747">
      <c r="A747" s="151"/>
      <c r="B747" s="151"/>
    </row>
    <row r="748">
      <c r="A748" s="151"/>
      <c r="B748" s="151"/>
    </row>
    <row r="749">
      <c r="A749" s="151"/>
      <c r="B749" s="151"/>
    </row>
    <row r="750">
      <c r="A750" s="151"/>
      <c r="B750" s="151"/>
    </row>
    <row r="751">
      <c r="A751" s="151"/>
      <c r="B751" s="151"/>
    </row>
    <row r="752">
      <c r="A752" s="151"/>
      <c r="B752" s="151"/>
    </row>
    <row r="753">
      <c r="A753" s="151"/>
      <c r="B753" s="151"/>
    </row>
    <row r="754">
      <c r="A754" s="151"/>
      <c r="B754" s="151"/>
    </row>
    <row r="755">
      <c r="A755" s="151"/>
      <c r="B755" s="151"/>
    </row>
    <row r="756">
      <c r="A756" s="151"/>
      <c r="B756" s="151"/>
    </row>
    <row r="757">
      <c r="A757" s="151"/>
      <c r="B757" s="151"/>
    </row>
    <row r="758">
      <c r="A758" s="151"/>
      <c r="B758" s="151"/>
    </row>
    <row r="759">
      <c r="A759" s="151"/>
      <c r="B759" s="151"/>
    </row>
    <row r="760">
      <c r="A760" s="151"/>
      <c r="B760" s="151"/>
    </row>
    <row r="761">
      <c r="A761" s="151"/>
      <c r="B761" s="151"/>
    </row>
    <row r="762">
      <c r="A762" s="151"/>
      <c r="B762" s="151"/>
    </row>
    <row r="763">
      <c r="A763" s="151"/>
      <c r="B763" s="151"/>
    </row>
    <row r="764">
      <c r="A764" s="151"/>
      <c r="B764" s="151"/>
    </row>
    <row r="765">
      <c r="A765" s="151"/>
      <c r="B765" s="151"/>
    </row>
    <row r="766">
      <c r="A766" s="151"/>
      <c r="B766" s="151"/>
    </row>
    <row r="767">
      <c r="A767" s="151"/>
      <c r="B767" s="151"/>
    </row>
    <row r="768">
      <c r="A768" s="151"/>
      <c r="B768" s="151"/>
    </row>
    <row r="769">
      <c r="A769" s="151"/>
      <c r="B769" s="151"/>
    </row>
    <row r="770">
      <c r="A770" s="151"/>
      <c r="B770" s="151"/>
    </row>
    <row r="771">
      <c r="A771" s="151"/>
      <c r="B771" s="151"/>
    </row>
    <row r="772">
      <c r="A772" s="151"/>
      <c r="B772" s="151"/>
    </row>
    <row r="773">
      <c r="A773" s="151"/>
      <c r="B773" s="151"/>
    </row>
    <row r="774">
      <c r="A774" s="151"/>
      <c r="B774" s="151"/>
    </row>
    <row r="775">
      <c r="A775" s="151"/>
      <c r="B775" s="151"/>
    </row>
    <row r="776">
      <c r="A776" s="151"/>
      <c r="B776" s="151"/>
    </row>
    <row r="777">
      <c r="A777" s="151"/>
      <c r="B777" s="151"/>
    </row>
    <row r="778">
      <c r="A778" s="151"/>
      <c r="B778" s="151"/>
    </row>
    <row r="779">
      <c r="A779" s="151"/>
      <c r="B779" s="151"/>
    </row>
    <row r="780">
      <c r="A780" s="151"/>
      <c r="B780" s="151"/>
    </row>
    <row r="781">
      <c r="A781" s="151"/>
      <c r="B781" s="151"/>
    </row>
    <row r="782">
      <c r="A782" s="151"/>
      <c r="B782" s="151"/>
    </row>
    <row r="783">
      <c r="A783" s="151"/>
      <c r="B783" s="151"/>
    </row>
    <row r="784">
      <c r="A784" s="151"/>
      <c r="B784" s="151"/>
    </row>
    <row r="785">
      <c r="A785" s="151"/>
      <c r="B785" s="151"/>
    </row>
    <row r="786">
      <c r="A786" s="151"/>
      <c r="B786" s="151"/>
    </row>
    <row r="787">
      <c r="A787" s="151"/>
      <c r="B787" s="151"/>
    </row>
    <row r="788">
      <c r="A788" s="151"/>
      <c r="B788" s="151"/>
    </row>
    <row r="789">
      <c r="A789" s="151"/>
      <c r="B789" s="151"/>
    </row>
    <row r="790">
      <c r="A790" s="151"/>
      <c r="B790" s="151"/>
    </row>
    <row r="791">
      <c r="A791" s="151"/>
      <c r="B791" s="151"/>
    </row>
    <row r="792">
      <c r="A792" s="151"/>
      <c r="B792" s="151"/>
    </row>
    <row r="793">
      <c r="A793" s="151"/>
      <c r="B793" s="151"/>
    </row>
    <row r="794">
      <c r="A794" s="151"/>
      <c r="B794" s="151"/>
    </row>
    <row r="795">
      <c r="A795" s="151"/>
      <c r="B795" s="151"/>
    </row>
    <row r="796">
      <c r="A796" s="151"/>
      <c r="B796" s="151"/>
    </row>
    <row r="797">
      <c r="A797" s="151"/>
      <c r="B797" s="151"/>
    </row>
    <row r="798">
      <c r="A798" s="151"/>
      <c r="B798" s="151"/>
    </row>
    <row r="799">
      <c r="A799" s="151"/>
      <c r="B799" s="151"/>
    </row>
    <row r="800">
      <c r="A800" s="151"/>
      <c r="B800" s="151"/>
    </row>
    <row r="801">
      <c r="A801" s="151"/>
      <c r="B801" s="151"/>
    </row>
    <row r="802">
      <c r="A802" s="151"/>
      <c r="B802" s="151"/>
    </row>
    <row r="803">
      <c r="A803" s="151"/>
      <c r="B803" s="151"/>
    </row>
    <row r="804">
      <c r="A804" s="151"/>
      <c r="B804" s="151"/>
    </row>
    <row r="805">
      <c r="A805" s="151"/>
      <c r="B805" s="151"/>
    </row>
    <row r="806">
      <c r="A806" s="151"/>
      <c r="B806" s="151"/>
    </row>
    <row r="807">
      <c r="A807" s="151"/>
      <c r="B807" s="151"/>
    </row>
    <row r="808">
      <c r="A808" s="151"/>
      <c r="B808" s="151"/>
    </row>
    <row r="809">
      <c r="A809" s="151"/>
      <c r="B809" s="151"/>
    </row>
    <row r="810">
      <c r="A810" s="151"/>
      <c r="B810" s="151"/>
    </row>
    <row r="811">
      <c r="A811" s="151"/>
      <c r="B811" s="151"/>
    </row>
    <row r="812">
      <c r="A812" s="151"/>
      <c r="B812" s="151"/>
    </row>
    <row r="813">
      <c r="A813" s="151"/>
      <c r="B813" s="151"/>
    </row>
    <row r="814">
      <c r="A814" s="151"/>
      <c r="B814" s="151"/>
    </row>
    <row r="815">
      <c r="A815" s="151"/>
      <c r="B815" s="151"/>
    </row>
    <row r="816">
      <c r="A816" s="151"/>
      <c r="B816" s="151"/>
    </row>
    <row r="817">
      <c r="A817" s="151"/>
      <c r="B817" s="151"/>
    </row>
    <row r="818">
      <c r="A818" s="151"/>
      <c r="B818" s="151"/>
    </row>
    <row r="819">
      <c r="A819" s="151"/>
      <c r="B819" s="151"/>
    </row>
    <row r="820">
      <c r="A820" s="151"/>
      <c r="B820" s="151"/>
    </row>
    <row r="821">
      <c r="A821" s="151"/>
      <c r="B821" s="151"/>
    </row>
    <row r="822">
      <c r="A822" s="151"/>
      <c r="B822" s="151"/>
    </row>
    <row r="823">
      <c r="A823" s="151"/>
      <c r="B823" s="151"/>
    </row>
    <row r="824">
      <c r="A824" s="151"/>
      <c r="B824" s="151"/>
    </row>
    <row r="825">
      <c r="A825" s="151"/>
      <c r="B825" s="151"/>
    </row>
    <row r="826">
      <c r="A826" s="151"/>
      <c r="B826" s="151"/>
    </row>
    <row r="827">
      <c r="A827" s="151"/>
      <c r="B827" s="151"/>
    </row>
    <row r="828">
      <c r="A828" s="151"/>
      <c r="B828" s="151"/>
    </row>
    <row r="829">
      <c r="A829" s="151"/>
      <c r="B829" s="151"/>
    </row>
    <row r="830">
      <c r="A830" s="151"/>
      <c r="B830" s="151"/>
    </row>
    <row r="831">
      <c r="A831" s="151"/>
      <c r="B831" s="151"/>
    </row>
    <row r="832">
      <c r="A832" s="151"/>
      <c r="B832" s="151"/>
    </row>
    <row r="833">
      <c r="A833" s="151"/>
      <c r="B833" s="151"/>
    </row>
    <row r="834">
      <c r="A834" s="151"/>
      <c r="B834" s="151"/>
    </row>
    <row r="835">
      <c r="A835" s="151"/>
      <c r="B835" s="151"/>
    </row>
    <row r="836">
      <c r="A836" s="151"/>
      <c r="B836" s="151"/>
    </row>
    <row r="837">
      <c r="A837" s="151"/>
      <c r="B837" s="151"/>
    </row>
    <row r="838">
      <c r="A838" s="151"/>
      <c r="B838" s="151"/>
    </row>
    <row r="839">
      <c r="A839" s="151"/>
      <c r="B839" s="151"/>
    </row>
    <row r="840">
      <c r="A840" s="151"/>
      <c r="B840" s="151"/>
    </row>
    <row r="841">
      <c r="A841" s="151"/>
      <c r="B841" s="151"/>
    </row>
    <row r="842">
      <c r="A842" s="151"/>
      <c r="B842" s="151"/>
    </row>
    <row r="843">
      <c r="A843" s="151"/>
      <c r="B843" s="151"/>
    </row>
    <row r="844">
      <c r="A844" s="151"/>
      <c r="B844" s="151"/>
    </row>
    <row r="845">
      <c r="A845" s="151"/>
      <c r="B845" s="151"/>
    </row>
    <row r="846">
      <c r="A846" s="151"/>
      <c r="B846" s="151"/>
    </row>
    <row r="847">
      <c r="A847" s="151"/>
      <c r="B847" s="151"/>
    </row>
    <row r="848">
      <c r="A848" s="151"/>
      <c r="B848" s="151"/>
    </row>
    <row r="849">
      <c r="A849" s="151"/>
      <c r="B849" s="151"/>
    </row>
    <row r="850">
      <c r="A850" s="151"/>
      <c r="B850" s="151"/>
    </row>
    <row r="851">
      <c r="A851" s="151"/>
      <c r="B851" s="151"/>
    </row>
    <row r="852">
      <c r="A852" s="151"/>
      <c r="B852" s="151"/>
    </row>
    <row r="853">
      <c r="A853" s="151"/>
      <c r="B853" s="151"/>
    </row>
    <row r="854">
      <c r="A854" s="151"/>
      <c r="B854" s="151"/>
    </row>
    <row r="855">
      <c r="A855" s="151"/>
      <c r="B855" s="151"/>
    </row>
    <row r="856">
      <c r="A856" s="151"/>
      <c r="B856" s="151"/>
    </row>
    <row r="857">
      <c r="A857" s="151"/>
      <c r="B857" s="151"/>
    </row>
    <row r="858">
      <c r="A858" s="151"/>
      <c r="B858" s="151"/>
    </row>
    <row r="859">
      <c r="A859" s="151"/>
      <c r="B859" s="151"/>
    </row>
    <row r="860">
      <c r="A860" s="151"/>
      <c r="B860" s="151"/>
    </row>
    <row r="861">
      <c r="A861" s="151"/>
      <c r="B861" s="151"/>
    </row>
    <row r="862">
      <c r="A862" s="151"/>
      <c r="B862" s="151"/>
    </row>
    <row r="863">
      <c r="A863" s="151"/>
      <c r="B863" s="151"/>
    </row>
    <row r="864">
      <c r="A864" s="151"/>
      <c r="B864" s="151"/>
    </row>
    <row r="865">
      <c r="A865" s="151"/>
      <c r="B865" s="151"/>
    </row>
    <row r="866">
      <c r="A866" s="151"/>
      <c r="B866" s="151"/>
    </row>
    <row r="867">
      <c r="A867" s="151"/>
      <c r="B867" s="151"/>
    </row>
    <row r="868">
      <c r="A868" s="151"/>
      <c r="B868" s="151"/>
    </row>
    <row r="869">
      <c r="A869" s="151"/>
      <c r="B869" s="151"/>
    </row>
    <row r="870">
      <c r="A870" s="151"/>
      <c r="B870" s="151"/>
    </row>
    <row r="871">
      <c r="A871" s="151"/>
      <c r="B871" s="151"/>
    </row>
    <row r="872">
      <c r="A872" s="151"/>
      <c r="B872" s="151"/>
    </row>
    <row r="873">
      <c r="A873" s="151"/>
      <c r="B873" s="151"/>
    </row>
    <row r="874">
      <c r="A874" s="151"/>
      <c r="B874" s="151"/>
    </row>
    <row r="875">
      <c r="A875" s="151"/>
      <c r="B875" s="151"/>
    </row>
    <row r="876">
      <c r="A876" s="151"/>
      <c r="B876" s="151"/>
    </row>
    <row r="877">
      <c r="A877" s="151"/>
      <c r="B877" s="151"/>
    </row>
    <row r="878">
      <c r="A878" s="151"/>
      <c r="B878" s="151"/>
    </row>
    <row r="879">
      <c r="A879" s="151"/>
      <c r="B879" s="151"/>
    </row>
    <row r="880">
      <c r="A880" s="151"/>
      <c r="B880" s="151"/>
    </row>
    <row r="881">
      <c r="A881" s="151"/>
      <c r="B881" s="151"/>
    </row>
    <row r="882">
      <c r="A882" s="151"/>
      <c r="B882" s="151"/>
    </row>
    <row r="883">
      <c r="A883" s="151"/>
      <c r="B883" s="151"/>
    </row>
    <row r="884">
      <c r="A884" s="151"/>
      <c r="B884" s="151"/>
    </row>
    <row r="885">
      <c r="A885" s="151"/>
      <c r="B885" s="151"/>
    </row>
    <row r="886">
      <c r="A886" s="151"/>
      <c r="B886" s="151"/>
    </row>
    <row r="887">
      <c r="A887" s="151"/>
      <c r="B887" s="151"/>
    </row>
    <row r="888">
      <c r="A888" s="151"/>
      <c r="B888" s="151"/>
    </row>
    <row r="889">
      <c r="A889" s="151"/>
      <c r="B889" s="151"/>
    </row>
    <row r="890">
      <c r="A890" s="151"/>
      <c r="B890" s="151"/>
    </row>
    <row r="891">
      <c r="A891" s="151"/>
      <c r="B891" s="151"/>
    </row>
    <row r="892">
      <c r="A892" s="151"/>
      <c r="B892" s="151"/>
    </row>
    <row r="893">
      <c r="A893" s="151"/>
      <c r="B893" s="151"/>
    </row>
    <row r="894">
      <c r="A894" s="151"/>
      <c r="B894" s="151"/>
    </row>
    <row r="895">
      <c r="A895" s="151"/>
      <c r="B895" s="151"/>
    </row>
    <row r="896">
      <c r="A896" s="151"/>
      <c r="B896" s="151"/>
    </row>
    <row r="897">
      <c r="A897" s="151"/>
      <c r="B897" s="151"/>
    </row>
    <row r="898">
      <c r="A898" s="151"/>
      <c r="B898" s="151"/>
    </row>
    <row r="899">
      <c r="A899" s="151"/>
      <c r="B899" s="151"/>
    </row>
    <row r="900">
      <c r="A900" s="151"/>
      <c r="B900" s="151"/>
    </row>
    <row r="901">
      <c r="A901" s="151"/>
      <c r="B901" s="151"/>
    </row>
    <row r="902">
      <c r="A902" s="151"/>
      <c r="B902" s="151"/>
    </row>
    <row r="903">
      <c r="A903" s="151"/>
      <c r="B903" s="151"/>
    </row>
    <row r="904">
      <c r="A904" s="151"/>
      <c r="B904" s="151"/>
    </row>
    <row r="905">
      <c r="A905" s="151"/>
      <c r="B905" s="151"/>
    </row>
    <row r="906">
      <c r="A906" s="151"/>
      <c r="B906" s="151"/>
    </row>
    <row r="907">
      <c r="A907" s="151"/>
      <c r="B907" s="151"/>
    </row>
    <row r="908">
      <c r="A908" s="151"/>
      <c r="B908" s="151"/>
    </row>
    <row r="909">
      <c r="A909" s="151"/>
      <c r="B909" s="151"/>
    </row>
    <row r="910">
      <c r="A910" s="151"/>
      <c r="B910" s="151"/>
    </row>
    <row r="911">
      <c r="A911" s="151"/>
      <c r="B911" s="151"/>
    </row>
    <row r="912">
      <c r="A912" s="151"/>
      <c r="B912" s="151"/>
    </row>
    <row r="913">
      <c r="A913" s="151"/>
      <c r="B913" s="151"/>
    </row>
    <row r="914">
      <c r="A914" s="151"/>
      <c r="B914" s="151"/>
    </row>
    <row r="915">
      <c r="A915" s="151"/>
      <c r="B915" s="151"/>
    </row>
    <row r="916">
      <c r="A916" s="151"/>
      <c r="B916" s="151"/>
    </row>
    <row r="917">
      <c r="A917" s="151"/>
      <c r="B917" s="151"/>
    </row>
    <row r="918">
      <c r="A918" s="151"/>
      <c r="B918" s="151"/>
    </row>
    <row r="919">
      <c r="A919" s="151"/>
      <c r="B919" s="151"/>
    </row>
    <row r="920">
      <c r="A920" s="151"/>
      <c r="B920" s="151"/>
    </row>
    <row r="921">
      <c r="A921" s="151"/>
      <c r="B921" s="151"/>
    </row>
    <row r="922">
      <c r="A922" s="151"/>
      <c r="B922" s="151"/>
    </row>
    <row r="923">
      <c r="A923" s="151"/>
      <c r="B923" s="151"/>
    </row>
    <row r="924">
      <c r="A924" s="151"/>
      <c r="B924" s="151"/>
    </row>
    <row r="925">
      <c r="A925" s="151"/>
      <c r="B925" s="151"/>
    </row>
    <row r="926">
      <c r="A926" s="151"/>
      <c r="B926" s="151"/>
    </row>
    <row r="927">
      <c r="A927" s="151"/>
      <c r="B927" s="151"/>
    </row>
    <row r="928">
      <c r="A928" s="151"/>
      <c r="B928" s="151"/>
    </row>
    <row r="929">
      <c r="A929" s="151"/>
      <c r="B929" s="151"/>
    </row>
    <row r="930">
      <c r="A930" s="151"/>
      <c r="B930" s="151"/>
    </row>
    <row r="931">
      <c r="A931" s="151"/>
      <c r="B931" s="151"/>
    </row>
    <row r="932">
      <c r="A932" s="151"/>
      <c r="B932" s="151"/>
    </row>
    <row r="933">
      <c r="A933" s="151"/>
      <c r="B933" s="151"/>
    </row>
    <row r="934">
      <c r="A934" s="151"/>
      <c r="B934" s="151"/>
    </row>
    <row r="935">
      <c r="A935" s="151"/>
      <c r="B935" s="151"/>
    </row>
    <row r="936">
      <c r="A936" s="151"/>
      <c r="B936" s="151"/>
    </row>
    <row r="937">
      <c r="A937" s="151"/>
      <c r="B937" s="151"/>
    </row>
    <row r="938">
      <c r="A938" s="151"/>
      <c r="B938" s="151"/>
    </row>
    <row r="939">
      <c r="A939" s="151"/>
      <c r="B939" s="151"/>
    </row>
    <row r="940">
      <c r="A940" s="151"/>
      <c r="B940" s="151"/>
    </row>
    <row r="941">
      <c r="A941" s="151"/>
      <c r="B941" s="151"/>
    </row>
    <row r="942">
      <c r="A942" s="151"/>
      <c r="B942" s="151"/>
    </row>
    <row r="943">
      <c r="A943" s="151"/>
      <c r="B943" s="151"/>
    </row>
    <row r="944">
      <c r="A944" s="151"/>
      <c r="B944" s="151"/>
    </row>
    <row r="945">
      <c r="A945" s="151"/>
      <c r="B945" s="151"/>
    </row>
    <row r="946">
      <c r="A946" s="151"/>
      <c r="B946" s="151"/>
    </row>
    <row r="947">
      <c r="A947" s="151"/>
      <c r="B947" s="151"/>
    </row>
    <row r="948">
      <c r="A948" s="151"/>
      <c r="B948" s="151"/>
    </row>
    <row r="949">
      <c r="A949" s="151"/>
      <c r="B949" s="151"/>
    </row>
    <row r="950">
      <c r="A950" s="151"/>
      <c r="B950" s="151"/>
    </row>
    <row r="951">
      <c r="A951" s="151"/>
      <c r="B951" s="151"/>
    </row>
    <row r="952">
      <c r="A952" s="151"/>
      <c r="B952" s="151"/>
    </row>
    <row r="953">
      <c r="A953" s="151"/>
      <c r="B953" s="151"/>
    </row>
    <row r="954">
      <c r="A954" s="151"/>
      <c r="B954" s="151"/>
    </row>
    <row r="955">
      <c r="A955" s="151"/>
      <c r="B955" s="151"/>
    </row>
    <row r="956">
      <c r="A956" s="151"/>
      <c r="B956" s="151"/>
    </row>
    <row r="957">
      <c r="A957" s="151"/>
      <c r="B957" s="151"/>
    </row>
    <row r="958">
      <c r="A958" s="151"/>
      <c r="B958" s="151"/>
    </row>
    <row r="959">
      <c r="A959" s="151"/>
      <c r="B959" s="151"/>
    </row>
    <row r="960">
      <c r="A960" s="151"/>
      <c r="B960" s="151"/>
    </row>
    <row r="961">
      <c r="A961" s="151"/>
      <c r="B961" s="151"/>
    </row>
    <row r="962">
      <c r="A962" s="151"/>
      <c r="B962" s="151"/>
    </row>
    <row r="963">
      <c r="A963" s="151"/>
      <c r="B963" s="151"/>
    </row>
    <row r="964">
      <c r="A964" s="151"/>
      <c r="B964" s="151"/>
    </row>
    <row r="965">
      <c r="A965" s="151"/>
      <c r="B965" s="151"/>
    </row>
    <row r="966">
      <c r="A966" s="151"/>
      <c r="B966" s="151"/>
    </row>
    <row r="967">
      <c r="A967" s="151"/>
      <c r="B967" s="151"/>
    </row>
    <row r="968">
      <c r="A968" s="151"/>
      <c r="B968" s="151"/>
    </row>
    <row r="969">
      <c r="A969" s="151"/>
      <c r="B969" s="151"/>
    </row>
    <row r="970">
      <c r="A970" s="151"/>
      <c r="B970" s="151"/>
    </row>
    <row r="971">
      <c r="A971" s="151"/>
      <c r="B971" s="151"/>
    </row>
    <row r="972">
      <c r="A972" s="151"/>
      <c r="B972" s="151"/>
    </row>
    <row r="973">
      <c r="A973" s="151"/>
      <c r="B973" s="151"/>
    </row>
    <row r="974">
      <c r="A974" s="151"/>
      <c r="B974" s="151"/>
    </row>
    <row r="975">
      <c r="A975" s="151"/>
      <c r="B975" s="151"/>
    </row>
    <row r="976">
      <c r="A976" s="151"/>
      <c r="B976" s="151"/>
    </row>
    <row r="977">
      <c r="A977" s="151"/>
      <c r="B977" s="151"/>
    </row>
    <row r="978">
      <c r="A978" s="151"/>
      <c r="B978" s="151"/>
    </row>
    <row r="979">
      <c r="A979" s="151"/>
      <c r="B979" s="151"/>
    </row>
    <row r="980">
      <c r="A980" s="151"/>
      <c r="B980" s="151"/>
    </row>
    <row r="981">
      <c r="A981" s="151"/>
      <c r="B981" s="151"/>
    </row>
    <row r="982">
      <c r="A982" s="151"/>
      <c r="B982" s="151"/>
    </row>
    <row r="983">
      <c r="A983" s="151"/>
      <c r="B983" s="151"/>
    </row>
    <row r="984">
      <c r="A984" s="151"/>
      <c r="B984" s="151"/>
    </row>
    <row r="985">
      <c r="A985" s="151"/>
      <c r="B985" s="151"/>
    </row>
    <row r="986">
      <c r="A986" s="151"/>
      <c r="B986" s="151"/>
    </row>
    <row r="987">
      <c r="A987" s="151"/>
      <c r="B987" s="151"/>
    </row>
    <row r="988">
      <c r="A988" s="151"/>
      <c r="B988" s="151"/>
    </row>
    <row r="989">
      <c r="A989" s="151"/>
      <c r="B989" s="151"/>
    </row>
    <row r="990">
      <c r="A990" s="151"/>
      <c r="B990" s="151"/>
    </row>
    <row r="991">
      <c r="A991" s="151"/>
      <c r="B991" s="151"/>
    </row>
    <row r="992">
      <c r="A992" s="151"/>
      <c r="B992" s="151"/>
    </row>
    <row r="993">
      <c r="A993" s="151"/>
      <c r="B993" s="151"/>
    </row>
    <row r="994">
      <c r="A994" s="151"/>
      <c r="B994" s="151"/>
    </row>
    <row r="995">
      <c r="A995" s="151"/>
      <c r="B995" s="151"/>
    </row>
    <row r="996">
      <c r="A996" s="151"/>
      <c r="B996" s="151"/>
    </row>
    <row r="997">
      <c r="A997" s="151"/>
      <c r="B997" s="151"/>
    </row>
  </sheetData>
  <autoFilter ref="$A$1:$AB$154"/>
  <hyperlinks>
    <hyperlink r:id="rId1" ref="Z2"/>
    <hyperlink r:id="rId2" ref="Z3"/>
    <hyperlink r:id="rId3" ref="Z4"/>
    <hyperlink r:id="rId4" ref="Z5"/>
    <hyperlink r:id="rId5" ref="Z6"/>
    <hyperlink r:id="rId6" ref="Z7"/>
    <hyperlink r:id="rId7" ref="Z8"/>
    <hyperlink r:id="rId8" ref="Z9"/>
    <hyperlink r:id="rId9" ref="Z10"/>
    <hyperlink r:id="rId10" ref="Z11"/>
    <hyperlink r:id="rId11" ref="Z12"/>
    <hyperlink r:id="rId12" ref="Z13"/>
    <hyperlink r:id="rId13" ref="Z14"/>
    <hyperlink r:id="rId14" ref="Z15"/>
    <hyperlink r:id="rId15" ref="Z16"/>
    <hyperlink r:id="rId16" ref="Z17"/>
    <hyperlink r:id="rId17" ref="Z18"/>
    <hyperlink r:id="rId18" ref="Z19"/>
    <hyperlink r:id="rId19" ref="Z20"/>
    <hyperlink r:id="rId20" ref="Z21"/>
    <hyperlink r:id="rId21" ref="Z22"/>
    <hyperlink r:id="rId22" ref="Z23"/>
    <hyperlink r:id="rId23" ref="Z24"/>
    <hyperlink r:id="rId24" ref="Z25"/>
    <hyperlink r:id="rId25" ref="Z26"/>
    <hyperlink r:id="rId26" ref="Z27"/>
    <hyperlink r:id="rId27" ref="Z28"/>
    <hyperlink r:id="rId28" ref="Z29"/>
    <hyperlink r:id="rId29" ref="Z30"/>
    <hyperlink r:id="rId30" ref="Z31"/>
    <hyperlink r:id="rId31" ref="Z32"/>
    <hyperlink r:id="rId32" ref="Z33"/>
    <hyperlink r:id="rId33" ref="Z34"/>
    <hyperlink r:id="rId34" ref="Z35"/>
    <hyperlink r:id="rId35" ref="Z36"/>
    <hyperlink r:id="rId36" ref="Z37"/>
    <hyperlink r:id="rId37" ref="Z38"/>
    <hyperlink r:id="rId38" ref="Z39"/>
    <hyperlink r:id="rId39" ref="Z40"/>
    <hyperlink r:id="rId40" ref="Z41"/>
    <hyperlink r:id="rId41" ref="Z42"/>
    <hyperlink r:id="rId42" ref="Z43"/>
    <hyperlink r:id="rId43" ref="Z44"/>
    <hyperlink r:id="rId44" ref="Z45"/>
    <hyperlink r:id="rId45" ref="Z46"/>
    <hyperlink r:id="rId46" ref="Z47"/>
    <hyperlink r:id="rId47" ref="Z48"/>
    <hyperlink r:id="rId48" ref="Z49"/>
    <hyperlink r:id="rId49" ref="Z50"/>
    <hyperlink r:id="rId50" ref="Z51"/>
    <hyperlink r:id="rId51" ref="Z52"/>
    <hyperlink r:id="rId52" ref="Z53"/>
    <hyperlink r:id="rId53" ref="Z54"/>
    <hyperlink r:id="rId54" ref="Z55"/>
    <hyperlink r:id="rId55" ref="Z56"/>
    <hyperlink r:id="rId56" ref="Z57"/>
    <hyperlink r:id="rId57" ref="Z58"/>
    <hyperlink r:id="rId58" ref="Z59"/>
    <hyperlink r:id="rId59" ref="Z60"/>
    <hyperlink r:id="rId60" ref="Z61"/>
    <hyperlink r:id="rId61" ref="Z62"/>
    <hyperlink r:id="rId62" ref="Z63"/>
    <hyperlink r:id="rId63" ref="Z64"/>
    <hyperlink r:id="rId64" ref="Z65"/>
    <hyperlink r:id="rId65" ref="Z66"/>
    <hyperlink r:id="rId66" ref="Z67"/>
    <hyperlink r:id="rId67" ref="Z68"/>
    <hyperlink r:id="rId68" ref="Z69"/>
    <hyperlink r:id="rId69" ref="Z70"/>
    <hyperlink r:id="rId70" ref="Z71"/>
    <hyperlink r:id="rId71" ref="Z72"/>
    <hyperlink r:id="rId72" ref="Z73"/>
    <hyperlink r:id="rId73" ref="Z74"/>
    <hyperlink r:id="rId74" ref="Z75"/>
    <hyperlink r:id="rId75" ref="Z76"/>
    <hyperlink r:id="rId76" ref="Z77"/>
    <hyperlink r:id="rId77" ref="Z78"/>
    <hyperlink r:id="rId78" ref="Z79"/>
    <hyperlink r:id="rId79" ref="Z80"/>
    <hyperlink r:id="rId80" ref="Z81"/>
    <hyperlink r:id="rId81" ref="Z82"/>
    <hyperlink r:id="rId82" ref="Z83"/>
    <hyperlink r:id="rId83" ref="Z84"/>
    <hyperlink r:id="rId84" ref="Z85"/>
    <hyperlink r:id="rId85" ref="Z86"/>
    <hyperlink r:id="rId86" ref="Z87"/>
    <hyperlink r:id="rId87" ref="Z88"/>
    <hyperlink r:id="rId88" ref="Z89"/>
    <hyperlink r:id="rId89" ref="Z90"/>
    <hyperlink r:id="rId90" ref="Z91"/>
    <hyperlink r:id="rId91" ref="Z92"/>
    <hyperlink r:id="rId92" ref="Z93"/>
    <hyperlink r:id="rId93" ref="Z94"/>
    <hyperlink r:id="rId94" ref="Z95"/>
    <hyperlink r:id="rId95" ref="Z96"/>
    <hyperlink r:id="rId96" ref="Z97"/>
    <hyperlink r:id="rId97" ref="Z98"/>
    <hyperlink r:id="rId98" ref="Z99"/>
    <hyperlink r:id="rId99" ref="Z100"/>
    <hyperlink r:id="rId100" ref="Z101"/>
    <hyperlink r:id="rId101" ref="Z102"/>
    <hyperlink r:id="rId102" ref="Z103"/>
    <hyperlink r:id="rId103" ref="Z104"/>
    <hyperlink r:id="rId104" ref="Z105"/>
    <hyperlink r:id="rId105" ref="Z106"/>
    <hyperlink r:id="rId106" ref="Z107"/>
    <hyperlink r:id="rId107" ref="Z108"/>
    <hyperlink r:id="rId108" ref="Z109"/>
    <hyperlink r:id="rId109" ref="Z110"/>
    <hyperlink r:id="rId110" ref="Z111"/>
    <hyperlink r:id="rId111" ref="Z112"/>
    <hyperlink r:id="rId112" ref="Z113"/>
    <hyperlink r:id="rId113" ref="Z114"/>
    <hyperlink r:id="rId114" ref="Z115"/>
    <hyperlink r:id="rId115" ref="Z116"/>
    <hyperlink r:id="rId116" ref="Z117"/>
    <hyperlink r:id="rId117" ref="Z118"/>
    <hyperlink r:id="rId118" ref="Z119"/>
    <hyperlink r:id="rId119" ref="Z120"/>
    <hyperlink r:id="rId120" ref="Z121"/>
    <hyperlink r:id="rId121" ref="Z122"/>
    <hyperlink r:id="rId122" ref="D123"/>
    <hyperlink r:id="rId123" ref="Z123"/>
    <hyperlink r:id="rId124" ref="Z124"/>
    <hyperlink r:id="rId125" ref="Z125"/>
    <hyperlink r:id="rId126" ref="Z126"/>
    <hyperlink r:id="rId127" ref="Z127"/>
    <hyperlink r:id="rId128" ref="Z128"/>
    <hyperlink r:id="rId129" ref="Z129"/>
    <hyperlink r:id="rId130" ref="Z130"/>
    <hyperlink r:id="rId131" ref="Z131"/>
    <hyperlink r:id="rId132" ref="Z132"/>
    <hyperlink r:id="rId133" ref="Z133"/>
    <hyperlink r:id="rId134" ref="Z134"/>
    <hyperlink r:id="rId135" ref="Z135"/>
    <hyperlink r:id="rId136" ref="Z136"/>
    <hyperlink r:id="rId137" ref="Z137"/>
    <hyperlink r:id="rId138" ref="Z138"/>
    <hyperlink r:id="rId139" ref="Z139"/>
    <hyperlink r:id="rId140" ref="Z140"/>
    <hyperlink r:id="rId141" ref="Z141"/>
    <hyperlink r:id="rId142" ref="Z142"/>
    <hyperlink r:id="rId143" ref="Z143"/>
    <hyperlink r:id="rId144" ref="Z144"/>
    <hyperlink r:id="rId145" ref="Z145"/>
    <hyperlink r:id="rId146" ref="Z146"/>
    <hyperlink r:id="rId147" ref="Z147"/>
    <hyperlink r:id="rId148" ref="Z148"/>
    <hyperlink r:id="rId149" ref="Z149"/>
    <hyperlink r:id="rId150" ref="Z150"/>
    <hyperlink r:id="rId151" ref="Z151"/>
    <hyperlink r:id="rId152" ref="Z152"/>
    <hyperlink r:id="rId153" ref="Z153"/>
  </hyperlinks>
  <drawing r:id="rId15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63"/>
    <col customWidth="1" min="5" max="5" width="25.75"/>
    <col customWidth="1" min="7" max="7" width="25.88"/>
    <col customWidth="1" min="9" max="9" width="10.38"/>
    <col customWidth="1" min="11" max="11" width="7.75"/>
    <col customWidth="1" min="12" max="12" width="9.25"/>
    <col customWidth="1" min="19" max="22" width="18.88"/>
  </cols>
  <sheetData>
    <row r="1">
      <c r="A1" s="281" t="s">
        <v>2332</v>
      </c>
      <c r="B1" s="281" t="s">
        <v>2333</v>
      </c>
      <c r="C1" s="282" t="s">
        <v>2334</v>
      </c>
      <c r="D1" s="282" t="s">
        <v>2335</v>
      </c>
      <c r="E1" s="282" t="s">
        <v>2336</v>
      </c>
      <c r="F1" s="282" t="s">
        <v>2337</v>
      </c>
      <c r="G1" s="282" t="s">
        <v>2338</v>
      </c>
      <c r="H1" s="282" t="s">
        <v>2339</v>
      </c>
      <c r="I1" s="282" t="s">
        <v>2340</v>
      </c>
      <c r="J1" s="282" t="s">
        <v>2341</v>
      </c>
      <c r="K1" s="282" t="s">
        <v>2342</v>
      </c>
      <c r="L1" s="283" t="s">
        <v>2343</v>
      </c>
      <c r="M1" s="282" t="s">
        <v>907</v>
      </c>
      <c r="N1" s="282" t="s">
        <v>2344</v>
      </c>
      <c r="O1" s="282" t="s">
        <v>2345</v>
      </c>
      <c r="P1" s="282" t="s">
        <v>2346</v>
      </c>
      <c r="Q1" s="282" t="s">
        <v>2347</v>
      </c>
      <c r="R1" s="282" t="s">
        <v>2348</v>
      </c>
      <c r="S1" s="214" t="s">
        <v>2349</v>
      </c>
      <c r="T1" s="214" t="s">
        <v>2350</v>
      </c>
      <c r="U1" s="214" t="s">
        <v>2351</v>
      </c>
      <c r="V1" s="214" t="s">
        <v>2352</v>
      </c>
      <c r="W1" s="200"/>
      <c r="X1" s="200"/>
      <c r="Y1" s="200"/>
      <c r="Z1" s="200"/>
      <c r="AA1" s="200"/>
    </row>
    <row r="2">
      <c r="A2" s="149">
        <v>45523.0</v>
      </c>
      <c r="B2" s="149">
        <v>45527.0</v>
      </c>
      <c r="C2" s="17" t="s">
        <v>2353</v>
      </c>
      <c r="D2" s="278">
        <v>723.0</v>
      </c>
      <c r="E2" s="136" t="s">
        <v>2354</v>
      </c>
      <c r="F2" s="136" t="s">
        <v>2355</v>
      </c>
      <c r="G2" s="17" t="s">
        <v>1132</v>
      </c>
      <c r="H2" s="17" t="s">
        <v>621</v>
      </c>
      <c r="I2" s="17" t="s">
        <v>2356</v>
      </c>
      <c r="J2" s="17" t="s">
        <v>2357</v>
      </c>
      <c r="K2" s="17">
        <v>1.0</v>
      </c>
      <c r="L2" s="141">
        <v>50000.0</v>
      </c>
      <c r="M2" s="17"/>
      <c r="N2" s="17">
        <v>30.0</v>
      </c>
      <c r="O2" s="171">
        <f t="shared" ref="O2:O3" si="1">10*K2</f>
        <v>10</v>
      </c>
      <c r="P2" s="171">
        <f t="shared" ref="P2:P3" si="2">5*K2</f>
        <v>5</v>
      </c>
      <c r="Q2" s="17">
        <v>5.0</v>
      </c>
      <c r="R2" s="171">
        <f t="shared" ref="R2:R14" si="3">SUM(N2:Q2)</f>
        <v>50</v>
      </c>
      <c r="S2" s="17" t="s">
        <v>2358</v>
      </c>
      <c r="T2" s="133" t="s">
        <v>2359</v>
      </c>
      <c r="U2" s="134" t="str">
        <f>HYPERLINK("https://drive.google.com/file/d/17IXPfZs0pyhzPUPYxxqgtQyya8gIIXUv/view?usp=drivesdk","ATR-FTIR_Rasyifah Husna Qaniah_723")</f>
        <v>ATR-FTIR_Rasyifah Husna Qaniah_723</v>
      </c>
      <c r="V2" s="17" t="s">
        <v>2360</v>
      </c>
    </row>
    <row r="3">
      <c r="A3" s="149">
        <v>45527.0</v>
      </c>
      <c r="B3" s="149">
        <v>45533.0</v>
      </c>
      <c r="C3" s="17" t="s">
        <v>2361</v>
      </c>
      <c r="D3" s="168">
        <v>731.0</v>
      </c>
      <c r="E3" s="17" t="s">
        <v>2362</v>
      </c>
      <c r="F3" s="17" t="s">
        <v>2363</v>
      </c>
      <c r="G3" s="17" t="s">
        <v>2364</v>
      </c>
      <c r="H3" s="17" t="s">
        <v>541</v>
      </c>
      <c r="I3" s="17" t="s">
        <v>2356</v>
      </c>
      <c r="J3" s="17" t="s">
        <v>1051</v>
      </c>
      <c r="K3" s="17">
        <v>1.0</v>
      </c>
      <c r="L3" s="141">
        <v>50000.0</v>
      </c>
      <c r="N3" s="171">
        <f>30*K3</f>
        <v>30</v>
      </c>
      <c r="O3" s="171">
        <f t="shared" si="1"/>
        <v>10</v>
      </c>
      <c r="P3" s="171">
        <f t="shared" si="2"/>
        <v>5</v>
      </c>
      <c r="Q3" s="171">
        <f>5*K3</f>
        <v>5</v>
      </c>
      <c r="R3" s="171">
        <f t="shared" si="3"/>
        <v>50</v>
      </c>
      <c r="S3" s="17" t="s">
        <v>2365</v>
      </c>
      <c r="T3" s="223" t="s">
        <v>2366</v>
      </c>
      <c r="U3" s="134" t="str">
        <f>HYPERLINK("https://drive.google.com/file/d/1tWu4oLaSL7o24l2AKQWEQHaiLbrsBZlG/view?usp=drivesdk","ATR-FTIR_Nur Afifah Muthmainnah_731")</f>
        <v>ATR-FTIR_Nur Afifah Muthmainnah_731</v>
      </c>
      <c r="V3" s="17" t="s">
        <v>2367</v>
      </c>
    </row>
    <row r="4">
      <c r="A4" s="149">
        <v>45530.0</v>
      </c>
      <c r="B4" s="149">
        <v>45532.0</v>
      </c>
      <c r="C4" s="17" t="s">
        <v>2353</v>
      </c>
      <c r="D4" s="168">
        <v>736.0</v>
      </c>
      <c r="E4" s="17" t="s">
        <v>2362</v>
      </c>
      <c r="F4" s="17" t="s">
        <v>2363</v>
      </c>
      <c r="G4" s="17" t="s">
        <v>2364</v>
      </c>
      <c r="H4" s="17" t="s">
        <v>541</v>
      </c>
      <c r="I4" s="17" t="s">
        <v>2356</v>
      </c>
      <c r="J4" s="17" t="s">
        <v>2357</v>
      </c>
      <c r="K4" s="17">
        <v>2.0</v>
      </c>
      <c r="L4" s="17">
        <v>100000.0</v>
      </c>
      <c r="M4" s="17"/>
      <c r="N4" s="17">
        <v>30.0</v>
      </c>
      <c r="O4" s="171">
        <f t="shared" ref="O4:O5" si="4">K4*10</f>
        <v>20</v>
      </c>
      <c r="P4" s="17">
        <v>10.0</v>
      </c>
      <c r="Q4" s="17">
        <v>5.0</v>
      </c>
      <c r="R4" s="171">
        <f t="shared" si="3"/>
        <v>65</v>
      </c>
      <c r="S4" s="17" t="s">
        <v>2368</v>
      </c>
      <c r="T4" s="133" t="s">
        <v>2369</v>
      </c>
      <c r="U4" s="134" t="str">
        <f>HYPERLINK("https://drive.google.com/file/d/1cr7Uemgz9qnWil_Yax2WVTZ1KmEMWDIV/view?usp=drivesdk","ATR-FTIR_Nur Afifah Muthmainnah_736")</f>
        <v>ATR-FTIR_Nur Afifah Muthmainnah_736</v>
      </c>
      <c r="V4" s="17" t="s">
        <v>2370</v>
      </c>
    </row>
    <row r="5">
      <c r="A5" s="149">
        <v>45533.0</v>
      </c>
      <c r="B5" s="149">
        <v>45533.0</v>
      </c>
      <c r="C5" s="17" t="s">
        <v>2353</v>
      </c>
      <c r="D5" s="168">
        <v>745.0</v>
      </c>
      <c r="E5" s="136" t="s">
        <v>2371</v>
      </c>
      <c r="F5" s="136" t="s">
        <v>2372</v>
      </c>
      <c r="G5" s="136" t="s">
        <v>734</v>
      </c>
      <c r="H5" s="17" t="s">
        <v>541</v>
      </c>
      <c r="I5" s="17" t="s">
        <v>2356</v>
      </c>
      <c r="J5" s="17" t="s">
        <v>1051</v>
      </c>
      <c r="K5" s="17">
        <v>2.0</v>
      </c>
      <c r="L5" s="17">
        <v>100000.0</v>
      </c>
      <c r="M5" s="17"/>
      <c r="N5" s="17">
        <v>30.0</v>
      </c>
      <c r="O5" s="171">
        <f t="shared" si="4"/>
        <v>20</v>
      </c>
      <c r="P5" s="17">
        <v>10.0</v>
      </c>
      <c r="Q5" s="17">
        <v>5.0</v>
      </c>
      <c r="R5" s="171">
        <f t="shared" si="3"/>
        <v>65</v>
      </c>
      <c r="S5" s="17" t="s">
        <v>2373</v>
      </c>
      <c r="T5" s="133" t="s">
        <v>2374</v>
      </c>
      <c r="U5" s="134" t="str">
        <f>HYPERLINK("https://drive.google.com/file/d/1iei8mGpvdCRg90oPHQqoHRHIjjb_gtcI/view?usp=drivesdk","ATR-FTIR_Putri Sholehah_745")</f>
        <v>ATR-FTIR_Putri Sholehah_745</v>
      </c>
      <c r="V5" s="17" t="s">
        <v>2375</v>
      </c>
    </row>
    <row r="6">
      <c r="A6" s="149">
        <v>45533.0</v>
      </c>
      <c r="B6" s="149">
        <v>45533.0</v>
      </c>
      <c r="C6" s="17" t="s">
        <v>2353</v>
      </c>
      <c r="D6" s="168">
        <v>747.0</v>
      </c>
      <c r="E6" s="136" t="s">
        <v>2376</v>
      </c>
      <c r="F6" s="136" t="s">
        <v>1740</v>
      </c>
      <c r="G6" s="136" t="s">
        <v>2377</v>
      </c>
      <c r="H6" s="17" t="s">
        <v>621</v>
      </c>
      <c r="I6" s="17" t="s">
        <v>2356</v>
      </c>
      <c r="J6" s="17" t="s">
        <v>2357</v>
      </c>
      <c r="K6" s="17">
        <v>4.0</v>
      </c>
      <c r="L6" s="17">
        <v>50000.0</v>
      </c>
      <c r="M6" s="17"/>
      <c r="N6" s="17">
        <v>30.0</v>
      </c>
      <c r="O6" s="171">
        <f t="shared" ref="O6:O42" si="5">10*K6</f>
        <v>40</v>
      </c>
      <c r="P6" s="171">
        <f t="shared" ref="P6:P7" si="6">K6*5</f>
        <v>20</v>
      </c>
      <c r="Q6" s="17">
        <v>5.0</v>
      </c>
      <c r="R6" s="171">
        <f t="shared" si="3"/>
        <v>95</v>
      </c>
      <c r="S6" s="17" t="s">
        <v>2378</v>
      </c>
      <c r="T6" s="133" t="s">
        <v>2379</v>
      </c>
      <c r="U6" s="134" t="str">
        <f>HYPERLINK("https://drive.google.com/file/d/1UuP5D6j5jH2ip1WeODNfDimH_VrMbOty/view?usp=drivesdk","ATR-FTIR_Dyah Ellyawati Kusumaningtyas Maharani_747")</f>
        <v>ATR-FTIR_Dyah Ellyawati Kusumaningtyas Maharani_747</v>
      </c>
      <c r="V6" s="17" t="s">
        <v>2380</v>
      </c>
    </row>
    <row r="7">
      <c r="A7" s="149">
        <v>45538.0</v>
      </c>
      <c r="B7" s="149">
        <v>45540.0</v>
      </c>
      <c r="C7" s="17" t="s">
        <v>2353</v>
      </c>
      <c r="D7" s="168">
        <v>759.0</v>
      </c>
      <c r="E7" s="136" t="s">
        <v>2381</v>
      </c>
      <c r="F7" s="136" t="s">
        <v>2382</v>
      </c>
      <c r="G7" s="178" t="s">
        <v>734</v>
      </c>
      <c r="H7" s="17" t="s">
        <v>541</v>
      </c>
      <c r="I7" s="17" t="s">
        <v>2356</v>
      </c>
      <c r="J7" s="17" t="s">
        <v>2383</v>
      </c>
      <c r="K7" s="17">
        <v>2.0</v>
      </c>
      <c r="L7" s="17">
        <v>100000.0</v>
      </c>
      <c r="M7" s="17"/>
      <c r="N7" s="17">
        <v>30.0</v>
      </c>
      <c r="O7" s="171">
        <f t="shared" si="5"/>
        <v>20</v>
      </c>
      <c r="P7" s="171">
        <f t="shared" si="6"/>
        <v>10</v>
      </c>
      <c r="Q7" s="17">
        <v>5.0</v>
      </c>
      <c r="R7" s="17">
        <f t="shared" si="3"/>
        <v>65</v>
      </c>
      <c r="S7" s="17" t="s">
        <v>2384</v>
      </c>
      <c r="T7" s="133" t="s">
        <v>2385</v>
      </c>
      <c r="U7" s="134" t="str">
        <f>HYPERLINK("https://drive.google.com/file/d/1uiMX89j4s7h0r7f2DfKUDPva1Afba9TI/view?usp=drivesdk","ATR-FTIR_nala ridwanul_759")</f>
        <v>ATR-FTIR_nala ridwanul_759</v>
      </c>
      <c r="V7" s="17" t="s">
        <v>2386</v>
      </c>
    </row>
    <row r="8">
      <c r="A8" s="149">
        <v>45544.0</v>
      </c>
      <c r="B8" s="149">
        <v>45545.0</v>
      </c>
      <c r="C8" s="17" t="s">
        <v>2353</v>
      </c>
      <c r="D8" s="168">
        <v>766.0</v>
      </c>
      <c r="E8" s="17" t="s">
        <v>2387</v>
      </c>
      <c r="F8" s="17" t="s">
        <v>155</v>
      </c>
      <c r="G8" s="17" t="s">
        <v>2388</v>
      </c>
      <c r="H8" s="17" t="s">
        <v>541</v>
      </c>
      <c r="I8" s="17" t="s">
        <v>2356</v>
      </c>
      <c r="J8" s="17" t="s">
        <v>1051</v>
      </c>
      <c r="K8" s="17">
        <v>1.0</v>
      </c>
      <c r="L8" s="17">
        <v>100000.0</v>
      </c>
      <c r="M8" s="17"/>
      <c r="N8" s="17">
        <v>30.0</v>
      </c>
      <c r="O8" s="171">
        <f t="shared" si="5"/>
        <v>10</v>
      </c>
      <c r="P8" s="171">
        <f t="shared" ref="P8:P134" si="7">5*K8</f>
        <v>5</v>
      </c>
      <c r="Q8" s="17">
        <v>5.0</v>
      </c>
      <c r="R8" s="17">
        <f t="shared" si="3"/>
        <v>50</v>
      </c>
      <c r="S8" s="17" t="s">
        <v>2389</v>
      </c>
      <c r="T8" s="133" t="s">
        <v>2390</v>
      </c>
      <c r="U8" s="134" t="str">
        <f>HYPERLINK("https://drive.google.com/file/d/1Mo9OHZzvF4YpwZ9IVXUOHxZEXpkyFsw4/view?usp=drivesdk","ATR-FTIR_Prof. Dr.-Ing. Ir. Silviana, S.T., M.T., IPM., ASEAN Eng._766")</f>
        <v>ATR-FTIR_Prof. Dr.-Ing. Ir. Silviana, S.T., M.T., IPM., ASEAN Eng._766</v>
      </c>
      <c r="V8" s="17" t="s">
        <v>2391</v>
      </c>
    </row>
    <row r="9">
      <c r="A9" s="149">
        <v>45545.0</v>
      </c>
      <c r="B9" s="149">
        <v>45546.0</v>
      </c>
      <c r="C9" s="17" t="s">
        <v>2353</v>
      </c>
      <c r="D9" s="168">
        <v>768.0</v>
      </c>
      <c r="E9" s="136" t="s">
        <v>2392</v>
      </c>
      <c r="F9" s="136" t="s">
        <v>2393</v>
      </c>
      <c r="G9" s="136" t="s">
        <v>2394</v>
      </c>
      <c r="H9" s="17" t="s">
        <v>541</v>
      </c>
      <c r="I9" s="17" t="s">
        <v>2356</v>
      </c>
      <c r="J9" s="17" t="s">
        <v>1051</v>
      </c>
      <c r="K9" s="17">
        <v>4.0</v>
      </c>
      <c r="L9" s="17">
        <v>100000.0</v>
      </c>
      <c r="M9" s="17"/>
      <c r="N9" s="17">
        <v>30.0</v>
      </c>
      <c r="O9" s="171">
        <f t="shared" si="5"/>
        <v>40</v>
      </c>
      <c r="P9" s="171">
        <f t="shared" si="7"/>
        <v>20</v>
      </c>
      <c r="Q9" s="17">
        <v>5.0</v>
      </c>
      <c r="R9" s="171">
        <f t="shared" si="3"/>
        <v>95</v>
      </c>
      <c r="S9" s="17" t="s">
        <v>2395</v>
      </c>
      <c r="T9" s="133" t="s">
        <v>2396</v>
      </c>
      <c r="U9" s="134" t="str">
        <f>HYPERLINK("https://drive.google.com/file/d/18ROm-zWcrjn3s0k6RvS_f8_LisTI2SQ_/view?usp=drivesdk","ATR-FTIR_Ardy Dwi Saputra_768")</f>
        <v>ATR-FTIR_Ardy Dwi Saputra_768</v>
      </c>
      <c r="V9" s="17" t="s">
        <v>2397</v>
      </c>
    </row>
    <row r="10">
      <c r="A10" s="149">
        <v>45553.0</v>
      </c>
      <c r="B10" s="149">
        <v>45555.0</v>
      </c>
      <c r="C10" s="17" t="s">
        <v>2353</v>
      </c>
      <c r="D10" s="168">
        <v>780.0</v>
      </c>
      <c r="E10" s="17" t="s">
        <v>2371</v>
      </c>
      <c r="F10" s="17" t="s">
        <v>2372</v>
      </c>
      <c r="G10" s="17" t="s">
        <v>734</v>
      </c>
      <c r="H10" s="17" t="s">
        <v>541</v>
      </c>
      <c r="I10" s="17" t="s">
        <v>2356</v>
      </c>
      <c r="J10" s="17" t="s">
        <v>1051</v>
      </c>
      <c r="K10" s="17">
        <v>1.0</v>
      </c>
      <c r="L10" s="17">
        <v>100000.0</v>
      </c>
      <c r="M10" s="17"/>
      <c r="N10" s="17">
        <v>30.0</v>
      </c>
      <c r="O10" s="171">
        <f t="shared" si="5"/>
        <v>10</v>
      </c>
      <c r="P10" s="171">
        <f t="shared" si="7"/>
        <v>5</v>
      </c>
      <c r="Q10" s="17">
        <v>5.0</v>
      </c>
      <c r="R10" s="171">
        <f t="shared" si="3"/>
        <v>50</v>
      </c>
      <c r="S10" s="17" t="s">
        <v>2398</v>
      </c>
      <c r="T10" s="133" t="s">
        <v>2399</v>
      </c>
      <c r="U10" s="134" t="str">
        <f>HYPERLINK("https://drive.google.com/file/d/1J6hMGW0rmxdekoUqeNDXrLyR1y47vgcZ/view?usp=drivesdk","ATR-FTIR_Putri Sholehah_780")</f>
        <v>ATR-FTIR_Putri Sholehah_780</v>
      </c>
      <c r="V10" s="17" t="s">
        <v>2400</v>
      </c>
    </row>
    <row r="11">
      <c r="A11" s="149">
        <v>45555.0</v>
      </c>
      <c r="B11" s="149">
        <v>45558.0</v>
      </c>
      <c r="C11" s="17" t="s">
        <v>2353</v>
      </c>
      <c r="D11" s="168">
        <v>784.0</v>
      </c>
      <c r="E11" s="17" t="s">
        <v>2401</v>
      </c>
      <c r="F11" s="196" t="s">
        <v>2402</v>
      </c>
      <c r="G11" s="196" t="s">
        <v>799</v>
      </c>
      <c r="H11" s="17" t="s">
        <v>621</v>
      </c>
      <c r="I11" s="17" t="s">
        <v>2356</v>
      </c>
      <c r="J11" s="17" t="s">
        <v>1051</v>
      </c>
      <c r="K11" s="17">
        <v>8.0</v>
      </c>
      <c r="L11" s="17">
        <v>50000.0</v>
      </c>
      <c r="M11" s="17"/>
      <c r="N11" s="17">
        <v>30.0</v>
      </c>
      <c r="O11" s="171">
        <f t="shared" si="5"/>
        <v>80</v>
      </c>
      <c r="P11" s="171">
        <f t="shared" si="7"/>
        <v>40</v>
      </c>
      <c r="Q11" s="17">
        <v>5.0</v>
      </c>
      <c r="R11" s="171">
        <f t="shared" si="3"/>
        <v>155</v>
      </c>
      <c r="S11" s="17" t="s">
        <v>2403</v>
      </c>
      <c r="T11" s="133" t="s">
        <v>2404</v>
      </c>
      <c r="U11" s="134" t="str">
        <f>HYPERLINK("https://drive.google.com/file/d/1EcJ8oz6KLpfBa-ojtb_7ZZt_H8d67aMR/view?usp=drivesdk","ATR-FTIR_Nala Ridhwanul Mu'izzah_784")</f>
        <v>ATR-FTIR_Nala Ridhwanul Mu'izzah_784</v>
      </c>
      <c r="V11" s="17" t="s">
        <v>2405</v>
      </c>
    </row>
    <row r="12">
      <c r="A12" s="149">
        <v>45555.0</v>
      </c>
      <c r="B12" s="149">
        <v>45559.0</v>
      </c>
      <c r="C12" s="17" t="s">
        <v>2353</v>
      </c>
      <c r="D12" s="168">
        <v>789.0</v>
      </c>
      <c r="E12" s="17" t="s">
        <v>2354</v>
      </c>
      <c r="F12" s="17" t="s">
        <v>2355</v>
      </c>
      <c r="G12" s="17" t="s">
        <v>1132</v>
      </c>
      <c r="H12" s="17" t="s">
        <v>621</v>
      </c>
      <c r="I12" s="17" t="s">
        <v>2356</v>
      </c>
      <c r="J12" s="17" t="s">
        <v>1051</v>
      </c>
      <c r="K12" s="17">
        <v>1.0</v>
      </c>
      <c r="L12" s="17">
        <v>50000.0</v>
      </c>
      <c r="M12" s="17"/>
      <c r="N12" s="17">
        <v>30.0</v>
      </c>
      <c r="O12" s="171">
        <f t="shared" si="5"/>
        <v>10</v>
      </c>
      <c r="P12" s="171">
        <f t="shared" si="7"/>
        <v>5</v>
      </c>
      <c r="Q12" s="17">
        <v>5.0</v>
      </c>
      <c r="R12" s="171">
        <f t="shared" si="3"/>
        <v>50</v>
      </c>
      <c r="S12" s="17" t="s">
        <v>2406</v>
      </c>
      <c r="T12" s="133" t="s">
        <v>2407</v>
      </c>
      <c r="U12" s="134" t="str">
        <f>HYPERLINK("https://drive.google.com/file/d/1FMc4D9mit-gFz6G8ul0t2HMPXaEzanaq/view?usp=drivesdk","ATR-FTIR_Rasyifah Husna Qaniah_789")</f>
        <v>ATR-FTIR_Rasyifah Husna Qaniah_789</v>
      </c>
      <c r="V12" s="17" t="s">
        <v>2408</v>
      </c>
    </row>
    <row r="13">
      <c r="A13" s="149">
        <v>45560.0</v>
      </c>
      <c r="B13" s="149">
        <v>45561.0</v>
      </c>
      <c r="C13" s="17" t="s">
        <v>2353</v>
      </c>
      <c r="D13" s="168">
        <v>798.0</v>
      </c>
      <c r="E13" s="17" t="s">
        <v>1149</v>
      </c>
      <c r="F13" s="17" t="s">
        <v>2409</v>
      </c>
      <c r="G13" s="17" t="s">
        <v>1132</v>
      </c>
      <c r="H13" s="17" t="s">
        <v>621</v>
      </c>
      <c r="I13" s="17" t="s">
        <v>2356</v>
      </c>
      <c r="J13" s="17" t="s">
        <v>1051</v>
      </c>
      <c r="K13" s="17">
        <v>1.0</v>
      </c>
      <c r="L13" s="17">
        <v>50000.0</v>
      </c>
      <c r="M13" s="17"/>
      <c r="N13" s="17">
        <v>30.0</v>
      </c>
      <c r="O13" s="171">
        <f t="shared" si="5"/>
        <v>10</v>
      </c>
      <c r="P13" s="171">
        <f t="shared" si="7"/>
        <v>5</v>
      </c>
      <c r="Q13" s="17">
        <v>5.0</v>
      </c>
      <c r="R13" s="171">
        <f t="shared" si="3"/>
        <v>50</v>
      </c>
      <c r="S13" s="17" t="s">
        <v>2410</v>
      </c>
      <c r="T13" s="133" t="s">
        <v>2411</v>
      </c>
      <c r="U13" s="134" t="str">
        <f>HYPERLINK("https://drive.google.com/file/d/1432rAPv7QCt8J1X3_pP2DOtH3SurAuYH/view?usp=drivesdk","ATR-FTIR_Dwi Safitri_798")</f>
        <v>ATR-FTIR_Dwi Safitri_798</v>
      </c>
      <c r="V13" s="17" t="s">
        <v>2412</v>
      </c>
    </row>
    <row r="14">
      <c r="A14" s="149">
        <v>45561.0</v>
      </c>
      <c r="B14" s="149">
        <v>45561.0</v>
      </c>
      <c r="C14" s="17" t="s">
        <v>2353</v>
      </c>
      <c r="D14" s="168">
        <v>797.0</v>
      </c>
      <c r="E14" s="17" t="s">
        <v>1766</v>
      </c>
      <c r="F14" s="17" t="s">
        <v>1697</v>
      </c>
      <c r="G14" s="17" t="s">
        <v>2377</v>
      </c>
      <c r="H14" s="17" t="s">
        <v>621</v>
      </c>
      <c r="I14" s="17" t="s">
        <v>2356</v>
      </c>
      <c r="J14" s="17" t="s">
        <v>1051</v>
      </c>
      <c r="K14" s="17">
        <v>4.0</v>
      </c>
      <c r="L14" s="17">
        <v>50000.0</v>
      </c>
      <c r="M14" s="17"/>
      <c r="N14" s="17">
        <v>30.0</v>
      </c>
      <c r="O14" s="171">
        <f t="shared" si="5"/>
        <v>40</v>
      </c>
      <c r="P14" s="171">
        <f t="shared" si="7"/>
        <v>20</v>
      </c>
      <c r="Q14" s="17">
        <v>5.0</v>
      </c>
      <c r="R14" s="171">
        <f t="shared" si="3"/>
        <v>95</v>
      </c>
      <c r="S14" s="17" t="s">
        <v>2413</v>
      </c>
      <c r="T14" s="133" t="s">
        <v>2414</v>
      </c>
      <c r="U14" s="134" t="str">
        <f>HYPERLINK("https://drive.google.com/file/d/1EN5rFM4nSaYFKHjY1GxK368ZtaCIcQZr/view?usp=drivesdk","ATR-FTIR_Wahyu Nur Safitriono_797")</f>
        <v>ATR-FTIR_Wahyu Nur Safitriono_797</v>
      </c>
      <c r="V14" s="17" t="s">
        <v>2412</v>
      </c>
    </row>
    <row r="15">
      <c r="A15" s="149">
        <v>45572.0</v>
      </c>
      <c r="B15" s="149">
        <v>45573.0</v>
      </c>
      <c r="C15" s="17" t="s">
        <v>2353</v>
      </c>
      <c r="D15" s="168">
        <v>814.0</v>
      </c>
      <c r="E15" s="17" t="s">
        <v>786</v>
      </c>
      <c r="F15" s="17" t="s">
        <v>1979</v>
      </c>
      <c r="G15" s="17" t="s">
        <v>2377</v>
      </c>
      <c r="H15" s="17" t="s">
        <v>621</v>
      </c>
      <c r="I15" s="17" t="s">
        <v>2356</v>
      </c>
      <c r="J15" s="17" t="s">
        <v>1051</v>
      </c>
      <c r="K15" s="17">
        <v>2.0</v>
      </c>
      <c r="L15" s="17">
        <v>50000.0</v>
      </c>
      <c r="M15" s="17"/>
      <c r="N15" s="17">
        <v>30.0</v>
      </c>
      <c r="O15" s="171">
        <f t="shared" si="5"/>
        <v>20</v>
      </c>
      <c r="P15" s="171">
        <f t="shared" si="7"/>
        <v>10</v>
      </c>
      <c r="Q15" s="17">
        <v>5.0</v>
      </c>
      <c r="R15" s="171">
        <f t="shared" ref="R15:R16" si="8">sum(N15:Q15)</f>
        <v>65</v>
      </c>
      <c r="S15" s="17" t="s">
        <v>2415</v>
      </c>
      <c r="T15" s="133" t="s">
        <v>2416</v>
      </c>
      <c r="U15" s="134" t="str">
        <f>HYPERLINK("https://drive.google.com/file/d/1Z7lXPTx48cyPsLzB9QHeXpHw5-mE8-dA/view?usp=drivesdk","ATR-FTIR_Sabella Vegasty_814")</f>
        <v>ATR-FTIR_Sabella Vegasty_814</v>
      </c>
      <c r="V15" s="17" t="s">
        <v>2417</v>
      </c>
    </row>
    <row r="16">
      <c r="A16" s="149">
        <v>45572.0</v>
      </c>
      <c r="B16" s="149">
        <v>45573.0</v>
      </c>
      <c r="C16" s="17" t="s">
        <v>2353</v>
      </c>
      <c r="D16" s="168">
        <v>817.0</v>
      </c>
      <c r="E16" s="17" t="s">
        <v>2418</v>
      </c>
      <c r="F16" s="17" t="s">
        <v>2419</v>
      </c>
      <c r="G16" s="17" t="s">
        <v>1132</v>
      </c>
      <c r="H16" s="17" t="s">
        <v>621</v>
      </c>
      <c r="I16" s="17" t="s">
        <v>2356</v>
      </c>
      <c r="J16" s="17" t="s">
        <v>1051</v>
      </c>
      <c r="K16" s="17">
        <v>2.0</v>
      </c>
      <c r="L16" s="17">
        <v>50000.0</v>
      </c>
      <c r="M16" s="17"/>
      <c r="N16" s="17">
        <v>30.0</v>
      </c>
      <c r="O16" s="171">
        <f t="shared" si="5"/>
        <v>20</v>
      </c>
      <c r="P16" s="171">
        <f t="shared" si="7"/>
        <v>10</v>
      </c>
      <c r="Q16" s="17">
        <v>5.0</v>
      </c>
      <c r="R16" s="171">
        <f t="shared" si="8"/>
        <v>65</v>
      </c>
      <c r="S16" s="17" t="s">
        <v>2420</v>
      </c>
      <c r="T16" s="133" t="s">
        <v>2421</v>
      </c>
      <c r="U16" s="134" t="str">
        <f>HYPERLINK("https://drive.google.com/file/d/12tJdyguJ2ygorD8Q7ur6sSki9myw4GHd/view?usp=drivesdk","ATR-FTIR_Eka Nur Fazriyani_817")</f>
        <v>ATR-FTIR_Eka Nur Fazriyani_817</v>
      </c>
      <c r="V16" s="17" t="s">
        <v>2422</v>
      </c>
    </row>
    <row r="17">
      <c r="A17" s="149">
        <v>45579.0</v>
      </c>
      <c r="B17" s="149">
        <v>45580.0</v>
      </c>
      <c r="C17" s="17" t="s">
        <v>2353</v>
      </c>
      <c r="D17" s="168">
        <v>829.0</v>
      </c>
      <c r="E17" s="17" t="s">
        <v>2423</v>
      </c>
      <c r="F17" s="17" t="s">
        <v>2424</v>
      </c>
      <c r="G17" s="17" t="s">
        <v>1132</v>
      </c>
      <c r="H17" s="17" t="s">
        <v>621</v>
      </c>
      <c r="I17" s="17" t="s">
        <v>2356</v>
      </c>
      <c r="J17" s="17" t="s">
        <v>1051</v>
      </c>
      <c r="K17" s="17">
        <v>1.0</v>
      </c>
      <c r="L17" s="17">
        <v>50000.0</v>
      </c>
      <c r="M17" s="17"/>
      <c r="N17" s="17">
        <v>30.0</v>
      </c>
      <c r="O17" s="171">
        <f t="shared" si="5"/>
        <v>10</v>
      </c>
      <c r="P17" s="171">
        <f t="shared" si="7"/>
        <v>5</v>
      </c>
      <c r="Q17" s="17">
        <v>5.0</v>
      </c>
      <c r="R17" s="171">
        <f t="shared" ref="R17:R55" si="9">SUM(N17:Q17)</f>
        <v>50</v>
      </c>
      <c r="S17" s="17" t="s">
        <v>2425</v>
      </c>
      <c r="T17" s="133" t="s">
        <v>2426</v>
      </c>
      <c r="U17" s="134" t="str">
        <f>HYPERLINK("https://drive.google.com/file/d/1FoLZ1cg6l3jBdPk16qoV7JrtF_WixJ4X/view?usp=drivesdk","ATR-FTIR_Retno Apriyani_829")</f>
        <v>ATR-FTIR_Retno Apriyani_829</v>
      </c>
      <c r="V17" s="17" t="s">
        <v>2427</v>
      </c>
    </row>
    <row r="18">
      <c r="A18" s="149">
        <v>45580.0</v>
      </c>
      <c r="B18" s="149">
        <v>45580.0</v>
      </c>
      <c r="C18" s="17" t="s">
        <v>2353</v>
      </c>
      <c r="D18" s="168">
        <v>833.0</v>
      </c>
      <c r="E18" s="17" t="s">
        <v>2428</v>
      </c>
      <c r="F18" s="17" t="s">
        <v>2429</v>
      </c>
      <c r="G18" s="17" t="s">
        <v>1872</v>
      </c>
      <c r="H18" s="17" t="s">
        <v>541</v>
      </c>
      <c r="I18" s="17" t="s">
        <v>2356</v>
      </c>
      <c r="J18" s="17" t="s">
        <v>1051</v>
      </c>
      <c r="K18" s="17">
        <v>1.0</v>
      </c>
      <c r="L18" s="17">
        <v>100000.0</v>
      </c>
      <c r="M18" s="17"/>
      <c r="N18" s="17">
        <v>30.0</v>
      </c>
      <c r="O18" s="171">
        <f t="shared" si="5"/>
        <v>10</v>
      </c>
      <c r="P18" s="171">
        <f t="shared" si="7"/>
        <v>5</v>
      </c>
      <c r="Q18" s="17">
        <v>5.0</v>
      </c>
      <c r="R18" s="171">
        <f t="shared" si="9"/>
        <v>50</v>
      </c>
      <c r="S18" s="17" t="s">
        <v>2430</v>
      </c>
      <c r="T18" s="133" t="s">
        <v>2431</v>
      </c>
      <c r="U18" s="134" t="str">
        <f>HYPERLINK("https://drive.google.com/file/d/1eMISpdGGx23PKBARKgQrTw1E_zs1Aezv/view?usp=drivesdk","ATR-FTIR_Muhammad Fahmi_833")</f>
        <v>ATR-FTIR_Muhammad Fahmi_833</v>
      </c>
      <c r="V18" s="17" t="s">
        <v>2432</v>
      </c>
    </row>
    <row r="19">
      <c r="A19" s="149">
        <v>45574.0</v>
      </c>
      <c r="B19" s="149">
        <v>45581.0</v>
      </c>
      <c r="C19" s="17" t="s">
        <v>2353</v>
      </c>
      <c r="D19" s="168">
        <v>818.0</v>
      </c>
      <c r="E19" s="17" t="s">
        <v>2433</v>
      </c>
      <c r="F19" s="17" t="s">
        <v>2434</v>
      </c>
      <c r="G19" s="17" t="s">
        <v>814</v>
      </c>
      <c r="H19" s="17" t="s">
        <v>541</v>
      </c>
      <c r="I19" s="17" t="s">
        <v>2356</v>
      </c>
      <c r="J19" s="17" t="s">
        <v>1051</v>
      </c>
      <c r="K19" s="17">
        <v>5.0</v>
      </c>
      <c r="L19" s="17">
        <v>100000.0</v>
      </c>
      <c r="M19" s="17"/>
      <c r="N19" s="17">
        <v>30.0</v>
      </c>
      <c r="O19" s="171">
        <f t="shared" si="5"/>
        <v>50</v>
      </c>
      <c r="P19" s="171">
        <f t="shared" si="7"/>
        <v>25</v>
      </c>
      <c r="Q19" s="17">
        <v>5.0</v>
      </c>
      <c r="R19" s="171">
        <f t="shared" si="9"/>
        <v>110</v>
      </c>
      <c r="S19" s="17" t="s">
        <v>2435</v>
      </c>
      <c r="T19" s="133" t="s">
        <v>2436</v>
      </c>
      <c r="U19" s="134" t="str">
        <f>HYPERLINK("https://drive.google.com/file/d/1ppxL6yEq0PJL2qgJ4leUch0er2hyaDGu/view?usp=drivesdk","ATR-FTIR_Syahwa Agustin Rahmawati_818")</f>
        <v>ATR-FTIR_Syahwa Agustin Rahmawati_818</v>
      </c>
      <c r="V19" s="17" t="s">
        <v>2437</v>
      </c>
    </row>
    <row r="20">
      <c r="A20" s="149">
        <v>45587.0</v>
      </c>
      <c r="B20" s="149">
        <v>45587.0</v>
      </c>
      <c r="C20" s="17" t="s">
        <v>2353</v>
      </c>
      <c r="D20" s="168">
        <v>843.0</v>
      </c>
      <c r="E20" s="17" t="s">
        <v>1925</v>
      </c>
      <c r="F20" s="17" t="s">
        <v>1926</v>
      </c>
      <c r="G20" s="17" t="s">
        <v>814</v>
      </c>
      <c r="H20" s="17" t="s">
        <v>541</v>
      </c>
      <c r="I20" s="17" t="s">
        <v>2356</v>
      </c>
      <c r="J20" s="17" t="s">
        <v>1051</v>
      </c>
      <c r="K20" s="17">
        <v>4.0</v>
      </c>
      <c r="L20" s="17">
        <v>100000.0</v>
      </c>
      <c r="M20" s="17"/>
      <c r="N20" s="17">
        <v>30.0</v>
      </c>
      <c r="O20" s="171">
        <f t="shared" si="5"/>
        <v>40</v>
      </c>
      <c r="P20" s="171">
        <f t="shared" si="7"/>
        <v>20</v>
      </c>
      <c r="Q20" s="17">
        <v>5.0</v>
      </c>
      <c r="R20" s="171">
        <f t="shared" si="9"/>
        <v>95</v>
      </c>
      <c r="S20" s="17" t="s">
        <v>2438</v>
      </c>
      <c r="T20" s="133" t="s">
        <v>2439</v>
      </c>
      <c r="U20" s="134" t="str">
        <f>HYPERLINK("https://drive.google.com/file/d/1fzZ1d_Wm_rmA-LVzseBK2IAz-rptiENY/view?usp=drivesdk","ATR-FTIR_Nabila Permana Syahrani_843")</f>
        <v>ATR-FTIR_Nabila Permana Syahrani_843</v>
      </c>
      <c r="V20" s="17" t="s">
        <v>2440</v>
      </c>
    </row>
    <row r="21">
      <c r="A21" s="149">
        <v>45590.0</v>
      </c>
      <c r="B21" s="149">
        <v>45593.0</v>
      </c>
      <c r="C21" s="17" t="s">
        <v>2353</v>
      </c>
      <c r="D21" s="168">
        <v>848.0</v>
      </c>
      <c r="E21" s="17" t="s">
        <v>723</v>
      </c>
      <c r="F21" s="17" t="s">
        <v>724</v>
      </c>
      <c r="G21" s="17" t="s">
        <v>746</v>
      </c>
      <c r="H21" s="17" t="s">
        <v>621</v>
      </c>
      <c r="I21" s="17" t="s">
        <v>2356</v>
      </c>
      <c r="J21" s="17" t="s">
        <v>1051</v>
      </c>
      <c r="K21" s="17">
        <v>3.0</v>
      </c>
      <c r="L21" s="17">
        <v>50000.0</v>
      </c>
      <c r="M21" s="17"/>
      <c r="N21" s="17">
        <v>30.0</v>
      </c>
      <c r="O21" s="171">
        <f t="shared" si="5"/>
        <v>30</v>
      </c>
      <c r="P21" s="171">
        <f t="shared" si="7"/>
        <v>15</v>
      </c>
      <c r="Q21" s="17">
        <v>5.0</v>
      </c>
      <c r="R21" s="171">
        <f t="shared" si="9"/>
        <v>80</v>
      </c>
      <c r="S21" s="17" t="s">
        <v>2441</v>
      </c>
      <c r="T21" s="133" t="s">
        <v>2442</v>
      </c>
      <c r="U21" s="134" t="str">
        <f>HYPERLINK("https://drive.google.com/file/d/1PEZ0M9S30lnnCcIwYktCLsT6QkR624Md/view?usp=drivesdk","ATR-FTIR_Mazlan_848")</f>
        <v>ATR-FTIR_Mazlan_848</v>
      </c>
      <c r="V21" s="17" t="s">
        <v>2443</v>
      </c>
    </row>
    <row r="22">
      <c r="A22" s="149">
        <v>45602.0</v>
      </c>
      <c r="B22" s="149">
        <v>45604.0</v>
      </c>
      <c r="C22" s="17" t="s">
        <v>2353</v>
      </c>
      <c r="D22" s="168">
        <v>874.0</v>
      </c>
      <c r="E22" s="17" t="s">
        <v>1149</v>
      </c>
      <c r="F22" s="17" t="s">
        <v>2409</v>
      </c>
      <c r="G22" s="17" t="s">
        <v>1132</v>
      </c>
      <c r="H22" s="17" t="s">
        <v>621</v>
      </c>
      <c r="I22" s="17" t="s">
        <v>2356</v>
      </c>
      <c r="J22" s="17" t="s">
        <v>1051</v>
      </c>
      <c r="K22" s="17">
        <v>16.0</v>
      </c>
      <c r="L22" s="17">
        <v>50000.0</v>
      </c>
      <c r="M22" s="17"/>
      <c r="N22" s="17">
        <v>30.0</v>
      </c>
      <c r="O22" s="171">
        <f t="shared" si="5"/>
        <v>160</v>
      </c>
      <c r="P22" s="171">
        <f t="shared" si="7"/>
        <v>80</v>
      </c>
      <c r="Q22" s="17">
        <v>5.0</v>
      </c>
      <c r="R22" s="171">
        <f t="shared" si="9"/>
        <v>275</v>
      </c>
      <c r="S22" s="17" t="s">
        <v>2444</v>
      </c>
      <c r="T22" s="133" t="s">
        <v>2445</v>
      </c>
      <c r="U22" s="134" t="str">
        <f>HYPERLINK("https://drive.google.com/file/d/1esGSdyzZOrS_ppWket7Ppk3enxgESrIW/view?usp=drivesdk","ATR-FTIR_Dwi Safitri_874")</f>
        <v>ATR-FTIR_Dwi Safitri_874</v>
      </c>
      <c r="V22" s="17" t="s">
        <v>2446</v>
      </c>
    </row>
    <row r="23">
      <c r="A23" s="149">
        <v>45603.0</v>
      </c>
      <c r="B23" s="149">
        <v>45604.0</v>
      </c>
      <c r="C23" s="17" t="s">
        <v>2353</v>
      </c>
      <c r="D23" s="168">
        <v>876.0</v>
      </c>
      <c r="E23" s="17" t="s">
        <v>2108</v>
      </c>
      <c r="F23" s="17" t="s">
        <v>2109</v>
      </c>
      <c r="G23" s="17" t="s">
        <v>1872</v>
      </c>
      <c r="H23" s="17" t="s">
        <v>621</v>
      </c>
      <c r="I23" s="17" t="s">
        <v>2356</v>
      </c>
      <c r="J23" s="17" t="s">
        <v>1051</v>
      </c>
      <c r="K23" s="17">
        <v>2.0</v>
      </c>
      <c r="L23" s="17">
        <v>50000.0</v>
      </c>
      <c r="M23" s="17"/>
      <c r="N23" s="17">
        <v>30.0</v>
      </c>
      <c r="O23" s="171">
        <f t="shared" si="5"/>
        <v>20</v>
      </c>
      <c r="P23" s="171">
        <f t="shared" si="7"/>
        <v>10</v>
      </c>
      <c r="Q23" s="17">
        <v>5.0</v>
      </c>
      <c r="R23" s="171">
        <f t="shared" si="9"/>
        <v>65</v>
      </c>
      <c r="S23" s="17" t="s">
        <v>2447</v>
      </c>
      <c r="T23" s="133" t="s">
        <v>2448</v>
      </c>
      <c r="U23" s="134" t="str">
        <f>HYPERLINK("https://drive.google.com/file/d/1mE9CzhYe-yiUondDtNBqChUE8cQaLu7Q/view?usp=drivesdk","ATR-FTIR_Rizqi Apriliyani_876")</f>
        <v>ATR-FTIR_Rizqi Apriliyani_876</v>
      </c>
      <c r="V23" s="17" t="s">
        <v>2446</v>
      </c>
    </row>
    <row r="24">
      <c r="A24" s="149">
        <v>45615.0</v>
      </c>
      <c r="B24" s="149">
        <v>45622.0</v>
      </c>
      <c r="C24" s="17" t="s">
        <v>2353</v>
      </c>
      <c r="D24" s="168">
        <v>888.0</v>
      </c>
      <c r="E24" s="17" t="s">
        <v>786</v>
      </c>
      <c r="F24" s="17" t="s">
        <v>1979</v>
      </c>
      <c r="G24" s="17" t="s">
        <v>2377</v>
      </c>
      <c r="H24" s="17" t="s">
        <v>621</v>
      </c>
      <c r="I24" s="17" t="s">
        <v>2356</v>
      </c>
      <c r="J24" s="17" t="s">
        <v>1051</v>
      </c>
      <c r="K24" s="17">
        <v>15.0</v>
      </c>
      <c r="L24" s="17">
        <v>50000.0</v>
      </c>
      <c r="M24" s="17"/>
      <c r="N24" s="17">
        <v>30.0</v>
      </c>
      <c r="O24" s="171">
        <f t="shared" si="5"/>
        <v>150</v>
      </c>
      <c r="P24" s="171">
        <f t="shared" si="7"/>
        <v>75</v>
      </c>
      <c r="Q24" s="17">
        <v>5.0</v>
      </c>
      <c r="R24" s="171">
        <f t="shared" si="9"/>
        <v>260</v>
      </c>
      <c r="S24" s="17" t="s">
        <v>2449</v>
      </c>
      <c r="T24" s="133" t="s">
        <v>2450</v>
      </c>
      <c r="U24" s="134" t="str">
        <f>HYPERLINK("https://drive.google.com/file/d/149TnejRIT0fc28-X2ihGJvoaZdsO7i49/view?usp=drivesdk","ATR-FTIR_Sabella Vegasty_888")</f>
        <v>ATR-FTIR_Sabella Vegasty_888</v>
      </c>
      <c r="V24" s="17" t="s">
        <v>2451</v>
      </c>
    </row>
    <row r="25">
      <c r="A25" s="149">
        <v>45617.0</v>
      </c>
      <c r="B25" s="149">
        <v>45622.0</v>
      </c>
      <c r="C25" s="17" t="s">
        <v>2353</v>
      </c>
      <c r="D25" s="168">
        <v>892.0</v>
      </c>
      <c r="E25" s="17" t="s">
        <v>723</v>
      </c>
      <c r="F25" s="17" t="s">
        <v>724</v>
      </c>
      <c r="G25" s="17" t="s">
        <v>746</v>
      </c>
      <c r="H25" s="17" t="s">
        <v>621</v>
      </c>
      <c r="I25" s="17" t="s">
        <v>2356</v>
      </c>
      <c r="J25" s="17" t="s">
        <v>1051</v>
      </c>
      <c r="K25" s="17">
        <v>3.0</v>
      </c>
      <c r="L25" s="17">
        <v>50000.0</v>
      </c>
      <c r="M25" s="17"/>
      <c r="N25" s="17">
        <v>30.0</v>
      </c>
      <c r="O25" s="171">
        <f t="shared" si="5"/>
        <v>30</v>
      </c>
      <c r="P25" s="171">
        <f t="shared" si="7"/>
        <v>15</v>
      </c>
      <c r="Q25" s="17">
        <v>5.0</v>
      </c>
      <c r="R25" s="171">
        <f t="shared" si="9"/>
        <v>80</v>
      </c>
      <c r="S25" s="17" t="s">
        <v>2452</v>
      </c>
      <c r="T25" s="133" t="s">
        <v>2453</v>
      </c>
      <c r="U25" s="134" t="str">
        <f>HYPERLINK("https://drive.google.com/file/d/19V3pJnb-zJyCvWrzYCVSpxLlmz3cTtYr/view?usp=drivesdk","ATR-FTIR_Mazlan_892")</f>
        <v>ATR-FTIR_Mazlan_892</v>
      </c>
      <c r="V25" s="17" t="s">
        <v>2451</v>
      </c>
    </row>
    <row r="26">
      <c r="A26" s="149">
        <v>45622.0</v>
      </c>
      <c r="B26" s="149">
        <v>45622.0</v>
      </c>
      <c r="C26" s="17" t="s">
        <v>2353</v>
      </c>
      <c r="D26" s="168">
        <v>895.0</v>
      </c>
      <c r="E26" s="17" t="s">
        <v>1925</v>
      </c>
      <c r="F26" s="17" t="s">
        <v>1926</v>
      </c>
      <c r="G26" s="17" t="s">
        <v>814</v>
      </c>
      <c r="H26" s="17" t="s">
        <v>621</v>
      </c>
      <c r="I26" s="17" t="s">
        <v>2356</v>
      </c>
      <c r="J26" s="17" t="s">
        <v>1051</v>
      </c>
      <c r="K26" s="17">
        <v>4.0</v>
      </c>
      <c r="L26" s="17">
        <v>50000.0</v>
      </c>
      <c r="M26" s="17"/>
      <c r="N26" s="17">
        <v>30.0</v>
      </c>
      <c r="O26" s="171">
        <f t="shared" si="5"/>
        <v>40</v>
      </c>
      <c r="P26" s="171">
        <f t="shared" si="7"/>
        <v>20</v>
      </c>
      <c r="Q26" s="17">
        <v>5.0</v>
      </c>
      <c r="R26" s="171">
        <f t="shared" si="9"/>
        <v>95</v>
      </c>
      <c r="S26" s="17" t="s">
        <v>2454</v>
      </c>
      <c r="T26" s="133" t="s">
        <v>2455</v>
      </c>
      <c r="U26" s="134" t="str">
        <f>HYPERLINK("https://drive.google.com/file/d/1ztvaSP7fYP36DjkfA4hHewsO0JbcAxhk/view?usp=drivesdk","ATR-FTIR_Nabila Permana Syahrani_895")</f>
        <v>ATR-FTIR_Nabila Permana Syahrani_895</v>
      </c>
      <c r="V26" s="17" t="s">
        <v>2451</v>
      </c>
    </row>
    <row r="27">
      <c r="A27" s="149">
        <v>45629.0</v>
      </c>
      <c r="B27" s="149">
        <v>45629.0</v>
      </c>
      <c r="C27" s="17" t="s">
        <v>2353</v>
      </c>
      <c r="D27" s="168">
        <v>909.0</v>
      </c>
      <c r="E27" s="17" t="s">
        <v>2456</v>
      </c>
      <c r="F27" s="17" t="s">
        <v>2457</v>
      </c>
      <c r="G27" s="17" t="s">
        <v>2458</v>
      </c>
      <c r="H27" s="17" t="s">
        <v>621</v>
      </c>
      <c r="I27" s="17" t="s">
        <v>2356</v>
      </c>
      <c r="J27" s="17" t="s">
        <v>1051</v>
      </c>
      <c r="K27" s="17">
        <v>2.0</v>
      </c>
      <c r="L27" s="17">
        <v>50000.0</v>
      </c>
      <c r="M27" s="17"/>
      <c r="N27" s="17">
        <v>30.0</v>
      </c>
      <c r="O27" s="171">
        <f t="shared" si="5"/>
        <v>20</v>
      </c>
      <c r="P27" s="171">
        <f t="shared" si="7"/>
        <v>10</v>
      </c>
      <c r="Q27" s="17">
        <v>5.0</v>
      </c>
      <c r="R27" s="171">
        <f t="shared" si="9"/>
        <v>65</v>
      </c>
      <c r="S27" s="17" t="s">
        <v>2459</v>
      </c>
      <c r="T27" s="133" t="s">
        <v>2460</v>
      </c>
      <c r="U27" s="134" t="str">
        <f>HYPERLINK("https://drive.google.com/file/d/1Sl21pzJJ1-SY9yZvZDyLc61IBSu2xPYm/view?usp=drivesdk","ATR-FTIR_Friska Amelia Putri Agustina_909")</f>
        <v>ATR-FTIR_Friska Amelia Putri Agustina_909</v>
      </c>
      <c r="V27" s="17" t="s">
        <v>2461</v>
      </c>
    </row>
    <row r="28">
      <c r="A28" s="149">
        <v>45629.0</v>
      </c>
      <c r="B28" s="149">
        <v>45629.0</v>
      </c>
      <c r="C28" s="17" t="s">
        <v>2353</v>
      </c>
      <c r="D28" s="168">
        <v>910.0</v>
      </c>
      <c r="E28" s="17" t="s">
        <v>723</v>
      </c>
      <c r="F28" s="17" t="s">
        <v>724</v>
      </c>
      <c r="G28" s="17" t="s">
        <v>746</v>
      </c>
      <c r="H28" s="17" t="s">
        <v>621</v>
      </c>
      <c r="I28" s="17" t="s">
        <v>2356</v>
      </c>
      <c r="J28" s="17" t="s">
        <v>1051</v>
      </c>
      <c r="K28" s="17">
        <v>1.0</v>
      </c>
      <c r="L28" s="17">
        <v>50000.0</v>
      </c>
      <c r="M28" s="17"/>
      <c r="N28" s="17">
        <v>30.0</v>
      </c>
      <c r="O28" s="171">
        <f t="shared" si="5"/>
        <v>10</v>
      </c>
      <c r="P28" s="171">
        <f t="shared" si="7"/>
        <v>5</v>
      </c>
      <c r="Q28" s="17">
        <v>5.0</v>
      </c>
      <c r="R28" s="171">
        <f t="shared" si="9"/>
        <v>50</v>
      </c>
      <c r="S28" s="17" t="s">
        <v>2462</v>
      </c>
      <c r="T28" s="133" t="s">
        <v>2463</v>
      </c>
      <c r="U28" s="134" t="str">
        <f>HYPERLINK("https://drive.google.com/file/d/1uXW8HQaivw_VzF7S1xak4WPxYiru8dEK/view?usp=drivesdk","ATR-FTIR_Mazlan_910")</f>
        <v>ATR-FTIR_Mazlan_910</v>
      </c>
      <c r="V28" s="17" t="s">
        <v>2461</v>
      </c>
    </row>
    <row r="29">
      <c r="A29" s="149">
        <v>45629.0</v>
      </c>
      <c r="B29" s="149">
        <v>45629.0</v>
      </c>
      <c r="C29" s="17" t="s">
        <v>2353</v>
      </c>
      <c r="D29" s="168">
        <v>911.0</v>
      </c>
      <c r="E29" s="17" t="s">
        <v>2464</v>
      </c>
      <c r="F29" s="17" t="s">
        <v>2465</v>
      </c>
      <c r="G29" s="17" t="s">
        <v>2458</v>
      </c>
      <c r="H29" s="17" t="s">
        <v>621</v>
      </c>
      <c r="I29" s="17" t="s">
        <v>2356</v>
      </c>
      <c r="J29" s="17" t="s">
        <v>1051</v>
      </c>
      <c r="K29" s="17">
        <v>1.0</v>
      </c>
      <c r="L29" s="17">
        <v>50000.0</v>
      </c>
      <c r="M29" s="17"/>
      <c r="N29" s="17">
        <v>30.0</v>
      </c>
      <c r="O29" s="171">
        <f t="shared" si="5"/>
        <v>10</v>
      </c>
      <c r="P29" s="171">
        <f t="shared" si="7"/>
        <v>5</v>
      </c>
      <c r="Q29" s="17">
        <v>5.0</v>
      </c>
      <c r="R29" s="171">
        <f t="shared" si="9"/>
        <v>50</v>
      </c>
      <c r="S29" s="17" t="s">
        <v>2466</v>
      </c>
      <c r="T29" s="133" t="s">
        <v>2467</v>
      </c>
      <c r="U29" s="134" t="str">
        <f>HYPERLINK("https://drive.google.com/file/d/12ol2-cVewLUj8y1ae1WDd8Gk_rheiVly/view?usp=drivesdk","ATR-FTIR_Kitra Kartika Edi_911")</f>
        <v>ATR-FTIR_Kitra Kartika Edi_911</v>
      </c>
      <c r="V29" s="17" t="s">
        <v>2461</v>
      </c>
    </row>
    <row r="30">
      <c r="A30" s="149">
        <v>45629.0</v>
      </c>
      <c r="B30" s="149">
        <v>45629.0</v>
      </c>
      <c r="C30" s="17" t="s">
        <v>2353</v>
      </c>
      <c r="D30" s="168">
        <v>913.0</v>
      </c>
      <c r="E30" s="17" t="s">
        <v>1925</v>
      </c>
      <c r="F30" s="17" t="s">
        <v>2434</v>
      </c>
      <c r="G30" s="17" t="s">
        <v>814</v>
      </c>
      <c r="H30" s="17" t="s">
        <v>621</v>
      </c>
      <c r="I30" s="17" t="s">
        <v>2356</v>
      </c>
      <c r="J30" s="17" t="s">
        <v>1051</v>
      </c>
      <c r="K30" s="17">
        <v>2.0</v>
      </c>
      <c r="L30" s="17">
        <v>50000.0</v>
      </c>
      <c r="M30" s="17"/>
      <c r="N30" s="17">
        <v>30.0</v>
      </c>
      <c r="O30" s="171">
        <f t="shared" si="5"/>
        <v>20</v>
      </c>
      <c r="P30" s="171">
        <f t="shared" si="7"/>
        <v>10</v>
      </c>
      <c r="Q30" s="17">
        <v>5.0</v>
      </c>
      <c r="R30" s="171">
        <f t="shared" si="9"/>
        <v>65</v>
      </c>
      <c r="S30" s="17" t="s">
        <v>2468</v>
      </c>
      <c r="T30" s="133" t="s">
        <v>2469</v>
      </c>
      <c r="U30" s="134" t="str">
        <f>HYPERLINK("https://drive.google.com/file/d/19uRxruI3bmFOSa1xovTY85O4v6s7QzgZ/view?usp=drivesdk","ATR-FTIR_Nabila Permana Syahrani_913")</f>
        <v>ATR-FTIR_Nabila Permana Syahrani_913</v>
      </c>
      <c r="V30" s="17" t="s">
        <v>2461</v>
      </c>
    </row>
    <row r="31">
      <c r="A31" s="149">
        <v>45629.0</v>
      </c>
      <c r="B31" s="149">
        <v>45629.0</v>
      </c>
      <c r="C31" s="17" t="s">
        <v>2353</v>
      </c>
      <c r="D31" s="168">
        <v>914.0</v>
      </c>
      <c r="E31" s="17" t="s">
        <v>1881</v>
      </c>
      <c r="F31" s="17" t="s">
        <v>1882</v>
      </c>
      <c r="G31" s="17" t="s">
        <v>814</v>
      </c>
      <c r="H31" s="17" t="s">
        <v>621</v>
      </c>
      <c r="I31" s="17" t="s">
        <v>2356</v>
      </c>
      <c r="J31" s="17" t="s">
        <v>1051</v>
      </c>
      <c r="K31" s="17">
        <v>8.0</v>
      </c>
      <c r="L31" s="17">
        <v>50000.0</v>
      </c>
      <c r="M31" s="17"/>
      <c r="N31" s="17">
        <v>30.0</v>
      </c>
      <c r="O31" s="171">
        <f t="shared" si="5"/>
        <v>80</v>
      </c>
      <c r="P31" s="171">
        <f t="shared" si="7"/>
        <v>40</v>
      </c>
      <c r="Q31" s="17">
        <v>5.0</v>
      </c>
      <c r="R31" s="171">
        <f t="shared" si="9"/>
        <v>155</v>
      </c>
      <c r="S31" s="17" t="s">
        <v>2470</v>
      </c>
      <c r="T31" s="133" t="s">
        <v>2471</v>
      </c>
      <c r="U31" s="134" t="str">
        <f>HYPERLINK("https://drive.google.com/file/d/1H4rcAc-ua3GVorcE-fYEBQBHYqNx7knO/view?usp=drivesdk","ATR-FTIR_Aji Prasetya_914")</f>
        <v>ATR-FTIR_Aji Prasetya_914</v>
      </c>
      <c r="V31" s="17" t="s">
        <v>2461</v>
      </c>
    </row>
    <row r="32">
      <c r="A32" s="149">
        <v>45616.0</v>
      </c>
      <c r="B32" s="149">
        <v>45630.0</v>
      </c>
      <c r="C32" s="17" t="s">
        <v>2353</v>
      </c>
      <c r="D32" s="168">
        <v>889.0</v>
      </c>
      <c r="E32" s="17" t="s">
        <v>1870</v>
      </c>
      <c r="F32" s="17" t="s">
        <v>1871</v>
      </c>
      <c r="G32" s="17" t="s">
        <v>1872</v>
      </c>
      <c r="H32" s="17" t="s">
        <v>621</v>
      </c>
      <c r="I32" s="17" t="s">
        <v>2356</v>
      </c>
      <c r="J32" s="17" t="s">
        <v>1051</v>
      </c>
      <c r="K32" s="17">
        <v>5.0</v>
      </c>
      <c r="L32" s="17">
        <v>50000.0</v>
      </c>
      <c r="M32" s="17"/>
      <c r="N32" s="17">
        <v>30.0</v>
      </c>
      <c r="O32" s="171">
        <f t="shared" si="5"/>
        <v>50</v>
      </c>
      <c r="P32" s="171">
        <f t="shared" si="7"/>
        <v>25</v>
      </c>
      <c r="Q32" s="17">
        <v>5.0</v>
      </c>
      <c r="R32" s="171">
        <f t="shared" si="9"/>
        <v>110</v>
      </c>
      <c r="S32" s="17" t="s">
        <v>2472</v>
      </c>
      <c r="T32" s="133" t="s">
        <v>2473</v>
      </c>
      <c r="U32" s="134" t="str">
        <f>HYPERLINK("https://drive.google.com/file/d/1DJG3iXSGpci17XVwEbzb8hEqtISyUbvK/view?usp=drivesdk","ATR-FTIR_Nadia Octaviani Faiq Salsabila_889")</f>
        <v>ATR-FTIR_Nadia Octaviani Faiq Salsabila_889</v>
      </c>
      <c r="V32" s="17" t="s">
        <v>2474</v>
      </c>
    </row>
    <row r="33">
      <c r="A33" s="149">
        <v>45631.0</v>
      </c>
      <c r="B33" s="149">
        <v>45631.0</v>
      </c>
      <c r="C33" s="17" t="s">
        <v>2353</v>
      </c>
      <c r="D33" s="168">
        <v>919.0</v>
      </c>
      <c r="E33" s="17" t="s">
        <v>2475</v>
      </c>
      <c r="F33" s="17" t="s">
        <v>2476</v>
      </c>
      <c r="G33" s="17" t="s">
        <v>1872</v>
      </c>
      <c r="H33" s="17" t="s">
        <v>621</v>
      </c>
      <c r="I33" s="17" t="s">
        <v>2356</v>
      </c>
      <c r="J33" s="17" t="s">
        <v>1051</v>
      </c>
      <c r="K33" s="17">
        <v>3.0</v>
      </c>
      <c r="L33" s="17">
        <v>50000.0</v>
      </c>
      <c r="M33" s="17"/>
      <c r="N33" s="17">
        <v>30.0</v>
      </c>
      <c r="O33" s="171">
        <f t="shared" si="5"/>
        <v>30</v>
      </c>
      <c r="P33" s="171">
        <f t="shared" si="7"/>
        <v>15</v>
      </c>
      <c r="Q33" s="17">
        <v>5.0</v>
      </c>
      <c r="R33" s="171">
        <f t="shared" si="9"/>
        <v>80</v>
      </c>
      <c r="S33" s="17" t="s">
        <v>2477</v>
      </c>
      <c r="T33" s="133" t="s">
        <v>2478</v>
      </c>
      <c r="U33" s="134" t="str">
        <f>HYPERLINK("https://drive.google.com/file/d/169CLxdhM990et2ghaYeQj8pmvaZyQBKr/view?usp=drivesdk","ATR-FTIR_Evan Arka Erlangga Putra_919")</f>
        <v>ATR-FTIR_Evan Arka Erlangga Putra_919</v>
      </c>
      <c r="V33" s="17" t="s">
        <v>2474</v>
      </c>
    </row>
    <row r="34">
      <c r="A34" s="149">
        <v>45637.0</v>
      </c>
      <c r="B34" s="149">
        <v>45637.0</v>
      </c>
      <c r="C34" s="17" t="s">
        <v>2353</v>
      </c>
      <c r="D34" s="168">
        <v>931.0</v>
      </c>
      <c r="E34" s="17" t="s">
        <v>1925</v>
      </c>
      <c r="F34" s="17" t="s">
        <v>1926</v>
      </c>
      <c r="G34" s="17" t="s">
        <v>814</v>
      </c>
      <c r="H34" s="17" t="s">
        <v>621</v>
      </c>
      <c r="I34" s="17" t="s">
        <v>2356</v>
      </c>
      <c r="J34" s="17" t="s">
        <v>1051</v>
      </c>
      <c r="K34" s="17">
        <v>6.0</v>
      </c>
      <c r="L34" s="17">
        <v>50000.0</v>
      </c>
      <c r="M34" s="17"/>
      <c r="N34" s="17">
        <v>30.0</v>
      </c>
      <c r="O34" s="171">
        <f t="shared" si="5"/>
        <v>60</v>
      </c>
      <c r="P34" s="171">
        <f t="shared" si="7"/>
        <v>30</v>
      </c>
      <c r="Q34" s="17">
        <v>5.0</v>
      </c>
      <c r="R34" s="171">
        <f t="shared" si="9"/>
        <v>125</v>
      </c>
      <c r="S34" s="17" t="s">
        <v>2479</v>
      </c>
      <c r="T34" s="133" t="s">
        <v>2480</v>
      </c>
      <c r="U34" s="134" t="str">
        <f>HYPERLINK("https://drive.google.com/file/d/1JOJMsfUNgy2HxtocqtlkHAUoUwCI3LOz/view?usp=drivesdk","ATR-FTIR_Nabila Permana Syahrani_931")</f>
        <v>ATR-FTIR_Nabila Permana Syahrani_931</v>
      </c>
      <c r="V34" s="17" t="s">
        <v>2481</v>
      </c>
    </row>
    <row r="35">
      <c r="A35" s="149">
        <v>45638.0</v>
      </c>
      <c r="B35" s="149">
        <v>45638.0</v>
      </c>
      <c r="C35" s="17" t="s">
        <v>2353</v>
      </c>
      <c r="D35" s="168">
        <v>934.0</v>
      </c>
      <c r="E35" s="17" t="s">
        <v>1870</v>
      </c>
      <c r="F35" s="17" t="s">
        <v>1871</v>
      </c>
      <c r="G35" s="17" t="s">
        <v>1872</v>
      </c>
      <c r="H35" s="17" t="s">
        <v>621</v>
      </c>
      <c r="I35" s="17" t="s">
        <v>2356</v>
      </c>
      <c r="J35" s="17" t="s">
        <v>1051</v>
      </c>
      <c r="K35" s="17">
        <v>2.0</v>
      </c>
      <c r="L35" s="17">
        <v>50000.0</v>
      </c>
      <c r="M35" s="17"/>
      <c r="N35" s="17">
        <v>30.0</v>
      </c>
      <c r="O35" s="171">
        <f t="shared" si="5"/>
        <v>20</v>
      </c>
      <c r="P35" s="171">
        <f t="shared" si="7"/>
        <v>10</v>
      </c>
      <c r="Q35" s="17">
        <v>5.0</v>
      </c>
      <c r="R35" s="171">
        <f t="shared" si="9"/>
        <v>65</v>
      </c>
      <c r="S35" s="17" t="s">
        <v>2482</v>
      </c>
      <c r="T35" s="133" t="s">
        <v>2483</v>
      </c>
      <c r="U35" s="134" t="str">
        <f>HYPERLINK("https://drive.google.com/file/d/1I3wQ968tn7ZI2U3lgmrz83NwuupmUs39/view?usp=drivesdk","ATR-FTIR_Nadia Octaviani Faiq Salsabila_934")</f>
        <v>ATR-FTIR_Nadia Octaviani Faiq Salsabila_934</v>
      </c>
      <c r="V35" s="17" t="s">
        <v>2484</v>
      </c>
    </row>
    <row r="36">
      <c r="A36" s="149">
        <v>45643.0</v>
      </c>
      <c r="B36" s="149">
        <v>45643.0</v>
      </c>
      <c r="C36" s="17" t="s">
        <v>2353</v>
      </c>
      <c r="D36" s="168">
        <v>937.0</v>
      </c>
      <c r="E36" s="17" t="s">
        <v>1925</v>
      </c>
      <c r="F36" s="17" t="s">
        <v>2434</v>
      </c>
      <c r="G36" s="17" t="s">
        <v>814</v>
      </c>
      <c r="H36" s="17" t="s">
        <v>621</v>
      </c>
      <c r="I36" s="17" t="s">
        <v>2356</v>
      </c>
      <c r="J36" s="17" t="s">
        <v>1051</v>
      </c>
      <c r="K36" s="17">
        <v>18.0</v>
      </c>
      <c r="L36" s="17">
        <v>50000.0</v>
      </c>
      <c r="M36" s="17"/>
      <c r="N36" s="17">
        <v>30.0</v>
      </c>
      <c r="O36" s="171">
        <f t="shared" si="5"/>
        <v>180</v>
      </c>
      <c r="P36" s="171">
        <f t="shared" si="7"/>
        <v>90</v>
      </c>
      <c r="Q36" s="17">
        <v>5.0</v>
      </c>
      <c r="R36" s="171">
        <f t="shared" si="9"/>
        <v>305</v>
      </c>
      <c r="S36" s="17" t="s">
        <v>2485</v>
      </c>
      <c r="T36" s="133" t="s">
        <v>2486</v>
      </c>
      <c r="U36" s="134" t="str">
        <f>HYPERLINK("https://drive.google.com/file/d/1Ua4yoLnQIHJyJr16bwzc91n3EArmE-zT/view?usp=drivesdk","ATR-FTIR_Nabila Permana Syahrani_937")</f>
        <v>ATR-FTIR_Nabila Permana Syahrani_937</v>
      </c>
      <c r="V36" s="17" t="s">
        <v>2487</v>
      </c>
    </row>
    <row r="37">
      <c r="A37" s="149">
        <v>45649.0</v>
      </c>
      <c r="B37" s="149">
        <v>45650.0</v>
      </c>
      <c r="C37" s="17" t="s">
        <v>2353</v>
      </c>
      <c r="D37" s="168">
        <v>950.0</v>
      </c>
      <c r="E37" s="17" t="s">
        <v>1925</v>
      </c>
      <c r="F37" s="17" t="s">
        <v>2434</v>
      </c>
      <c r="G37" s="17" t="s">
        <v>814</v>
      </c>
      <c r="H37" s="17" t="s">
        <v>621</v>
      </c>
      <c r="I37" s="17" t="s">
        <v>2356</v>
      </c>
      <c r="J37" s="17" t="s">
        <v>1051</v>
      </c>
      <c r="K37" s="17">
        <v>12.0</v>
      </c>
      <c r="L37" s="17">
        <v>50000.0</v>
      </c>
      <c r="M37" s="17"/>
      <c r="N37" s="17">
        <v>30.0</v>
      </c>
      <c r="O37" s="171">
        <f t="shared" si="5"/>
        <v>120</v>
      </c>
      <c r="P37" s="171">
        <f t="shared" si="7"/>
        <v>60</v>
      </c>
      <c r="Q37" s="17">
        <v>5.0</v>
      </c>
      <c r="R37" s="171">
        <f t="shared" si="9"/>
        <v>215</v>
      </c>
      <c r="S37" s="17" t="s">
        <v>2488</v>
      </c>
      <c r="T37" s="133" t="s">
        <v>2489</v>
      </c>
      <c r="U37" s="134" t="str">
        <f>HYPERLINK("https://drive.google.com/file/d/1jI63XRfxckRwEC1EArPl_OT9IrkhVpjv/view?usp=drivesdk","ATR-FTIR_Nabila Permana Syahrani_950")</f>
        <v>ATR-FTIR_Nabila Permana Syahrani_950</v>
      </c>
      <c r="V37" s="17" t="s">
        <v>2490</v>
      </c>
    </row>
    <row r="38">
      <c r="A38" s="149">
        <v>45656.0</v>
      </c>
      <c r="B38" s="149">
        <v>45656.0</v>
      </c>
      <c r="C38" s="17" t="s">
        <v>2353</v>
      </c>
      <c r="D38" s="168">
        <v>956.0</v>
      </c>
      <c r="E38" s="17" t="s">
        <v>1925</v>
      </c>
      <c r="F38" s="17" t="s">
        <v>2434</v>
      </c>
      <c r="G38" s="17" t="s">
        <v>814</v>
      </c>
      <c r="H38" s="17" t="s">
        <v>621</v>
      </c>
      <c r="I38" s="17" t="s">
        <v>2356</v>
      </c>
      <c r="J38" s="17" t="s">
        <v>1051</v>
      </c>
      <c r="K38" s="17">
        <v>30.0</v>
      </c>
      <c r="L38" s="17">
        <v>50000.0</v>
      </c>
      <c r="M38" s="17"/>
      <c r="N38" s="17">
        <v>30.0</v>
      </c>
      <c r="O38" s="171">
        <f t="shared" si="5"/>
        <v>300</v>
      </c>
      <c r="P38" s="171">
        <f t="shared" si="7"/>
        <v>150</v>
      </c>
      <c r="Q38" s="17">
        <v>5.0</v>
      </c>
      <c r="R38" s="171">
        <f t="shared" si="9"/>
        <v>485</v>
      </c>
      <c r="S38" s="17" t="s">
        <v>2491</v>
      </c>
      <c r="T38" s="133" t="s">
        <v>2492</v>
      </c>
      <c r="U38" s="134" t="str">
        <f>HYPERLINK("https://drive.google.com/file/d/1G4jhjXrJMhbcUc37T9GENsWBDpAvDiOZ/view?usp=drivesdk","ATR-FTIR_Nabila Permana Syahrani_956")</f>
        <v>ATR-FTIR_Nabila Permana Syahrani_956</v>
      </c>
      <c r="V38" s="17" t="s">
        <v>2490</v>
      </c>
    </row>
    <row r="39">
      <c r="A39" s="149">
        <v>45659.0</v>
      </c>
      <c r="B39" s="149">
        <v>45665.0</v>
      </c>
      <c r="C39" s="17" t="s">
        <v>2353</v>
      </c>
      <c r="D39" s="168">
        <v>963.0</v>
      </c>
      <c r="E39" s="136" t="s">
        <v>2493</v>
      </c>
      <c r="F39" s="136" t="s">
        <v>2494</v>
      </c>
      <c r="G39" s="136" t="s">
        <v>1132</v>
      </c>
      <c r="H39" s="17" t="s">
        <v>541</v>
      </c>
      <c r="I39" s="17" t="s">
        <v>2356</v>
      </c>
      <c r="J39" s="17" t="s">
        <v>1051</v>
      </c>
      <c r="K39" s="17">
        <v>2.0</v>
      </c>
      <c r="L39" s="17">
        <v>100000.0</v>
      </c>
      <c r="M39" s="140">
        <f t="shared" ref="M39:M134" si="10">K39*L39</f>
        <v>200000</v>
      </c>
      <c r="N39" s="17">
        <v>30.0</v>
      </c>
      <c r="O39" s="171">
        <f t="shared" si="5"/>
        <v>20</v>
      </c>
      <c r="P39" s="171">
        <f t="shared" si="7"/>
        <v>10</v>
      </c>
      <c r="Q39" s="17">
        <v>5.0</v>
      </c>
      <c r="R39" s="171">
        <f t="shared" si="9"/>
        <v>65</v>
      </c>
      <c r="S39" s="17" t="s">
        <v>2495</v>
      </c>
      <c r="T39" s="133" t="s">
        <v>2496</v>
      </c>
      <c r="U39" s="134" t="str">
        <f>HYPERLINK("https://drive.google.com/file/d/1_hsCD8VBZsaEzVWQstNVAl635n7iUWP2/view?usp=drivesdk","ATR-FTIR_Bela Anisa Putri_963")</f>
        <v>ATR-FTIR_Bela Anisa Putri_963</v>
      </c>
      <c r="V39" s="17" t="s">
        <v>2497</v>
      </c>
    </row>
    <row r="40">
      <c r="A40" s="149">
        <v>45659.0</v>
      </c>
      <c r="B40" s="149">
        <v>45665.0</v>
      </c>
      <c r="C40" s="17" t="s">
        <v>2353</v>
      </c>
      <c r="D40" s="168">
        <v>965.0</v>
      </c>
      <c r="E40" s="136" t="s">
        <v>2498</v>
      </c>
      <c r="F40" s="233">
        <v>2.1108005E7</v>
      </c>
      <c r="G40" s="136" t="s">
        <v>2499</v>
      </c>
      <c r="H40" s="17" t="s">
        <v>541</v>
      </c>
      <c r="I40" s="17" t="s">
        <v>2356</v>
      </c>
      <c r="J40" s="17" t="s">
        <v>1051</v>
      </c>
      <c r="K40" s="17">
        <v>4.0</v>
      </c>
      <c r="L40" s="17">
        <v>100000.0</v>
      </c>
      <c r="M40" s="140">
        <f t="shared" si="10"/>
        <v>400000</v>
      </c>
      <c r="N40" s="17">
        <v>30.0</v>
      </c>
      <c r="O40" s="171">
        <f t="shared" si="5"/>
        <v>40</v>
      </c>
      <c r="P40" s="171">
        <f t="shared" si="7"/>
        <v>20</v>
      </c>
      <c r="Q40" s="17">
        <v>5.0</v>
      </c>
      <c r="R40" s="171">
        <f t="shared" si="9"/>
        <v>95</v>
      </c>
      <c r="S40" s="17" t="s">
        <v>2500</v>
      </c>
      <c r="T40" s="133" t="s">
        <v>2501</v>
      </c>
      <c r="U40" s="134" t="str">
        <f>HYPERLINK("https://drive.google.com/file/d/1bXsZAvlBMNQ5IgCyctLJF4DwlWeBuFaS/view?usp=drivesdk","ATR-FTIR_Deli Suci Rahma Sari_965")</f>
        <v>ATR-FTIR_Deli Suci Rahma Sari_965</v>
      </c>
      <c r="V40" s="17" t="s">
        <v>2502</v>
      </c>
    </row>
    <row r="41">
      <c r="A41" s="149">
        <v>45659.0</v>
      </c>
      <c r="B41" s="149">
        <v>45665.0</v>
      </c>
      <c r="C41" s="17" t="s">
        <v>2353</v>
      </c>
      <c r="D41" s="168">
        <v>966.0</v>
      </c>
      <c r="E41" s="136" t="s">
        <v>2503</v>
      </c>
      <c r="F41" s="233">
        <v>2.110802E7</v>
      </c>
      <c r="G41" s="136" t="s">
        <v>2499</v>
      </c>
      <c r="H41" s="17" t="s">
        <v>541</v>
      </c>
      <c r="I41" s="17" t="s">
        <v>2356</v>
      </c>
      <c r="J41" s="17" t="s">
        <v>1051</v>
      </c>
      <c r="K41" s="17">
        <v>4.0</v>
      </c>
      <c r="L41" s="17">
        <v>100000.0</v>
      </c>
      <c r="M41" s="140">
        <f t="shared" si="10"/>
        <v>400000</v>
      </c>
      <c r="N41" s="17">
        <v>30.0</v>
      </c>
      <c r="O41" s="171">
        <f t="shared" si="5"/>
        <v>40</v>
      </c>
      <c r="P41" s="171">
        <f t="shared" si="7"/>
        <v>20</v>
      </c>
      <c r="Q41" s="17">
        <v>5.0</v>
      </c>
      <c r="R41" s="171">
        <f t="shared" si="9"/>
        <v>95</v>
      </c>
      <c r="S41" s="17" t="s">
        <v>2504</v>
      </c>
      <c r="T41" s="133" t="s">
        <v>2505</v>
      </c>
      <c r="U41" s="134" t="str">
        <f>HYPERLINK("https://drive.google.com/file/d/18GtlKfitD6dX1CBaYzzCOdVMz1zAoCic/view?usp=drivesdk","ATR-FTIR_Royyan Nomiashkhaf Sudiono_966")</f>
        <v>ATR-FTIR_Royyan Nomiashkhaf Sudiono_966</v>
      </c>
      <c r="V41" s="17" t="s">
        <v>2502</v>
      </c>
    </row>
    <row r="42">
      <c r="A42" s="149">
        <v>45660.0</v>
      </c>
      <c r="B42" s="149">
        <v>45665.0</v>
      </c>
      <c r="C42" s="17" t="s">
        <v>2353</v>
      </c>
      <c r="D42" s="168">
        <v>970.0</v>
      </c>
      <c r="E42" s="136" t="s">
        <v>2506</v>
      </c>
      <c r="F42" s="136" t="s">
        <v>2507</v>
      </c>
      <c r="G42" s="136" t="s">
        <v>2508</v>
      </c>
      <c r="H42" s="17" t="s">
        <v>621</v>
      </c>
      <c r="I42" s="17" t="s">
        <v>2356</v>
      </c>
      <c r="J42" s="17" t="s">
        <v>1051</v>
      </c>
      <c r="K42" s="17">
        <v>1.0</v>
      </c>
      <c r="L42" s="17">
        <v>50000.0</v>
      </c>
      <c r="M42" s="140">
        <f t="shared" si="10"/>
        <v>50000</v>
      </c>
      <c r="N42" s="17">
        <v>30.0</v>
      </c>
      <c r="O42" s="171">
        <f t="shared" si="5"/>
        <v>10</v>
      </c>
      <c r="P42" s="171">
        <f t="shared" si="7"/>
        <v>5</v>
      </c>
      <c r="Q42" s="17">
        <v>5.0</v>
      </c>
      <c r="R42" s="171">
        <f t="shared" si="9"/>
        <v>50</v>
      </c>
      <c r="S42" s="17" t="s">
        <v>2509</v>
      </c>
      <c r="T42" s="133" t="s">
        <v>2510</v>
      </c>
      <c r="U42" s="134" t="str">
        <f>HYPERLINK("https://drive.google.com/file/d/1F4HtNAsV5IzEFle58OpUIeL1B8oUtOXC/view?usp=drivesdk","ATR-FTIR_Abiyoga Nugroho_970")</f>
        <v>ATR-FTIR_Abiyoga Nugroho_970</v>
      </c>
      <c r="V42" s="17" t="s">
        <v>2502</v>
      </c>
    </row>
    <row r="43">
      <c r="A43" s="149">
        <v>45670.0</v>
      </c>
      <c r="B43" s="149">
        <v>45670.0</v>
      </c>
      <c r="C43" s="17" t="s">
        <v>2353</v>
      </c>
      <c r="D43" s="168">
        <v>1.0</v>
      </c>
      <c r="E43" s="136" t="s">
        <v>2511</v>
      </c>
      <c r="F43" s="233">
        <v>2.1108023E7</v>
      </c>
      <c r="G43" s="136" t="s">
        <v>2512</v>
      </c>
      <c r="H43" s="17" t="s">
        <v>541</v>
      </c>
      <c r="I43" s="17" t="s">
        <v>2356</v>
      </c>
      <c r="J43" s="17" t="s">
        <v>1051</v>
      </c>
      <c r="K43" s="17">
        <v>4.0</v>
      </c>
      <c r="L43" s="17">
        <v>100000.0</v>
      </c>
      <c r="M43" s="140">
        <f t="shared" si="10"/>
        <v>400000</v>
      </c>
      <c r="N43" s="17">
        <v>30.0</v>
      </c>
      <c r="O43" s="171">
        <f>10*(K43)</f>
        <v>40</v>
      </c>
      <c r="P43" s="171">
        <f t="shared" si="7"/>
        <v>20</v>
      </c>
      <c r="Q43" s="17">
        <v>5.0</v>
      </c>
      <c r="R43" s="171">
        <f t="shared" si="9"/>
        <v>95</v>
      </c>
      <c r="S43" s="17" t="s">
        <v>2513</v>
      </c>
      <c r="T43" s="133" t="s">
        <v>2514</v>
      </c>
      <c r="U43" s="134" t="str">
        <f>HYPERLINK("https://drive.google.com/file/d/1Ry1jylHzTkqDNAiCiEL_zOsnK3aHNPJZ/view?usp=drivesdk","ATR-FTIR_Andi Agun Pangeran Amjan_1")</f>
        <v>ATR-FTIR_Andi Agun Pangeran Amjan_1</v>
      </c>
      <c r="V43" s="17" t="s">
        <v>2515</v>
      </c>
    </row>
    <row r="44">
      <c r="A44" s="149">
        <v>45677.0</v>
      </c>
      <c r="B44" s="149">
        <v>45679.0</v>
      </c>
      <c r="C44" s="17" t="s">
        <v>2353</v>
      </c>
      <c r="D44" s="168">
        <v>28.0</v>
      </c>
      <c r="E44" s="17" t="s">
        <v>2516</v>
      </c>
      <c r="F44" s="17" t="s">
        <v>2517</v>
      </c>
      <c r="G44" s="136" t="s">
        <v>2508</v>
      </c>
      <c r="H44" s="17" t="s">
        <v>621</v>
      </c>
      <c r="I44" s="17" t="s">
        <v>2356</v>
      </c>
      <c r="J44" s="17" t="s">
        <v>1051</v>
      </c>
      <c r="K44" s="17">
        <v>1.0</v>
      </c>
      <c r="L44" s="17">
        <v>50000.0</v>
      </c>
      <c r="M44" s="140">
        <f t="shared" si="10"/>
        <v>50000</v>
      </c>
      <c r="N44" s="17">
        <v>30.0</v>
      </c>
      <c r="O44" s="171">
        <f t="shared" ref="O44:O134" si="11">10*K44</f>
        <v>10</v>
      </c>
      <c r="P44" s="171">
        <f t="shared" si="7"/>
        <v>5</v>
      </c>
      <c r="Q44" s="17">
        <v>5.0</v>
      </c>
      <c r="R44" s="171">
        <f t="shared" si="9"/>
        <v>50</v>
      </c>
      <c r="S44" s="17" t="s">
        <v>2518</v>
      </c>
      <c r="T44" s="133" t="s">
        <v>2519</v>
      </c>
      <c r="U44" s="134" t="str">
        <f>HYPERLINK("https://drive.google.com/file/d/1tM7-mn9_5qX-SPUmyJBjJg7ELLxJE4e3/view?usp=drivesdk","ATR-FTIR_Defiana Apriliani_28")</f>
        <v>ATR-FTIR_Defiana Apriliani_28</v>
      </c>
      <c r="V44" s="17" t="s">
        <v>2520</v>
      </c>
    </row>
    <row r="45">
      <c r="A45" s="149">
        <v>45677.0</v>
      </c>
      <c r="B45" s="149">
        <v>45679.0</v>
      </c>
      <c r="C45" s="17" t="s">
        <v>2353</v>
      </c>
      <c r="D45" s="168">
        <v>32.0</v>
      </c>
      <c r="E45" s="17" t="s">
        <v>774</v>
      </c>
      <c r="F45" s="17" t="s">
        <v>775</v>
      </c>
      <c r="G45" s="136" t="s">
        <v>2508</v>
      </c>
      <c r="H45" s="17" t="s">
        <v>621</v>
      </c>
      <c r="I45" s="17" t="s">
        <v>2356</v>
      </c>
      <c r="J45" s="17" t="s">
        <v>1051</v>
      </c>
      <c r="K45" s="17">
        <v>5.0</v>
      </c>
      <c r="L45" s="17">
        <v>50000.0</v>
      </c>
      <c r="M45" s="140">
        <f t="shared" si="10"/>
        <v>250000</v>
      </c>
      <c r="N45" s="17">
        <v>30.0</v>
      </c>
      <c r="O45" s="171">
        <f t="shared" si="11"/>
        <v>50</v>
      </c>
      <c r="P45" s="171">
        <f t="shared" si="7"/>
        <v>25</v>
      </c>
      <c r="Q45" s="17">
        <v>5.0</v>
      </c>
      <c r="R45" s="171">
        <f t="shared" si="9"/>
        <v>110</v>
      </c>
      <c r="S45" s="17" t="s">
        <v>2521</v>
      </c>
      <c r="T45" s="133" t="s">
        <v>2522</v>
      </c>
      <c r="U45" s="134" t="str">
        <f>HYPERLINK("https://drive.google.com/file/d/1Q1ZvIZUP8I-ahDQrJ2mNaYs0U1BqGkTP/view?usp=drivesdk","ATR-FTIR_Dyah Ayu Fitria Ningsih_32")</f>
        <v>ATR-FTIR_Dyah Ayu Fitria Ningsih_32</v>
      </c>
      <c r="V45" s="17" t="s">
        <v>2520</v>
      </c>
    </row>
    <row r="46">
      <c r="A46" s="149">
        <v>45680.0</v>
      </c>
      <c r="B46" s="149">
        <v>45680.0</v>
      </c>
      <c r="C46" s="17" t="s">
        <v>2353</v>
      </c>
      <c r="D46" s="168">
        <v>44.0</v>
      </c>
      <c r="E46" s="17" t="s">
        <v>2108</v>
      </c>
      <c r="F46" s="17" t="s">
        <v>2109</v>
      </c>
      <c r="G46" s="17" t="s">
        <v>2508</v>
      </c>
      <c r="H46" s="17" t="s">
        <v>621</v>
      </c>
      <c r="I46" s="17" t="s">
        <v>2356</v>
      </c>
      <c r="J46" s="17" t="s">
        <v>1051</v>
      </c>
      <c r="K46" s="17">
        <v>3.0</v>
      </c>
      <c r="L46" s="17">
        <v>50000.0</v>
      </c>
      <c r="M46" s="140">
        <f t="shared" si="10"/>
        <v>150000</v>
      </c>
      <c r="N46" s="17">
        <v>30.0</v>
      </c>
      <c r="O46" s="171">
        <f t="shared" si="11"/>
        <v>30</v>
      </c>
      <c r="P46" s="171">
        <f t="shared" si="7"/>
        <v>15</v>
      </c>
      <c r="Q46" s="17">
        <v>5.0</v>
      </c>
      <c r="R46" s="171">
        <f t="shared" si="9"/>
        <v>80</v>
      </c>
      <c r="S46" s="17" t="s">
        <v>2523</v>
      </c>
      <c r="T46" s="133" t="s">
        <v>2524</v>
      </c>
      <c r="U46" s="134" t="str">
        <f>HYPERLINK("https://drive.google.com/file/d/1bKN9TUFFlUhNx2vrtpSKJj_LIO3NtHOD/view?usp=drivesdk","ATR-FTIR_Rizqi Apriliyani_44")</f>
        <v>ATR-FTIR_Rizqi Apriliyani_44</v>
      </c>
      <c r="V46" s="17" t="s">
        <v>2525</v>
      </c>
    </row>
    <row r="47">
      <c r="A47" s="149">
        <v>45692.0</v>
      </c>
      <c r="B47" s="149">
        <v>45695.0</v>
      </c>
      <c r="C47" s="17" t="s">
        <v>2353</v>
      </c>
      <c r="D47" s="168">
        <v>72.0</v>
      </c>
      <c r="E47" s="136" t="s">
        <v>2526</v>
      </c>
      <c r="F47" s="136" t="s">
        <v>2527</v>
      </c>
      <c r="G47" s="136" t="s">
        <v>2528</v>
      </c>
      <c r="H47" s="17" t="s">
        <v>621</v>
      </c>
      <c r="I47" s="17" t="s">
        <v>2356</v>
      </c>
      <c r="J47" s="17" t="s">
        <v>1051</v>
      </c>
      <c r="K47" s="17">
        <v>1.0</v>
      </c>
      <c r="L47" s="17">
        <v>50000.0</v>
      </c>
      <c r="M47" s="140">
        <f t="shared" si="10"/>
        <v>50000</v>
      </c>
      <c r="N47" s="17">
        <v>30.0</v>
      </c>
      <c r="O47" s="171">
        <f t="shared" si="11"/>
        <v>10</v>
      </c>
      <c r="P47" s="171">
        <f t="shared" si="7"/>
        <v>5</v>
      </c>
      <c r="Q47" s="17">
        <v>5.0</v>
      </c>
      <c r="R47" s="171">
        <f t="shared" si="9"/>
        <v>50</v>
      </c>
      <c r="S47" s="17" t="s">
        <v>2529</v>
      </c>
      <c r="T47" s="133" t="s">
        <v>2530</v>
      </c>
      <c r="U47" s="134" t="str">
        <f>HYPERLINK("https://drive.google.com/file/d/1cJNsz19nI7VBaWDl_sdGM9TvpVLq5fPY/view?usp=drivesdk","ATR-FTIR_Aurelia Roswita Salu_72")</f>
        <v>ATR-FTIR_Aurelia Roswita Salu_72</v>
      </c>
      <c r="V47" s="17" t="s">
        <v>2531</v>
      </c>
    </row>
    <row r="48">
      <c r="A48" s="149">
        <v>45693.0</v>
      </c>
      <c r="B48" s="149">
        <v>45695.0</v>
      </c>
      <c r="C48" s="17" t="s">
        <v>2353</v>
      </c>
      <c r="D48" s="168">
        <v>77.0</v>
      </c>
      <c r="E48" s="136" t="s">
        <v>2532</v>
      </c>
      <c r="F48" s="136" t="s">
        <v>2533</v>
      </c>
      <c r="G48" s="136" t="s">
        <v>2534</v>
      </c>
      <c r="H48" s="17" t="s">
        <v>621</v>
      </c>
      <c r="I48" s="17" t="s">
        <v>2356</v>
      </c>
      <c r="J48" s="17" t="s">
        <v>1051</v>
      </c>
      <c r="K48" s="17">
        <v>6.0</v>
      </c>
      <c r="L48" s="17">
        <v>50000.0</v>
      </c>
      <c r="M48" s="140">
        <f t="shared" si="10"/>
        <v>300000</v>
      </c>
      <c r="N48" s="17">
        <v>30.0</v>
      </c>
      <c r="O48" s="171">
        <f t="shared" si="11"/>
        <v>60</v>
      </c>
      <c r="P48" s="171">
        <f t="shared" si="7"/>
        <v>30</v>
      </c>
      <c r="Q48" s="17">
        <v>5.0</v>
      </c>
      <c r="R48" s="171">
        <f t="shared" si="9"/>
        <v>125</v>
      </c>
      <c r="S48" s="17" t="s">
        <v>2535</v>
      </c>
      <c r="T48" s="133" t="s">
        <v>2536</v>
      </c>
      <c r="U48" s="134" t="str">
        <f>HYPERLINK("https://drive.google.com/file/d/1dOIeTAUcTaap6Ek8dr0WTGvCzViKOv62/view?usp=drivesdk","ATR-FTIR_Ririn Nur Fadhilah _77")</f>
        <v>ATR-FTIR_Ririn Nur Fadhilah _77</v>
      </c>
      <c r="V48" s="17" t="s">
        <v>2531</v>
      </c>
    </row>
    <row r="49">
      <c r="A49" s="149">
        <v>45699.0</v>
      </c>
      <c r="B49" s="149">
        <v>45700.0</v>
      </c>
      <c r="C49" s="17" t="s">
        <v>2353</v>
      </c>
      <c r="D49" s="168">
        <v>89.0</v>
      </c>
      <c r="E49" s="17" t="s">
        <v>2537</v>
      </c>
      <c r="F49" s="17" t="s">
        <v>155</v>
      </c>
      <c r="G49" s="17" t="s">
        <v>2538</v>
      </c>
      <c r="H49" s="17" t="s">
        <v>541</v>
      </c>
      <c r="I49" s="17" t="s">
        <v>2356</v>
      </c>
      <c r="J49" s="17" t="s">
        <v>1051</v>
      </c>
      <c r="K49" s="17">
        <v>2.0</v>
      </c>
      <c r="L49" s="17">
        <v>100000.0</v>
      </c>
      <c r="M49" s="140">
        <f t="shared" si="10"/>
        <v>200000</v>
      </c>
      <c r="N49" s="17">
        <v>30.0</v>
      </c>
      <c r="O49" s="171">
        <f t="shared" si="11"/>
        <v>20</v>
      </c>
      <c r="P49" s="171">
        <f t="shared" si="7"/>
        <v>10</v>
      </c>
      <c r="Q49" s="17">
        <v>5.0</v>
      </c>
      <c r="R49" s="171">
        <f t="shared" si="9"/>
        <v>65</v>
      </c>
      <c r="S49" s="17" t="s">
        <v>2539</v>
      </c>
      <c r="T49" s="133" t="s">
        <v>2540</v>
      </c>
      <c r="U49" s="134" t="str">
        <f>HYPERLINK("https://drive.google.com/file/d/17Wb5euAabi19es-Kr2m_G6c2eTc6bUWg/view?usp=drivesdk","ATR-FTIR_Candra_89")</f>
        <v>ATR-FTIR_Candra_89</v>
      </c>
      <c r="V49" s="17" t="s">
        <v>2541</v>
      </c>
    </row>
    <row r="50">
      <c r="A50" s="149">
        <v>45715.0</v>
      </c>
      <c r="B50" s="149">
        <v>45716.0</v>
      </c>
      <c r="C50" s="17" t="s">
        <v>2353</v>
      </c>
      <c r="D50" s="168">
        <v>138.0</v>
      </c>
      <c r="E50" s="17" t="s">
        <v>774</v>
      </c>
      <c r="F50" s="17" t="s">
        <v>775</v>
      </c>
      <c r="G50" s="17" t="s">
        <v>2508</v>
      </c>
      <c r="H50" s="17" t="s">
        <v>621</v>
      </c>
      <c r="I50" s="17" t="s">
        <v>2356</v>
      </c>
      <c r="J50" s="17" t="s">
        <v>1051</v>
      </c>
      <c r="K50" s="17">
        <v>3.0</v>
      </c>
      <c r="L50" s="17">
        <v>50000.0</v>
      </c>
      <c r="M50" s="140">
        <f t="shared" si="10"/>
        <v>150000</v>
      </c>
      <c r="N50" s="17">
        <v>30.0</v>
      </c>
      <c r="O50" s="171">
        <f t="shared" si="11"/>
        <v>30</v>
      </c>
      <c r="P50" s="171">
        <f t="shared" si="7"/>
        <v>15</v>
      </c>
      <c r="Q50" s="17">
        <v>5.0</v>
      </c>
      <c r="R50" s="171">
        <f t="shared" si="9"/>
        <v>80</v>
      </c>
      <c r="S50" s="17" t="s">
        <v>2542</v>
      </c>
      <c r="T50" s="133" t="s">
        <v>2543</v>
      </c>
      <c r="U50" s="134" t="str">
        <f>HYPERLINK("https://drive.google.com/file/d/1WPH-vI0YwdUeC1cdnr0-rvPhh6dV8FF5/view?usp=drivesdk","ATR-FTIR_Dyah Ayu Fitria Ningsih_138")</f>
        <v>ATR-FTIR_Dyah Ayu Fitria Ningsih_138</v>
      </c>
      <c r="V50" s="17" t="s">
        <v>2544</v>
      </c>
    </row>
    <row r="51">
      <c r="A51" s="149">
        <v>45719.0</v>
      </c>
      <c r="B51" s="149">
        <v>45719.0</v>
      </c>
      <c r="C51" s="17" t="s">
        <v>2353</v>
      </c>
      <c r="D51" s="168">
        <v>144.0</v>
      </c>
      <c r="E51" s="17" t="s">
        <v>2401</v>
      </c>
      <c r="F51" s="17" t="s">
        <v>2527</v>
      </c>
      <c r="G51" s="17" t="s">
        <v>2377</v>
      </c>
      <c r="H51" s="17" t="s">
        <v>621</v>
      </c>
      <c r="I51" s="17" t="s">
        <v>2356</v>
      </c>
      <c r="J51" s="17" t="s">
        <v>1051</v>
      </c>
      <c r="K51" s="17">
        <v>1.0</v>
      </c>
      <c r="L51" s="17">
        <v>50000.0</v>
      </c>
      <c r="M51" s="140">
        <f t="shared" si="10"/>
        <v>50000</v>
      </c>
      <c r="N51" s="17">
        <v>30.0</v>
      </c>
      <c r="O51" s="171">
        <f t="shared" si="11"/>
        <v>10</v>
      </c>
      <c r="P51" s="171">
        <f t="shared" si="7"/>
        <v>5</v>
      </c>
      <c r="Q51" s="17">
        <v>5.0</v>
      </c>
      <c r="R51" s="171">
        <f t="shared" si="9"/>
        <v>50</v>
      </c>
      <c r="S51" s="17" t="s">
        <v>2545</v>
      </c>
      <c r="T51" s="133" t="s">
        <v>2546</v>
      </c>
      <c r="U51" s="134" t="str">
        <f>HYPERLINK("https://drive.google.com/file/d/1lOpdwz-ZYSmub0LopOCWmGzC5qYQi39Q/view?usp=drivesdk","ATR-FTIR_Nala Ridhwanul Mu'izzah_144")</f>
        <v>ATR-FTIR_Nala Ridhwanul Mu'izzah_144</v>
      </c>
      <c r="V51" s="17" t="s">
        <v>2547</v>
      </c>
    </row>
    <row r="52">
      <c r="A52" s="149">
        <v>45734.0</v>
      </c>
      <c r="B52" s="149">
        <v>45734.0</v>
      </c>
      <c r="C52" s="17" t="s">
        <v>2353</v>
      </c>
      <c r="D52" s="168">
        <v>169.0</v>
      </c>
      <c r="E52" s="17" t="s">
        <v>2548</v>
      </c>
      <c r="F52" s="17" t="s">
        <v>2549</v>
      </c>
      <c r="G52" s="17" t="s">
        <v>799</v>
      </c>
      <c r="H52" s="17" t="s">
        <v>621</v>
      </c>
      <c r="I52" s="17" t="s">
        <v>2356</v>
      </c>
      <c r="J52" s="17" t="s">
        <v>1051</v>
      </c>
      <c r="K52" s="17">
        <v>4.0</v>
      </c>
      <c r="L52" s="17">
        <v>50000.0</v>
      </c>
      <c r="M52" s="140">
        <f t="shared" si="10"/>
        <v>200000</v>
      </c>
      <c r="N52" s="17">
        <v>30.0</v>
      </c>
      <c r="O52" s="171">
        <f t="shared" si="11"/>
        <v>40</v>
      </c>
      <c r="P52" s="171">
        <f t="shared" si="7"/>
        <v>20</v>
      </c>
      <c r="Q52" s="17">
        <v>5.0</v>
      </c>
      <c r="R52" s="171">
        <f t="shared" si="9"/>
        <v>95</v>
      </c>
      <c r="S52" s="17" t="s">
        <v>2550</v>
      </c>
      <c r="T52" s="133" t="s">
        <v>2551</v>
      </c>
      <c r="U52" s="134" t="str">
        <f>HYPERLINK("https://drive.google.com/file/d/1D6rX6GheK_VPx3Z69YjlOiJCDgTjs6NY/view?usp=drivesdk","ATR-FTIR_Dofito Hanifah Kusindarto_169")</f>
        <v>ATR-FTIR_Dofito Hanifah Kusindarto_169</v>
      </c>
      <c r="V52" s="17" t="s">
        <v>2552</v>
      </c>
    </row>
    <row r="53">
      <c r="A53" s="149">
        <v>45734.0</v>
      </c>
      <c r="B53" s="149">
        <v>45737.0</v>
      </c>
      <c r="C53" s="17" t="s">
        <v>2353</v>
      </c>
      <c r="D53" s="168">
        <v>171.0</v>
      </c>
      <c r="E53" s="17" t="s">
        <v>2553</v>
      </c>
      <c r="F53" s="17" t="s">
        <v>2554</v>
      </c>
      <c r="G53" s="17" t="s">
        <v>1132</v>
      </c>
      <c r="H53" s="17" t="s">
        <v>541</v>
      </c>
      <c r="I53" s="17" t="s">
        <v>2356</v>
      </c>
      <c r="J53" s="17" t="s">
        <v>1051</v>
      </c>
      <c r="K53" s="17">
        <v>4.0</v>
      </c>
      <c r="L53" s="17">
        <v>50000.0</v>
      </c>
      <c r="M53" s="140">
        <f t="shared" si="10"/>
        <v>200000</v>
      </c>
      <c r="N53" s="17">
        <v>30.0</v>
      </c>
      <c r="O53" s="171">
        <f t="shared" si="11"/>
        <v>40</v>
      </c>
      <c r="P53" s="171">
        <f t="shared" si="7"/>
        <v>20</v>
      </c>
      <c r="Q53" s="17">
        <v>5.0</v>
      </c>
      <c r="R53" s="171">
        <f t="shared" si="9"/>
        <v>95</v>
      </c>
      <c r="S53" s="17" t="s">
        <v>2555</v>
      </c>
      <c r="T53" s="133" t="s">
        <v>2556</v>
      </c>
      <c r="U53" s="134" t="str">
        <f>HYPERLINK("https://drive.google.com/file/d/1nq_1-BdkojYNT-gFNgKYaTMA-8ouD6bI/view?usp=drivesdk","ATR-FTIR_Nunggal Satriya Utama_171")</f>
        <v>ATR-FTIR_Nunggal Satriya Utama_171</v>
      </c>
      <c r="V53" s="17" t="s">
        <v>2557</v>
      </c>
    </row>
    <row r="54">
      <c r="A54" s="149">
        <v>45737.0</v>
      </c>
      <c r="B54" s="149">
        <v>45737.0</v>
      </c>
      <c r="C54" s="17" t="s">
        <v>2353</v>
      </c>
      <c r="D54" s="168">
        <v>180.0</v>
      </c>
      <c r="E54" s="17" t="s">
        <v>2558</v>
      </c>
      <c r="F54" s="17" t="s">
        <v>2559</v>
      </c>
      <c r="G54" s="17" t="s">
        <v>2560</v>
      </c>
      <c r="H54" s="17" t="s">
        <v>541</v>
      </c>
      <c r="I54" s="17" t="s">
        <v>2356</v>
      </c>
      <c r="J54" s="17" t="s">
        <v>1051</v>
      </c>
      <c r="K54" s="17">
        <v>6.0</v>
      </c>
      <c r="L54" s="17">
        <v>50000.0</v>
      </c>
      <c r="M54" s="140">
        <f t="shared" si="10"/>
        <v>300000</v>
      </c>
      <c r="N54" s="17">
        <v>30.0</v>
      </c>
      <c r="O54" s="171">
        <f t="shared" si="11"/>
        <v>60</v>
      </c>
      <c r="P54" s="171">
        <f t="shared" si="7"/>
        <v>30</v>
      </c>
      <c r="Q54" s="17">
        <v>5.0</v>
      </c>
      <c r="R54" s="171">
        <f t="shared" si="9"/>
        <v>125</v>
      </c>
      <c r="S54" s="17" t="s">
        <v>2561</v>
      </c>
      <c r="T54" s="133" t="s">
        <v>2562</v>
      </c>
      <c r="U54" s="134" t="str">
        <f>HYPERLINK("https://drive.google.com/file/d/1wOkExxNv8f7l7S9U5BbrqmeLMRYL1hYV/view?usp=drivesdk","ATR-FTIR_Gerald Christiano_180")</f>
        <v>ATR-FTIR_Gerald Christiano_180</v>
      </c>
      <c r="V54" s="17" t="s">
        <v>2557</v>
      </c>
    </row>
    <row r="55">
      <c r="A55" s="149">
        <v>45769.0</v>
      </c>
      <c r="B55" s="149">
        <v>45776.0</v>
      </c>
      <c r="C55" s="17" t="s">
        <v>2353</v>
      </c>
      <c r="D55" s="168">
        <v>216.0</v>
      </c>
      <c r="E55" s="17" t="s">
        <v>786</v>
      </c>
      <c r="F55" s="17" t="s">
        <v>2527</v>
      </c>
      <c r="G55" s="17" t="s">
        <v>2377</v>
      </c>
      <c r="H55" s="17" t="s">
        <v>621</v>
      </c>
      <c r="I55" s="17" t="s">
        <v>2356</v>
      </c>
      <c r="J55" s="17" t="s">
        <v>1051</v>
      </c>
      <c r="K55" s="17">
        <v>4.0</v>
      </c>
      <c r="L55" s="17">
        <v>50000.0</v>
      </c>
      <c r="M55" s="140">
        <f t="shared" si="10"/>
        <v>200000</v>
      </c>
      <c r="N55" s="17">
        <v>30.0</v>
      </c>
      <c r="O55" s="171">
        <f t="shared" si="11"/>
        <v>40</v>
      </c>
      <c r="P55" s="171">
        <f t="shared" si="7"/>
        <v>20</v>
      </c>
      <c r="Q55" s="17">
        <v>5.0</v>
      </c>
      <c r="R55" s="171">
        <f t="shared" si="9"/>
        <v>95</v>
      </c>
      <c r="S55" s="17" t="s">
        <v>2563</v>
      </c>
      <c r="T55" s="133" t="s">
        <v>2564</v>
      </c>
      <c r="U55" s="134" t="str">
        <f>HYPERLINK("https://drive.google.com/file/d/19UgdjwZATqVQJ9sNd7zEXRLtFmGsUeEg/view?usp=drivesdk","ATR-FTIR_Sabella Vegasty_216")</f>
        <v>ATR-FTIR_Sabella Vegasty_216</v>
      </c>
      <c r="V55" s="17" t="s">
        <v>2565</v>
      </c>
    </row>
    <row r="56">
      <c r="A56" s="149">
        <v>45775.0</v>
      </c>
      <c r="B56" s="149">
        <v>45776.0</v>
      </c>
      <c r="C56" s="17" t="s">
        <v>2353</v>
      </c>
      <c r="D56" s="168">
        <v>231.0</v>
      </c>
      <c r="E56" s="17" t="s">
        <v>2566</v>
      </c>
      <c r="F56" s="17" t="s">
        <v>2567</v>
      </c>
      <c r="G56" s="17" t="s">
        <v>2568</v>
      </c>
      <c r="H56" s="17" t="s">
        <v>541</v>
      </c>
      <c r="I56" s="17" t="s">
        <v>2356</v>
      </c>
      <c r="J56" s="17" t="s">
        <v>1051</v>
      </c>
      <c r="K56" s="17">
        <v>1.0</v>
      </c>
      <c r="L56" s="17">
        <v>50000.0</v>
      </c>
      <c r="M56" s="140">
        <f t="shared" si="10"/>
        <v>50000</v>
      </c>
      <c r="N56" s="17">
        <v>30.0</v>
      </c>
      <c r="O56" s="171">
        <f t="shared" si="11"/>
        <v>10</v>
      </c>
      <c r="P56" s="171">
        <f t="shared" si="7"/>
        <v>5</v>
      </c>
      <c r="Q56" s="17">
        <v>5.0</v>
      </c>
      <c r="R56" s="171">
        <f>sum(N56:Q56)</f>
        <v>50</v>
      </c>
      <c r="S56" s="17" t="s">
        <v>2569</v>
      </c>
      <c r="T56" s="133" t="s">
        <v>2570</v>
      </c>
      <c r="U56" s="134" t="str">
        <f>HYPERLINK("https://drive.google.com/file/d/1P4UTDNbmAcuqP2nwTubxNDHjJighXQVi/view?usp=drivesdk","ATR-FTIR_Christian Hadhinata_231")</f>
        <v>ATR-FTIR_Christian Hadhinata_231</v>
      </c>
      <c r="V56" s="17" t="s">
        <v>2571</v>
      </c>
    </row>
    <row r="57">
      <c r="A57" s="149">
        <v>45775.0</v>
      </c>
      <c r="B57" s="149">
        <v>45776.0</v>
      </c>
      <c r="C57" s="17" t="s">
        <v>2353</v>
      </c>
      <c r="D57" s="168">
        <v>233.0</v>
      </c>
      <c r="E57" s="17" t="s">
        <v>1771</v>
      </c>
      <c r="F57" s="17">
        <v>3.0152425052E10</v>
      </c>
      <c r="G57" s="17" t="s">
        <v>2572</v>
      </c>
      <c r="I57" s="17" t="s">
        <v>2356</v>
      </c>
      <c r="J57" s="17" t="s">
        <v>1051</v>
      </c>
      <c r="K57" s="17">
        <v>2.0</v>
      </c>
      <c r="L57" s="17">
        <v>100000.0</v>
      </c>
      <c r="M57" s="140">
        <f t="shared" si="10"/>
        <v>200000</v>
      </c>
      <c r="N57" s="17">
        <v>30.0</v>
      </c>
      <c r="O57" s="171">
        <f t="shared" si="11"/>
        <v>20</v>
      </c>
      <c r="P57" s="171">
        <f t="shared" si="7"/>
        <v>10</v>
      </c>
      <c r="Q57" s="17">
        <v>5.0</v>
      </c>
      <c r="R57" s="171">
        <f t="shared" ref="R57:R134" si="12">SUM(N57:Q57)</f>
        <v>65</v>
      </c>
      <c r="S57" s="17" t="s">
        <v>2573</v>
      </c>
      <c r="T57" s="133" t="s">
        <v>2574</v>
      </c>
      <c r="U57" s="134" t="str">
        <f>HYPERLINK("https://drive.google.com/file/d/1rcRNwQ-FsDrNkdZ2JdPjHvb98jX6TXfB/view?usp=drivesdk","ATR-FTIR_Zacarich Widjoyo Arilo_233")</f>
        <v>ATR-FTIR_Zacarich Widjoyo Arilo_233</v>
      </c>
      <c r="V57" s="17" t="s">
        <v>2571</v>
      </c>
    </row>
    <row r="58">
      <c r="A58" s="149">
        <v>45784.0</v>
      </c>
      <c r="B58" s="149">
        <v>45791.0</v>
      </c>
      <c r="C58" s="17" t="s">
        <v>2353</v>
      </c>
      <c r="D58" s="278">
        <v>258.0</v>
      </c>
      <c r="E58" s="136" t="s">
        <v>2575</v>
      </c>
      <c r="F58" s="136" t="s">
        <v>2576</v>
      </c>
      <c r="G58" s="136" t="s">
        <v>1132</v>
      </c>
      <c r="H58" s="17" t="s">
        <v>621</v>
      </c>
      <c r="I58" s="17" t="s">
        <v>2356</v>
      </c>
      <c r="J58" s="17" t="s">
        <v>1051</v>
      </c>
      <c r="K58" s="17">
        <v>2.0</v>
      </c>
      <c r="L58" s="17">
        <v>50000.0</v>
      </c>
      <c r="M58" s="140">
        <f t="shared" si="10"/>
        <v>100000</v>
      </c>
      <c r="N58" s="17">
        <v>30.0</v>
      </c>
      <c r="O58" s="171">
        <f t="shared" si="11"/>
        <v>20</v>
      </c>
      <c r="P58" s="171">
        <f t="shared" si="7"/>
        <v>10</v>
      </c>
      <c r="Q58" s="17">
        <v>5.0</v>
      </c>
      <c r="R58" s="171">
        <f t="shared" si="12"/>
        <v>65</v>
      </c>
      <c r="S58" s="17" t="s">
        <v>2577</v>
      </c>
      <c r="T58" s="133" t="s">
        <v>2578</v>
      </c>
      <c r="U58" s="134" t="str">
        <f>HYPERLINK("https://drive.google.com/file/d/1i6X8tMDumJHYhFzQGipKkjMXPA9V7Nzz/view?usp=drivesdk","ATR-FTIR_Dian Rahmawati _258")</f>
        <v>ATR-FTIR_Dian Rahmawati _258</v>
      </c>
      <c r="V58" s="17" t="s">
        <v>2579</v>
      </c>
    </row>
    <row r="59">
      <c r="A59" s="149">
        <v>45791.0</v>
      </c>
      <c r="B59" s="149">
        <v>45793.0</v>
      </c>
      <c r="C59" s="17" t="s">
        <v>2353</v>
      </c>
      <c r="D59" s="168">
        <v>283.0</v>
      </c>
      <c r="E59" s="17" t="s">
        <v>2580</v>
      </c>
      <c r="F59" s="17" t="s">
        <v>2581</v>
      </c>
      <c r="G59" s="17" t="s">
        <v>2534</v>
      </c>
      <c r="H59" s="17" t="s">
        <v>621</v>
      </c>
      <c r="I59" s="17" t="s">
        <v>2356</v>
      </c>
      <c r="J59" s="17" t="s">
        <v>1051</v>
      </c>
      <c r="K59" s="17">
        <v>9.0</v>
      </c>
      <c r="L59" s="17">
        <v>50000.0</v>
      </c>
      <c r="M59" s="140">
        <f t="shared" si="10"/>
        <v>450000</v>
      </c>
      <c r="N59" s="17">
        <v>30.0</v>
      </c>
      <c r="O59" s="171">
        <f t="shared" si="11"/>
        <v>90</v>
      </c>
      <c r="P59" s="171">
        <f t="shared" si="7"/>
        <v>45</v>
      </c>
      <c r="Q59" s="17">
        <v>5.0</v>
      </c>
      <c r="R59" s="171">
        <f t="shared" si="12"/>
        <v>170</v>
      </c>
      <c r="S59" s="17" t="s">
        <v>2582</v>
      </c>
      <c r="T59" s="133" t="s">
        <v>2583</v>
      </c>
      <c r="U59" s="134" t="str">
        <f>HYPERLINK("https://drive.google.com/file/d/107HYuAjyKOVjlJtBTpbAUx93KXTONGR7/view?usp=drivesdk","ATR-FTIR_Muhammad Irfan Rahmadana_283")</f>
        <v>ATR-FTIR_Muhammad Irfan Rahmadana_283</v>
      </c>
      <c r="V59" s="17" t="s">
        <v>2584</v>
      </c>
    </row>
    <row r="60">
      <c r="A60" s="149">
        <v>45793.0</v>
      </c>
      <c r="B60" s="149">
        <v>45798.0</v>
      </c>
      <c r="C60" s="17" t="s">
        <v>2353</v>
      </c>
      <c r="D60" s="168">
        <v>290.0</v>
      </c>
      <c r="E60" s="17" t="s">
        <v>2585</v>
      </c>
      <c r="F60" s="17" t="s">
        <v>2586</v>
      </c>
      <c r="G60" s="17" t="s">
        <v>2560</v>
      </c>
      <c r="H60" s="17" t="s">
        <v>541</v>
      </c>
      <c r="I60" s="17" t="s">
        <v>2356</v>
      </c>
      <c r="J60" s="17" t="s">
        <v>1051</v>
      </c>
      <c r="K60" s="17">
        <v>3.0</v>
      </c>
      <c r="L60" s="17">
        <v>50000.0</v>
      </c>
      <c r="M60" s="140">
        <f t="shared" si="10"/>
        <v>150000</v>
      </c>
      <c r="N60" s="17">
        <v>30.0</v>
      </c>
      <c r="O60" s="171">
        <f t="shared" si="11"/>
        <v>30</v>
      </c>
      <c r="P60" s="171">
        <f t="shared" si="7"/>
        <v>15</v>
      </c>
      <c r="Q60" s="17">
        <v>5.0</v>
      </c>
      <c r="R60" s="171">
        <f t="shared" si="12"/>
        <v>80</v>
      </c>
      <c r="S60" s="17" t="s">
        <v>2587</v>
      </c>
      <c r="T60" s="133" t="s">
        <v>2588</v>
      </c>
      <c r="U60" s="134" t="str">
        <f>HYPERLINK("https://drive.google.com/file/d/1AZqMOLA4iuFDI2hMQKBZrAIg1oD5lyRE/view?usp=drivesdk","ATR-FTIR_Anggara Tri Atmaja_290")</f>
        <v>ATR-FTIR_Anggara Tri Atmaja_290</v>
      </c>
      <c r="V60" s="17" t="s">
        <v>2584</v>
      </c>
    </row>
    <row r="61">
      <c r="A61" s="149">
        <v>45793.0</v>
      </c>
      <c r="B61" s="149">
        <v>45798.0</v>
      </c>
      <c r="C61" s="17" t="s">
        <v>2353</v>
      </c>
      <c r="D61" s="168">
        <v>297.0</v>
      </c>
      <c r="E61" s="17" t="s">
        <v>2589</v>
      </c>
      <c r="F61" s="17" t="s">
        <v>2066</v>
      </c>
      <c r="G61" s="17" t="s">
        <v>1132</v>
      </c>
      <c r="H61" s="17" t="s">
        <v>541</v>
      </c>
      <c r="I61" s="17" t="s">
        <v>2356</v>
      </c>
      <c r="J61" s="17" t="s">
        <v>1051</v>
      </c>
      <c r="K61" s="17">
        <v>2.0</v>
      </c>
      <c r="L61" s="17">
        <v>50000.0</v>
      </c>
      <c r="M61" s="140">
        <f t="shared" si="10"/>
        <v>100000</v>
      </c>
      <c r="N61" s="17">
        <v>30.0</v>
      </c>
      <c r="O61" s="171">
        <f t="shared" si="11"/>
        <v>20</v>
      </c>
      <c r="P61" s="171">
        <f t="shared" si="7"/>
        <v>10</v>
      </c>
      <c r="Q61" s="17">
        <v>5.0</v>
      </c>
      <c r="R61" s="171">
        <f t="shared" si="12"/>
        <v>65</v>
      </c>
      <c r="S61" s="17" t="s">
        <v>2590</v>
      </c>
      <c r="T61" s="133" t="s">
        <v>2591</v>
      </c>
      <c r="U61" s="134" t="str">
        <f>HYPERLINK("https://drive.google.com/file/d/18K4bx2CiuHwmX5TvFsZCpUHysvjb6a9v/view?usp=drivesdk","ATR-FTIR_Khairunisa_297")</f>
        <v>ATR-FTIR_Khairunisa_297</v>
      </c>
      <c r="V61" s="17" t="s">
        <v>2584</v>
      </c>
    </row>
    <row r="62">
      <c r="A62" s="149">
        <v>45793.0</v>
      </c>
      <c r="B62" s="149">
        <v>45798.0</v>
      </c>
      <c r="C62" s="17" t="s">
        <v>2353</v>
      </c>
      <c r="D62" s="168">
        <v>294.0</v>
      </c>
      <c r="E62" s="17" t="s">
        <v>2081</v>
      </c>
      <c r="F62" s="17" t="s">
        <v>2082</v>
      </c>
      <c r="G62" s="17" t="s">
        <v>1132</v>
      </c>
      <c r="H62" s="17" t="s">
        <v>541</v>
      </c>
      <c r="I62" s="17" t="s">
        <v>2356</v>
      </c>
      <c r="J62" s="17" t="s">
        <v>1051</v>
      </c>
      <c r="K62" s="17">
        <v>3.0</v>
      </c>
      <c r="L62" s="17">
        <v>50000.0</v>
      </c>
      <c r="M62" s="140">
        <f t="shared" si="10"/>
        <v>150000</v>
      </c>
      <c r="N62" s="17">
        <v>30.0</v>
      </c>
      <c r="O62" s="171">
        <f t="shared" si="11"/>
        <v>30</v>
      </c>
      <c r="P62" s="171">
        <f t="shared" si="7"/>
        <v>15</v>
      </c>
      <c r="Q62" s="17">
        <v>5.0</v>
      </c>
      <c r="R62" s="171">
        <f t="shared" si="12"/>
        <v>80</v>
      </c>
      <c r="S62" s="17" t="s">
        <v>2592</v>
      </c>
      <c r="T62" s="133" t="s">
        <v>2593</v>
      </c>
      <c r="U62" s="134" t="str">
        <f>HYPERLINK("https://drive.google.com/file/d/187onTyXFD0_tE-aMPmSSyMAnaJwFs98R/view?usp=drivesdk","ATR-FTIR_Kuni Kamaliyah_294")</f>
        <v>ATR-FTIR_Kuni Kamaliyah_294</v>
      </c>
      <c r="V62" s="17" t="s">
        <v>2584</v>
      </c>
    </row>
    <row r="63">
      <c r="A63" s="149">
        <v>45793.0</v>
      </c>
      <c r="B63" s="149">
        <v>45798.0</v>
      </c>
      <c r="C63" s="17" t="s">
        <v>2353</v>
      </c>
      <c r="D63" s="168">
        <v>293.0</v>
      </c>
      <c r="E63" s="17" t="s">
        <v>2070</v>
      </c>
      <c r="F63" s="17" t="s">
        <v>2071</v>
      </c>
      <c r="G63" s="17" t="s">
        <v>1132</v>
      </c>
      <c r="H63" s="17" t="s">
        <v>541</v>
      </c>
      <c r="I63" s="17" t="s">
        <v>2356</v>
      </c>
      <c r="J63" s="17" t="s">
        <v>1051</v>
      </c>
      <c r="K63" s="17">
        <v>2.0</v>
      </c>
      <c r="L63" s="17">
        <v>50000.0</v>
      </c>
      <c r="M63" s="140">
        <f t="shared" si="10"/>
        <v>100000</v>
      </c>
      <c r="N63" s="17">
        <v>30.0</v>
      </c>
      <c r="O63" s="171">
        <f t="shared" si="11"/>
        <v>20</v>
      </c>
      <c r="P63" s="171">
        <f t="shared" si="7"/>
        <v>10</v>
      </c>
      <c r="Q63" s="17">
        <v>5.0</v>
      </c>
      <c r="R63" s="171">
        <f t="shared" si="12"/>
        <v>65</v>
      </c>
      <c r="S63" s="17" t="s">
        <v>2594</v>
      </c>
      <c r="T63" s="133" t="s">
        <v>2595</v>
      </c>
      <c r="U63" s="134" t="str">
        <f>HYPERLINK("https://drive.google.com/file/d/1IAxtY0h8pEWXSuVhr5wQc0jMe2A8VP-T/view?usp=drivesdk","ATR-FTIR_Ravita Tia Handayani_293")</f>
        <v>ATR-FTIR_Ravita Tia Handayani_293</v>
      </c>
      <c r="V63" s="17" t="s">
        <v>2596</v>
      </c>
    </row>
    <row r="64">
      <c r="A64" s="149">
        <v>45804.0</v>
      </c>
      <c r="B64" s="149">
        <v>45804.0</v>
      </c>
      <c r="C64" s="17" t="s">
        <v>2353</v>
      </c>
      <c r="D64" s="168">
        <v>327.0</v>
      </c>
      <c r="E64" s="17" t="s">
        <v>2575</v>
      </c>
      <c r="F64" s="17" t="s">
        <v>2576</v>
      </c>
      <c r="G64" s="17" t="s">
        <v>1132</v>
      </c>
      <c r="H64" s="17" t="s">
        <v>621</v>
      </c>
      <c r="I64" s="17" t="s">
        <v>2356</v>
      </c>
      <c r="J64" s="17" t="s">
        <v>1051</v>
      </c>
      <c r="K64" s="17">
        <v>1.0</v>
      </c>
      <c r="L64" s="17">
        <v>50000.0</v>
      </c>
      <c r="M64" s="140">
        <f t="shared" si="10"/>
        <v>50000</v>
      </c>
      <c r="N64" s="17">
        <v>30.0</v>
      </c>
      <c r="O64" s="171">
        <f t="shared" si="11"/>
        <v>10</v>
      </c>
      <c r="P64" s="171">
        <f t="shared" si="7"/>
        <v>5</v>
      </c>
      <c r="Q64" s="17">
        <v>5.0</v>
      </c>
      <c r="R64" s="171">
        <f t="shared" si="12"/>
        <v>50</v>
      </c>
      <c r="S64" s="17" t="s">
        <v>2597</v>
      </c>
      <c r="T64" s="133" t="s">
        <v>2598</v>
      </c>
      <c r="U64" s="134" t="str">
        <f>HYPERLINK("https://drive.google.com/file/d/1jrr7uyzGpNC2ibfYVLscHPwKHthavf5y/view?usp=drivesdk","ATR-FTIR_Dian Rahmawati _327")</f>
        <v>ATR-FTIR_Dian Rahmawati _327</v>
      </c>
      <c r="V64" s="17" t="s">
        <v>2599</v>
      </c>
    </row>
    <row r="65">
      <c r="A65" s="149">
        <v>45804.0</v>
      </c>
      <c r="B65" s="149">
        <v>45804.0</v>
      </c>
      <c r="C65" s="17" t="s">
        <v>2353</v>
      </c>
      <c r="D65" s="168">
        <v>328.0</v>
      </c>
      <c r="E65" s="17" t="s">
        <v>1364</v>
      </c>
      <c r="F65" s="17" t="s">
        <v>1365</v>
      </c>
      <c r="G65" s="17" t="s">
        <v>1132</v>
      </c>
      <c r="H65" s="17" t="s">
        <v>541</v>
      </c>
      <c r="I65" s="17" t="s">
        <v>2356</v>
      </c>
      <c r="J65" s="17" t="s">
        <v>1051</v>
      </c>
      <c r="K65" s="17">
        <v>2.0</v>
      </c>
      <c r="L65" s="17">
        <v>50000.0</v>
      </c>
      <c r="M65" s="140">
        <f t="shared" si="10"/>
        <v>100000</v>
      </c>
      <c r="N65" s="17">
        <v>30.0</v>
      </c>
      <c r="O65" s="171">
        <f t="shared" si="11"/>
        <v>20</v>
      </c>
      <c r="P65" s="171">
        <f t="shared" si="7"/>
        <v>10</v>
      </c>
      <c r="Q65" s="17">
        <v>5.0</v>
      </c>
      <c r="R65" s="171">
        <f t="shared" si="12"/>
        <v>65</v>
      </c>
      <c r="S65" s="17" t="s">
        <v>2600</v>
      </c>
      <c r="T65" s="133" t="s">
        <v>2601</v>
      </c>
      <c r="U65" s="134" t="str">
        <f>HYPERLINK("https://drive.google.com/file/d/1N98c1bqPhtE6Mh9Ja0Knw7GGR7rKzAKH/view?usp=drivesdk","ATR-FTIR_Mustika Della Asti_328")</f>
        <v>ATR-FTIR_Mustika Della Asti_328</v>
      </c>
      <c r="V65" s="17" t="s">
        <v>2599</v>
      </c>
    </row>
    <row r="66">
      <c r="A66" s="149">
        <v>45804.0</v>
      </c>
      <c r="B66" s="149">
        <v>45804.0</v>
      </c>
      <c r="C66" s="17" t="s">
        <v>2353</v>
      </c>
      <c r="D66" s="168">
        <v>329.0</v>
      </c>
      <c r="E66" s="17" t="s">
        <v>2602</v>
      </c>
      <c r="F66" s="17" t="s">
        <v>155</v>
      </c>
      <c r="G66" s="17" t="s">
        <v>2602</v>
      </c>
      <c r="H66" s="17" t="s">
        <v>541</v>
      </c>
      <c r="I66" s="17" t="s">
        <v>2356</v>
      </c>
      <c r="J66" s="17" t="s">
        <v>1051</v>
      </c>
      <c r="K66" s="17">
        <v>1.0</v>
      </c>
      <c r="L66" s="17">
        <v>100000.0</v>
      </c>
      <c r="M66" s="140">
        <f t="shared" si="10"/>
        <v>100000</v>
      </c>
      <c r="N66" s="17">
        <v>30.0</v>
      </c>
      <c r="O66" s="171">
        <f t="shared" si="11"/>
        <v>10</v>
      </c>
      <c r="P66" s="171">
        <f t="shared" si="7"/>
        <v>5</v>
      </c>
      <c r="Q66" s="17">
        <v>5.0</v>
      </c>
      <c r="R66" s="171">
        <f t="shared" si="12"/>
        <v>50</v>
      </c>
      <c r="S66" s="17" t="s">
        <v>2603</v>
      </c>
      <c r="T66" s="133" t="s">
        <v>2604</v>
      </c>
      <c r="U66" s="134" t="str">
        <f>HYPERLINK("https://drive.google.com/file/d/1zlCbsj8gGr3Lk37rAsv2tuMrKz_IrJ_m/view?usp=drivesdk","ATR-FTIR_PT Indo Acidatama, Tbk_329")</f>
        <v>ATR-FTIR_PT Indo Acidatama, Tbk_329</v>
      </c>
      <c r="V66" s="17" t="s">
        <v>2605</v>
      </c>
    </row>
    <row r="67">
      <c r="A67" s="149">
        <v>45805.0</v>
      </c>
      <c r="B67" s="149">
        <v>45812.0</v>
      </c>
      <c r="C67" s="17" t="s">
        <v>2353</v>
      </c>
      <c r="D67" s="168">
        <v>340.0</v>
      </c>
      <c r="E67" s="136" t="s">
        <v>2606</v>
      </c>
      <c r="F67" s="17" t="s">
        <v>2607</v>
      </c>
      <c r="G67" s="17" t="s">
        <v>1132</v>
      </c>
      <c r="H67" s="17" t="s">
        <v>621</v>
      </c>
      <c r="I67" s="17" t="s">
        <v>2356</v>
      </c>
      <c r="J67" s="17" t="s">
        <v>777</v>
      </c>
      <c r="K67" s="17">
        <v>1.0</v>
      </c>
      <c r="L67" s="17">
        <v>50000.0</v>
      </c>
      <c r="M67" s="140">
        <f t="shared" si="10"/>
        <v>50000</v>
      </c>
      <c r="N67" s="17">
        <v>30.0</v>
      </c>
      <c r="O67" s="171">
        <f t="shared" si="11"/>
        <v>10</v>
      </c>
      <c r="P67" s="171">
        <f t="shared" si="7"/>
        <v>5</v>
      </c>
      <c r="Q67" s="17">
        <v>5.0</v>
      </c>
      <c r="R67" s="171">
        <f t="shared" si="12"/>
        <v>50</v>
      </c>
      <c r="S67" s="17" t="s">
        <v>2608</v>
      </c>
      <c r="T67" s="133" t="s">
        <v>2609</v>
      </c>
      <c r="U67" s="134" t="str">
        <f>HYPERLINK("https://drive.google.com/file/d/1xeod-L9itW6xvtHgcTKWlJ8atDQC-mRv/view?usp=drivesdk","ATR-FTIR_Izza Laila Nur Rohmah_340")</f>
        <v>ATR-FTIR_Izza Laila Nur Rohmah_340</v>
      </c>
      <c r="V67" s="17" t="s">
        <v>2610</v>
      </c>
    </row>
    <row r="68">
      <c r="A68" s="149">
        <v>45811.0</v>
      </c>
      <c r="B68" s="149">
        <v>45812.0</v>
      </c>
      <c r="C68" s="17" t="s">
        <v>2353</v>
      </c>
      <c r="D68" s="168">
        <v>362.0</v>
      </c>
      <c r="E68" s="136" t="s">
        <v>2611</v>
      </c>
      <c r="F68" s="17" t="s">
        <v>2612</v>
      </c>
      <c r="G68" s="17" t="s">
        <v>2613</v>
      </c>
      <c r="H68" s="17" t="s">
        <v>541</v>
      </c>
      <c r="I68" s="17" t="s">
        <v>2356</v>
      </c>
      <c r="J68" s="17" t="s">
        <v>777</v>
      </c>
      <c r="K68" s="17">
        <v>8.0</v>
      </c>
      <c r="L68" s="17">
        <v>50000.0</v>
      </c>
      <c r="M68" s="140">
        <f t="shared" si="10"/>
        <v>400000</v>
      </c>
      <c r="N68" s="17">
        <v>30.0</v>
      </c>
      <c r="O68" s="171">
        <f t="shared" si="11"/>
        <v>80</v>
      </c>
      <c r="P68" s="171">
        <f t="shared" si="7"/>
        <v>40</v>
      </c>
      <c r="Q68" s="17">
        <v>5.0</v>
      </c>
      <c r="R68" s="171">
        <f t="shared" si="12"/>
        <v>155</v>
      </c>
      <c r="S68" s="17" t="s">
        <v>2614</v>
      </c>
      <c r="T68" s="133" t="s">
        <v>2615</v>
      </c>
      <c r="U68" s="134" t="str">
        <f>HYPERLINK("https://drive.google.com/file/d/1UsXNINQZT31U9wirTJvo1k95AypVc9Ua/view?usp=drivesdk","ATR-FTIR_Latifah Nuraeni_362")</f>
        <v>ATR-FTIR_Latifah Nuraeni_362</v>
      </c>
      <c r="V68" s="17" t="s">
        <v>2616</v>
      </c>
    </row>
    <row r="69">
      <c r="A69" s="149">
        <v>45812.0</v>
      </c>
      <c r="B69" s="149">
        <v>45812.0</v>
      </c>
      <c r="C69" s="17" t="s">
        <v>2353</v>
      </c>
      <c r="D69" s="168">
        <v>364.0</v>
      </c>
      <c r="E69" s="136" t="s">
        <v>2617</v>
      </c>
      <c r="F69" s="17" t="s">
        <v>2494</v>
      </c>
      <c r="G69" s="17" t="s">
        <v>1132</v>
      </c>
      <c r="H69" s="17" t="s">
        <v>621</v>
      </c>
      <c r="I69" s="17" t="s">
        <v>2356</v>
      </c>
      <c r="J69" s="17" t="s">
        <v>777</v>
      </c>
      <c r="K69" s="17">
        <v>2.0</v>
      </c>
      <c r="L69" s="17">
        <v>50000.0</v>
      </c>
      <c r="M69" s="140">
        <f t="shared" si="10"/>
        <v>100000</v>
      </c>
      <c r="N69" s="17">
        <v>30.0</v>
      </c>
      <c r="O69" s="171">
        <f t="shared" si="11"/>
        <v>20</v>
      </c>
      <c r="P69" s="171">
        <f t="shared" si="7"/>
        <v>10</v>
      </c>
      <c r="Q69" s="17">
        <v>5.0</v>
      </c>
      <c r="R69" s="171">
        <f t="shared" si="12"/>
        <v>65</v>
      </c>
      <c r="S69" s="17" t="s">
        <v>2618</v>
      </c>
      <c r="T69" s="133" t="s">
        <v>2619</v>
      </c>
      <c r="U69" s="134" t="str">
        <f>HYPERLINK("https://drive.google.com/file/d/1mPmPSUzLtjDKrljapttpq0CMgUKBjDVr/view?usp=drivesdk","ATR-FTIR_Armatevia Patricia Arum Sahiba_364")</f>
        <v>ATR-FTIR_Armatevia Patricia Arum Sahiba_364</v>
      </c>
      <c r="V69" s="17" t="s">
        <v>2616</v>
      </c>
    </row>
    <row r="70">
      <c r="A70" s="149">
        <v>45812.0</v>
      </c>
      <c r="B70" s="149">
        <v>45813.0</v>
      </c>
      <c r="C70" s="17" t="s">
        <v>2353</v>
      </c>
      <c r="D70" s="168">
        <v>366.0</v>
      </c>
      <c r="E70" s="17" t="s">
        <v>2620</v>
      </c>
      <c r="F70" s="17" t="s">
        <v>1492</v>
      </c>
      <c r="G70" s="17" t="s">
        <v>1548</v>
      </c>
      <c r="H70" s="17" t="s">
        <v>621</v>
      </c>
      <c r="I70" s="17" t="s">
        <v>2356</v>
      </c>
      <c r="J70" s="17" t="s">
        <v>1051</v>
      </c>
      <c r="K70" s="17">
        <v>2.0</v>
      </c>
      <c r="L70" s="17">
        <v>50000.0</v>
      </c>
      <c r="M70" s="140">
        <f t="shared" si="10"/>
        <v>100000</v>
      </c>
      <c r="N70" s="17">
        <v>30.0</v>
      </c>
      <c r="O70" s="171">
        <f t="shared" si="11"/>
        <v>20</v>
      </c>
      <c r="P70" s="171">
        <f t="shared" si="7"/>
        <v>10</v>
      </c>
      <c r="Q70" s="17">
        <v>5.0</v>
      </c>
      <c r="R70" s="171">
        <f t="shared" si="12"/>
        <v>65</v>
      </c>
      <c r="S70" s="17" t="s">
        <v>2621</v>
      </c>
      <c r="T70" s="133" t="s">
        <v>2622</v>
      </c>
      <c r="U70" s="134" t="str">
        <f>HYPERLINK("https://drive.google.com/file/d/10cYGNQ-toiIxJGorfJiN9TExpgEPhYvT/view?usp=drivesdk","ATR-FTIR_Alief Almansyah Akbar Mastura_366")</f>
        <v>ATR-FTIR_Alief Almansyah Akbar Mastura_366</v>
      </c>
      <c r="V70" s="17" t="s">
        <v>2623</v>
      </c>
    </row>
    <row r="71">
      <c r="A71" s="149">
        <v>45811.0</v>
      </c>
      <c r="B71" s="149">
        <v>45813.0</v>
      </c>
      <c r="C71" s="17" t="s">
        <v>2353</v>
      </c>
      <c r="D71" s="168">
        <v>356.0</v>
      </c>
      <c r="E71" s="17" t="s">
        <v>2103</v>
      </c>
      <c r="F71" s="17" t="s">
        <v>2104</v>
      </c>
      <c r="G71" s="17" t="s">
        <v>1132</v>
      </c>
      <c r="H71" s="17" t="s">
        <v>621</v>
      </c>
      <c r="I71" s="17" t="s">
        <v>2356</v>
      </c>
      <c r="J71" s="17" t="s">
        <v>1051</v>
      </c>
      <c r="K71" s="17">
        <v>5.0</v>
      </c>
      <c r="L71" s="17">
        <v>50000.0</v>
      </c>
      <c r="M71" s="140">
        <f t="shared" si="10"/>
        <v>250000</v>
      </c>
      <c r="N71" s="17">
        <v>30.0</v>
      </c>
      <c r="O71" s="171">
        <f t="shared" si="11"/>
        <v>50</v>
      </c>
      <c r="P71" s="171">
        <f t="shared" si="7"/>
        <v>25</v>
      </c>
      <c r="Q71" s="17">
        <v>5.0</v>
      </c>
      <c r="R71" s="171">
        <f t="shared" si="12"/>
        <v>110</v>
      </c>
      <c r="S71" s="17" t="s">
        <v>2624</v>
      </c>
      <c r="T71" s="133" t="s">
        <v>2625</v>
      </c>
      <c r="U71" s="134" t="str">
        <f>HYPERLINK("https://drive.google.com/file/d/169yRbEE1w5VOQhIrBtMhsexxpuZ5lQ1a/view?usp=drivesdk","ATR-FTIR_Rizka Widya Maharani_356")</f>
        <v>ATR-FTIR_Rizka Widya Maharani_356</v>
      </c>
      <c r="V71" s="17" t="s">
        <v>2626</v>
      </c>
    </row>
    <row r="72">
      <c r="A72" s="149">
        <v>45811.0</v>
      </c>
      <c r="B72" s="149">
        <v>45813.0</v>
      </c>
      <c r="C72" s="17" t="s">
        <v>2353</v>
      </c>
      <c r="D72" s="168">
        <v>360.0</v>
      </c>
      <c r="E72" s="17" t="s">
        <v>2423</v>
      </c>
      <c r="F72" s="17" t="s">
        <v>2424</v>
      </c>
      <c r="G72" s="17" t="s">
        <v>1132</v>
      </c>
      <c r="H72" s="17" t="s">
        <v>621</v>
      </c>
      <c r="I72" s="17" t="s">
        <v>2356</v>
      </c>
      <c r="J72" s="17" t="s">
        <v>1051</v>
      </c>
      <c r="K72" s="17">
        <v>1.0</v>
      </c>
      <c r="L72" s="17">
        <v>50000.0</v>
      </c>
      <c r="M72" s="140">
        <f t="shared" si="10"/>
        <v>50000</v>
      </c>
      <c r="N72" s="17">
        <v>30.0</v>
      </c>
      <c r="O72" s="171">
        <f t="shared" si="11"/>
        <v>10</v>
      </c>
      <c r="P72" s="171">
        <f t="shared" si="7"/>
        <v>5</v>
      </c>
      <c r="Q72" s="17">
        <v>5.0</v>
      </c>
      <c r="R72" s="171">
        <f t="shared" si="12"/>
        <v>50</v>
      </c>
      <c r="S72" s="17" t="s">
        <v>2627</v>
      </c>
      <c r="T72" s="133" t="s">
        <v>2628</v>
      </c>
      <c r="U72" s="134" t="str">
        <f>HYPERLINK("https://drive.google.com/file/d/15A6dLVvW1czwXk-aiY1FH1yKOM5G7K34/view?usp=drivesdk","ATR-FTIR_Retno Apriyani_360")</f>
        <v>ATR-FTIR_Retno Apriyani_360</v>
      </c>
      <c r="V72" s="17" t="s">
        <v>2626</v>
      </c>
    </row>
    <row r="73">
      <c r="A73" s="149">
        <v>45805.0</v>
      </c>
      <c r="B73" s="149">
        <v>45813.0</v>
      </c>
      <c r="C73" s="17" t="s">
        <v>2353</v>
      </c>
      <c r="D73" s="168">
        <v>344.0</v>
      </c>
      <c r="E73" s="17" t="s">
        <v>792</v>
      </c>
      <c r="F73" s="17" t="s">
        <v>793</v>
      </c>
      <c r="G73" s="17" t="s">
        <v>799</v>
      </c>
      <c r="H73" s="17" t="s">
        <v>541</v>
      </c>
      <c r="I73" s="17" t="s">
        <v>2356</v>
      </c>
      <c r="J73" s="17" t="s">
        <v>1051</v>
      </c>
      <c r="K73" s="17">
        <v>3.0</v>
      </c>
      <c r="L73" s="17">
        <v>50000.0</v>
      </c>
      <c r="M73" s="140">
        <f t="shared" si="10"/>
        <v>150000</v>
      </c>
      <c r="N73" s="17">
        <v>30.0</v>
      </c>
      <c r="O73" s="171">
        <f t="shared" si="11"/>
        <v>30</v>
      </c>
      <c r="P73" s="171">
        <f t="shared" si="7"/>
        <v>15</v>
      </c>
      <c r="Q73" s="17">
        <v>5.0</v>
      </c>
      <c r="R73" s="171">
        <f t="shared" si="12"/>
        <v>80</v>
      </c>
      <c r="S73" s="17" t="s">
        <v>2629</v>
      </c>
      <c r="T73" s="133" t="s">
        <v>2630</v>
      </c>
      <c r="U73" s="134" t="str">
        <f>HYPERLINK("https://drive.google.com/file/d/1JDswN18wpRIxwCZHnM1BDSmyFxkPouz0/view?usp=drivesdk","ATR-FTIR_Citra Nurlaela R_344")</f>
        <v>ATR-FTIR_Citra Nurlaela R_344</v>
      </c>
      <c r="V73" s="17" t="s">
        <v>2626</v>
      </c>
    </row>
    <row r="74">
      <c r="A74" s="149">
        <v>45812.0</v>
      </c>
      <c r="B74" s="149">
        <v>45819.0</v>
      </c>
      <c r="C74" s="17" t="s">
        <v>2353</v>
      </c>
      <c r="D74" s="168">
        <v>371.0</v>
      </c>
      <c r="E74" s="17" t="s">
        <v>723</v>
      </c>
      <c r="F74" s="17" t="s">
        <v>724</v>
      </c>
      <c r="G74" s="17" t="s">
        <v>2631</v>
      </c>
      <c r="H74" s="17" t="s">
        <v>621</v>
      </c>
      <c r="I74" s="17" t="s">
        <v>2356</v>
      </c>
      <c r="J74" s="17" t="s">
        <v>1051</v>
      </c>
      <c r="K74" s="17">
        <v>3.0</v>
      </c>
      <c r="L74" s="17">
        <v>50000.0</v>
      </c>
      <c r="M74" s="140">
        <f t="shared" si="10"/>
        <v>150000</v>
      </c>
      <c r="N74" s="17">
        <v>30.0</v>
      </c>
      <c r="O74" s="171">
        <f t="shared" si="11"/>
        <v>30</v>
      </c>
      <c r="P74" s="171">
        <f t="shared" si="7"/>
        <v>15</v>
      </c>
      <c r="Q74" s="17">
        <v>5.0</v>
      </c>
      <c r="R74" s="171">
        <f t="shared" si="12"/>
        <v>80</v>
      </c>
      <c r="S74" s="17" t="s">
        <v>2632</v>
      </c>
      <c r="T74" s="133" t="s">
        <v>2633</v>
      </c>
      <c r="U74" s="134" t="str">
        <f>HYPERLINK("https://drive.google.com/file/d/1UGVkp4jguCNbuewvdSg8kZM16XNjYffI/view?usp=drivesdk","ATR-FTIR_Mazlan_371")</f>
        <v>ATR-FTIR_Mazlan_371</v>
      </c>
      <c r="V74" s="17" t="s">
        <v>2634</v>
      </c>
    </row>
    <row r="75">
      <c r="A75" s="149">
        <v>45820.0</v>
      </c>
      <c r="B75" s="149">
        <v>45820.0</v>
      </c>
      <c r="C75" s="17" t="s">
        <v>2353</v>
      </c>
      <c r="D75" s="168">
        <v>387.0</v>
      </c>
      <c r="E75" s="17" t="s">
        <v>1149</v>
      </c>
      <c r="F75" s="17" t="s">
        <v>1150</v>
      </c>
      <c r="G75" s="17" t="s">
        <v>1132</v>
      </c>
      <c r="H75" s="17" t="s">
        <v>621</v>
      </c>
      <c r="I75" s="17" t="s">
        <v>2356</v>
      </c>
      <c r="J75" s="17" t="s">
        <v>777</v>
      </c>
      <c r="K75" s="17">
        <v>7.0</v>
      </c>
      <c r="L75" s="17">
        <v>50000.0</v>
      </c>
      <c r="M75" s="140">
        <f t="shared" si="10"/>
        <v>350000</v>
      </c>
      <c r="N75" s="17">
        <v>30.0</v>
      </c>
      <c r="O75" s="171">
        <f t="shared" si="11"/>
        <v>70</v>
      </c>
      <c r="P75" s="171">
        <f t="shared" si="7"/>
        <v>35</v>
      </c>
      <c r="Q75" s="17">
        <v>5.0</v>
      </c>
      <c r="R75" s="171">
        <f t="shared" si="12"/>
        <v>140</v>
      </c>
      <c r="S75" s="17" t="s">
        <v>2635</v>
      </c>
      <c r="T75" s="133" t="s">
        <v>2636</v>
      </c>
      <c r="U75" s="134" t="str">
        <f>HYPERLINK("https://drive.google.com/file/d/1QjATDE-zN6VZM_8y29uuKq_eH7zK7sGw/view?usp=drivesdk","ATR-FTIR_Dwi Safitri_387")</f>
        <v>ATR-FTIR_Dwi Safitri_387</v>
      </c>
      <c r="V75" s="17" t="s">
        <v>2637</v>
      </c>
    </row>
    <row r="76">
      <c r="A76" s="149">
        <v>45820.0</v>
      </c>
      <c r="B76" s="149">
        <v>45820.0</v>
      </c>
      <c r="C76" s="17" t="s">
        <v>2353</v>
      </c>
      <c r="D76" s="168">
        <v>388.0</v>
      </c>
      <c r="E76" s="17" t="s">
        <v>2638</v>
      </c>
      <c r="F76" s="17" t="s">
        <v>2639</v>
      </c>
      <c r="G76" s="17" t="s">
        <v>2640</v>
      </c>
      <c r="H76" s="17" t="s">
        <v>541</v>
      </c>
      <c r="I76" s="17" t="s">
        <v>2356</v>
      </c>
      <c r="J76" s="17" t="s">
        <v>777</v>
      </c>
      <c r="K76" s="17">
        <v>20.0</v>
      </c>
      <c r="L76" s="17">
        <v>50000.0</v>
      </c>
      <c r="M76" s="140">
        <f t="shared" si="10"/>
        <v>1000000</v>
      </c>
      <c r="N76" s="17">
        <v>30.0</v>
      </c>
      <c r="O76" s="171">
        <f t="shared" si="11"/>
        <v>200</v>
      </c>
      <c r="P76" s="171">
        <f t="shared" si="7"/>
        <v>100</v>
      </c>
      <c r="Q76" s="17">
        <v>5.0</v>
      </c>
      <c r="R76" s="171">
        <f t="shared" si="12"/>
        <v>335</v>
      </c>
      <c r="S76" s="17" t="s">
        <v>2641</v>
      </c>
      <c r="T76" s="133" t="s">
        <v>2642</v>
      </c>
      <c r="U76" s="134" t="str">
        <f>HYPERLINK("https://drive.google.com/file/d/1siStkwGnGgtMHVPlPhYhOAr36Fx7750N/view?usp=drivesdk","ATR-FTIR_Siti Khoiriyah_388")</f>
        <v>ATR-FTIR_Siti Khoiriyah_388</v>
      </c>
      <c r="V76" s="17" t="s">
        <v>2637</v>
      </c>
    </row>
    <row r="77">
      <c r="A77" s="149">
        <v>45821.0</v>
      </c>
      <c r="B77" s="149">
        <v>45821.0</v>
      </c>
      <c r="C77" s="17" t="s">
        <v>2353</v>
      </c>
      <c r="D77" s="168">
        <v>394.0</v>
      </c>
      <c r="E77" s="17" t="s">
        <v>2643</v>
      </c>
      <c r="F77" s="17" t="s">
        <v>2644</v>
      </c>
      <c r="G77" s="17" t="s">
        <v>2036</v>
      </c>
      <c r="H77" s="17" t="s">
        <v>541</v>
      </c>
      <c r="I77" s="17" t="s">
        <v>2356</v>
      </c>
      <c r="J77" s="17" t="s">
        <v>1051</v>
      </c>
      <c r="K77" s="17">
        <v>10.0</v>
      </c>
      <c r="L77" s="17">
        <v>50000.0</v>
      </c>
      <c r="M77" s="140">
        <f t="shared" si="10"/>
        <v>500000</v>
      </c>
      <c r="N77" s="17">
        <v>30.0</v>
      </c>
      <c r="O77" s="171">
        <f t="shared" si="11"/>
        <v>100</v>
      </c>
      <c r="P77" s="171">
        <f t="shared" si="7"/>
        <v>50</v>
      </c>
      <c r="Q77" s="17">
        <v>5.0</v>
      </c>
      <c r="R77" s="171">
        <f t="shared" si="12"/>
        <v>185</v>
      </c>
      <c r="S77" s="17" t="s">
        <v>2645</v>
      </c>
      <c r="T77" s="133" t="s">
        <v>2646</v>
      </c>
      <c r="U77" s="134" t="str">
        <f>HYPERLINK("https://drive.google.com/file/d/1oRy3Vhh34EZtZpubWTV6g_Y5s5yZmNhf/view?usp=drivesdk","ATR-FTIR_Khusnul Regina Eswari_394")</f>
        <v>ATR-FTIR_Khusnul Regina Eswari_394</v>
      </c>
      <c r="V77" s="17" t="s">
        <v>2647</v>
      </c>
    </row>
    <row r="78">
      <c r="A78" s="149">
        <v>45821.0</v>
      </c>
      <c r="B78" s="149">
        <v>45821.0</v>
      </c>
      <c r="C78" s="17" t="s">
        <v>2353</v>
      </c>
      <c r="D78" s="168">
        <v>390.0</v>
      </c>
      <c r="E78" s="17" t="s">
        <v>1130</v>
      </c>
      <c r="F78" s="17" t="s">
        <v>1131</v>
      </c>
      <c r="G78" s="17" t="s">
        <v>1132</v>
      </c>
      <c r="H78" s="17" t="s">
        <v>621</v>
      </c>
      <c r="I78" s="17" t="s">
        <v>2356</v>
      </c>
      <c r="J78" s="17" t="s">
        <v>1051</v>
      </c>
      <c r="K78" s="17">
        <v>1.0</v>
      </c>
      <c r="L78" s="17">
        <v>50000.0</v>
      </c>
      <c r="M78" s="140">
        <f t="shared" si="10"/>
        <v>50000</v>
      </c>
      <c r="N78" s="17">
        <v>30.0</v>
      </c>
      <c r="O78" s="171">
        <f t="shared" si="11"/>
        <v>10</v>
      </c>
      <c r="P78" s="171">
        <f t="shared" si="7"/>
        <v>5</v>
      </c>
      <c r="Q78" s="17">
        <v>5.0</v>
      </c>
      <c r="R78" s="171">
        <f t="shared" si="12"/>
        <v>50</v>
      </c>
      <c r="S78" s="17" t="s">
        <v>2648</v>
      </c>
      <c r="T78" s="133" t="s">
        <v>2649</v>
      </c>
      <c r="U78" s="134" t="str">
        <f>HYPERLINK("https://drive.google.com/file/d/1mhdEg9nM53hBV4quuTWAlNpwIcGttuZG/view?usp=drivesdk","ATR-FTIR_Hana Prasita Larasati_390")</f>
        <v>ATR-FTIR_Hana Prasita Larasati_390</v>
      </c>
      <c r="V78" s="17" t="s">
        <v>2650</v>
      </c>
    </row>
    <row r="79">
      <c r="A79" s="149">
        <v>45820.0</v>
      </c>
      <c r="B79" s="149">
        <v>45821.0</v>
      </c>
      <c r="C79" s="17" t="s">
        <v>2353</v>
      </c>
      <c r="D79" s="168">
        <v>399.0</v>
      </c>
      <c r="E79" s="17" t="s">
        <v>754</v>
      </c>
      <c r="F79" s="17" t="s">
        <v>755</v>
      </c>
      <c r="G79" s="17" t="s">
        <v>1336</v>
      </c>
      <c r="H79" s="17" t="s">
        <v>621</v>
      </c>
      <c r="I79" s="17" t="s">
        <v>2356</v>
      </c>
      <c r="J79" s="17" t="s">
        <v>1051</v>
      </c>
      <c r="K79" s="17">
        <v>3.0</v>
      </c>
      <c r="L79" s="17">
        <v>50000.0</v>
      </c>
      <c r="M79" s="140">
        <f t="shared" si="10"/>
        <v>150000</v>
      </c>
      <c r="N79" s="17">
        <v>30.0</v>
      </c>
      <c r="O79" s="171">
        <f t="shared" si="11"/>
        <v>30</v>
      </c>
      <c r="P79" s="171">
        <f t="shared" si="7"/>
        <v>15</v>
      </c>
      <c r="Q79" s="17">
        <v>5.0</v>
      </c>
      <c r="R79" s="171">
        <f t="shared" si="12"/>
        <v>80</v>
      </c>
      <c r="S79" s="17" t="s">
        <v>2651</v>
      </c>
      <c r="T79" s="133" t="s">
        <v>2652</v>
      </c>
      <c r="U79" s="134" t="str">
        <f>HYPERLINK("https://drive.google.com/file/d/1hIlxWvHod9peYu9NE3wKQTS89AIBcXUR/view?usp=drivesdk","ATR-FTIR_Mardiana_399")</f>
        <v>ATR-FTIR_Mardiana_399</v>
      </c>
      <c r="V79" s="17" t="s">
        <v>2650</v>
      </c>
    </row>
    <row r="80">
      <c r="A80" s="149">
        <v>45828.0</v>
      </c>
      <c r="B80" s="149">
        <v>45828.0</v>
      </c>
      <c r="C80" s="17" t="s">
        <v>2353</v>
      </c>
      <c r="D80" s="168">
        <v>428.0</v>
      </c>
      <c r="E80" s="17" t="s">
        <v>2653</v>
      </c>
      <c r="F80" s="17" t="s">
        <v>155</v>
      </c>
      <c r="G80" s="17" t="s">
        <v>2654</v>
      </c>
      <c r="H80" s="17" t="s">
        <v>541</v>
      </c>
      <c r="I80" s="17" t="s">
        <v>2356</v>
      </c>
      <c r="J80" s="17" t="s">
        <v>1051</v>
      </c>
      <c r="K80" s="17">
        <v>1.0</v>
      </c>
      <c r="L80" s="17">
        <v>100000.0</v>
      </c>
      <c r="M80" s="140">
        <f t="shared" si="10"/>
        <v>100000</v>
      </c>
      <c r="N80" s="17">
        <v>30.0</v>
      </c>
      <c r="O80" s="171">
        <f t="shared" si="11"/>
        <v>10</v>
      </c>
      <c r="P80" s="171">
        <f t="shared" si="7"/>
        <v>5</v>
      </c>
      <c r="Q80" s="17">
        <v>5.0</v>
      </c>
      <c r="R80" s="171">
        <f t="shared" si="12"/>
        <v>50</v>
      </c>
      <c r="S80" s="17" t="s">
        <v>2655</v>
      </c>
      <c r="T80" s="133" t="s">
        <v>2656</v>
      </c>
      <c r="U80" s="134" t="str">
        <f>HYPERLINK("https://drive.google.com/file/d/1ZE-4irKxIPkwwnZn760s0UvQvfelIL7X/view?usp=drivesdk","ATR-FTIR_Mirzaul Umam_428")</f>
        <v>ATR-FTIR_Mirzaul Umam_428</v>
      </c>
      <c r="V80" s="17" t="s">
        <v>2657</v>
      </c>
    </row>
    <row r="81">
      <c r="A81" s="149">
        <v>45825.0</v>
      </c>
      <c r="B81" s="149">
        <v>45828.0</v>
      </c>
      <c r="C81" s="17" t="s">
        <v>2353</v>
      </c>
      <c r="D81" s="168">
        <v>408.0</v>
      </c>
      <c r="E81" s="17" t="s">
        <v>2658</v>
      </c>
      <c r="F81" s="17" t="s">
        <v>2659</v>
      </c>
      <c r="G81" s="17" t="s">
        <v>1132</v>
      </c>
      <c r="H81" s="17" t="s">
        <v>541</v>
      </c>
      <c r="I81" s="17" t="s">
        <v>2356</v>
      </c>
      <c r="J81" s="17" t="s">
        <v>1051</v>
      </c>
      <c r="K81" s="17">
        <v>2.0</v>
      </c>
      <c r="L81" s="17">
        <v>50000.0</v>
      </c>
      <c r="M81" s="140">
        <f t="shared" si="10"/>
        <v>100000</v>
      </c>
      <c r="N81" s="17">
        <v>30.0</v>
      </c>
      <c r="O81" s="171">
        <f t="shared" si="11"/>
        <v>20</v>
      </c>
      <c r="P81" s="171">
        <f t="shared" si="7"/>
        <v>10</v>
      </c>
      <c r="Q81" s="17">
        <v>5.0</v>
      </c>
      <c r="R81" s="171">
        <f t="shared" si="12"/>
        <v>65</v>
      </c>
      <c r="S81" s="17" t="s">
        <v>2660</v>
      </c>
      <c r="T81" s="133" t="s">
        <v>2661</v>
      </c>
      <c r="U81" s="134" t="str">
        <f>HYPERLINK("https://drive.google.com/file/d/1dSrkJo0UBio6MWaQXa-LJlVMtNCISz4A/view?usp=drivesdk","ATR-FTIR_Natasys Thallah Azizah_408")</f>
        <v>ATR-FTIR_Natasys Thallah Azizah_408</v>
      </c>
      <c r="V81" s="17" t="s">
        <v>2657</v>
      </c>
    </row>
    <row r="82">
      <c r="A82" s="149">
        <v>45825.0</v>
      </c>
      <c r="B82" s="149">
        <v>45828.0</v>
      </c>
      <c r="C82" s="17" t="s">
        <v>2353</v>
      </c>
      <c r="D82" s="168">
        <v>409.0</v>
      </c>
      <c r="E82" s="17" t="s">
        <v>2662</v>
      </c>
      <c r="F82" s="17" t="s">
        <v>2663</v>
      </c>
      <c r="G82" s="17" t="s">
        <v>1132</v>
      </c>
      <c r="H82" s="17" t="s">
        <v>541</v>
      </c>
      <c r="I82" s="17" t="s">
        <v>2356</v>
      </c>
      <c r="J82" s="17" t="s">
        <v>1051</v>
      </c>
      <c r="K82" s="17">
        <v>2.0</v>
      </c>
      <c r="L82" s="17">
        <v>50000.0</v>
      </c>
      <c r="M82" s="140">
        <f t="shared" si="10"/>
        <v>100000</v>
      </c>
      <c r="N82" s="17">
        <v>30.0</v>
      </c>
      <c r="O82" s="171">
        <f t="shared" si="11"/>
        <v>20</v>
      </c>
      <c r="P82" s="171">
        <f t="shared" si="7"/>
        <v>10</v>
      </c>
      <c r="Q82" s="17">
        <v>5.0</v>
      </c>
      <c r="R82" s="171">
        <f t="shared" si="12"/>
        <v>65</v>
      </c>
      <c r="S82" s="17" t="s">
        <v>2664</v>
      </c>
      <c r="T82" s="133" t="s">
        <v>2665</v>
      </c>
      <c r="U82" s="134" t="str">
        <f>HYPERLINK("https://drive.google.com/file/d/16ctVIPDV3Er4GtahkAIUxG4x9Dw4HIjM/view?usp=drivesdk","ATR-FTIR_Putri Apriliani_409")</f>
        <v>ATR-FTIR_Putri Apriliani_409</v>
      </c>
      <c r="V82" s="17" t="s">
        <v>2657</v>
      </c>
    </row>
    <row r="83">
      <c r="A83" s="149">
        <v>45827.0</v>
      </c>
      <c r="B83" s="149">
        <v>45828.0</v>
      </c>
      <c r="C83" s="17" t="s">
        <v>2353</v>
      </c>
      <c r="D83" s="168">
        <v>423.0</v>
      </c>
      <c r="E83" s="17" t="s">
        <v>2666</v>
      </c>
      <c r="F83" s="17" t="s">
        <v>2667</v>
      </c>
      <c r="G83" s="17" t="s">
        <v>1132</v>
      </c>
      <c r="H83" s="17" t="s">
        <v>621</v>
      </c>
      <c r="I83" s="17" t="s">
        <v>2356</v>
      </c>
      <c r="J83" s="17" t="s">
        <v>1051</v>
      </c>
      <c r="K83" s="17">
        <v>1.0</v>
      </c>
      <c r="L83" s="17">
        <v>50000.0</v>
      </c>
      <c r="M83" s="140">
        <f t="shared" si="10"/>
        <v>50000</v>
      </c>
      <c r="N83" s="17">
        <v>30.0</v>
      </c>
      <c r="O83" s="171">
        <f t="shared" si="11"/>
        <v>10</v>
      </c>
      <c r="P83" s="171">
        <f t="shared" si="7"/>
        <v>5</v>
      </c>
      <c r="Q83" s="17">
        <v>5.0</v>
      </c>
      <c r="R83" s="171">
        <f t="shared" si="12"/>
        <v>50</v>
      </c>
      <c r="S83" s="17" t="s">
        <v>2668</v>
      </c>
      <c r="T83" s="133" t="s">
        <v>2669</v>
      </c>
      <c r="U83" s="134" t="str">
        <f>HYPERLINK("https://drive.google.com/file/d/19rJJvq0nbO0yZNHCAvtaMjaYaFEIOoIb/view?usp=drivesdk","ATR-FTIR_Sadam Dimas Barezi_423")</f>
        <v>ATR-FTIR_Sadam Dimas Barezi_423</v>
      </c>
      <c r="V83" s="17" t="s">
        <v>2657</v>
      </c>
    </row>
    <row r="84">
      <c r="A84" s="149">
        <v>45821.0</v>
      </c>
      <c r="B84" s="149">
        <v>45828.0</v>
      </c>
      <c r="C84" s="17" t="s">
        <v>2353</v>
      </c>
      <c r="D84" s="168">
        <v>391.0</v>
      </c>
      <c r="E84" s="17" t="s">
        <v>2103</v>
      </c>
      <c r="F84" s="17" t="s">
        <v>2104</v>
      </c>
      <c r="G84" s="17" t="s">
        <v>1132</v>
      </c>
      <c r="H84" s="17" t="s">
        <v>621</v>
      </c>
      <c r="I84" s="17" t="s">
        <v>2356</v>
      </c>
      <c r="J84" s="17" t="s">
        <v>1051</v>
      </c>
      <c r="K84" s="17">
        <v>3.0</v>
      </c>
      <c r="L84" s="17">
        <v>50000.0</v>
      </c>
      <c r="M84" s="140">
        <f t="shared" si="10"/>
        <v>150000</v>
      </c>
      <c r="N84" s="17">
        <v>30.0</v>
      </c>
      <c r="O84" s="171">
        <f t="shared" si="11"/>
        <v>30</v>
      </c>
      <c r="P84" s="171">
        <f t="shared" si="7"/>
        <v>15</v>
      </c>
      <c r="Q84" s="17">
        <v>5.0</v>
      </c>
      <c r="R84" s="171">
        <f t="shared" si="12"/>
        <v>80</v>
      </c>
      <c r="S84" s="17" t="s">
        <v>2670</v>
      </c>
      <c r="T84" s="133" t="s">
        <v>2671</v>
      </c>
      <c r="U84" s="134" t="str">
        <f>HYPERLINK("https://drive.google.com/file/d/1IJZT01rsNdJXT6vsJxvGuERwCF5vMB9G/view?usp=drivesdk","ATR-FTIR_Rizka Widya Maharani_391")</f>
        <v>ATR-FTIR_Rizka Widya Maharani_391</v>
      </c>
      <c r="V84" s="17" t="s">
        <v>2657</v>
      </c>
    </row>
    <row r="85">
      <c r="A85" s="149">
        <v>45828.0</v>
      </c>
      <c r="B85" s="149">
        <v>45828.0</v>
      </c>
      <c r="C85" s="17" t="s">
        <v>2353</v>
      </c>
      <c r="D85" s="168">
        <v>425.0</v>
      </c>
      <c r="E85" s="17" t="s">
        <v>792</v>
      </c>
      <c r="F85" s="17" t="s">
        <v>793</v>
      </c>
      <c r="G85" s="17" t="s">
        <v>799</v>
      </c>
      <c r="H85" s="17" t="s">
        <v>541</v>
      </c>
      <c r="I85" s="17" t="s">
        <v>2356</v>
      </c>
      <c r="J85" s="17" t="s">
        <v>1051</v>
      </c>
      <c r="K85" s="17">
        <v>1.0</v>
      </c>
      <c r="L85" s="17">
        <v>50000.0</v>
      </c>
      <c r="M85" s="140">
        <f t="shared" si="10"/>
        <v>50000</v>
      </c>
      <c r="N85" s="17">
        <v>30.0</v>
      </c>
      <c r="O85" s="171">
        <f t="shared" si="11"/>
        <v>10</v>
      </c>
      <c r="P85" s="171">
        <f t="shared" si="7"/>
        <v>5</v>
      </c>
      <c r="Q85" s="17">
        <v>5.0</v>
      </c>
      <c r="R85" s="171">
        <f t="shared" si="12"/>
        <v>50</v>
      </c>
      <c r="S85" s="17" t="s">
        <v>2672</v>
      </c>
      <c r="T85" s="133" t="s">
        <v>2673</v>
      </c>
      <c r="U85" s="134" t="str">
        <f>HYPERLINK("https://drive.google.com/file/d/1hBYqMSr0TXoSDj3lvIkoeVPTfbkUP3ik/view?usp=drivesdk","ATR-FTIR_Citra Nurlaela R_425")</f>
        <v>ATR-FTIR_Citra Nurlaela R_425</v>
      </c>
      <c r="V85" s="17" t="s">
        <v>2657</v>
      </c>
    </row>
    <row r="86">
      <c r="A86" s="149">
        <v>45831.0</v>
      </c>
      <c r="B86" s="149">
        <v>45831.0</v>
      </c>
      <c r="C86" s="17" t="s">
        <v>2353</v>
      </c>
      <c r="D86" s="168">
        <v>397.0</v>
      </c>
      <c r="E86" s="284" t="s">
        <v>2674</v>
      </c>
      <c r="F86" s="17">
        <v>9.120605772641E12</v>
      </c>
      <c r="G86" s="17" t="s">
        <v>2674</v>
      </c>
      <c r="H86" s="17" t="s">
        <v>541</v>
      </c>
      <c r="I86" s="17" t="s">
        <v>2356</v>
      </c>
      <c r="J86" s="17" t="s">
        <v>1051</v>
      </c>
      <c r="K86" s="17">
        <v>1.0</v>
      </c>
      <c r="L86" s="17">
        <v>100000.0</v>
      </c>
      <c r="M86" s="140">
        <f t="shared" si="10"/>
        <v>100000</v>
      </c>
      <c r="N86" s="17">
        <v>30.0</v>
      </c>
      <c r="O86" s="171">
        <f t="shared" si="11"/>
        <v>10</v>
      </c>
      <c r="P86" s="171">
        <f t="shared" si="7"/>
        <v>5</v>
      </c>
      <c r="Q86" s="17">
        <v>5.0</v>
      </c>
      <c r="R86" s="171">
        <f t="shared" si="12"/>
        <v>50</v>
      </c>
      <c r="S86" s="17" t="s">
        <v>2675</v>
      </c>
      <c r="T86" s="133" t="s">
        <v>2676</v>
      </c>
      <c r="U86" s="134" t="str">
        <f>HYPERLINK("https://drive.google.com/file/d/1jT_KDRuNhn5SlNHrzfnScMilH8Mz1mF9/view?usp=drivesdk","ATR-FTIR_PT Huda Rachma Grupindo_397")</f>
        <v>ATR-FTIR_PT Huda Rachma Grupindo_397</v>
      </c>
      <c r="V86" s="17" t="s">
        <v>2677</v>
      </c>
    </row>
    <row r="87">
      <c r="A87" s="149">
        <v>45831.0</v>
      </c>
      <c r="B87" s="149">
        <v>45831.0</v>
      </c>
      <c r="C87" s="17" t="s">
        <v>2353</v>
      </c>
      <c r="D87" s="168">
        <v>417.0</v>
      </c>
      <c r="E87" s="284" t="s">
        <v>2606</v>
      </c>
      <c r="F87" s="17" t="s">
        <v>2607</v>
      </c>
      <c r="G87" s="17" t="s">
        <v>1132</v>
      </c>
      <c r="H87" s="17" t="s">
        <v>621</v>
      </c>
      <c r="I87" s="17" t="s">
        <v>2356</v>
      </c>
      <c r="J87" s="17" t="s">
        <v>1051</v>
      </c>
      <c r="K87" s="17">
        <v>3.0</v>
      </c>
      <c r="L87" s="17">
        <v>50000.0</v>
      </c>
      <c r="M87" s="140">
        <f t="shared" si="10"/>
        <v>150000</v>
      </c>
      <c r="N87" s="17">
        <v>30.0</v>
      </c>
      <c r="O87" s="171">
        <f t="shared" si="11"/>
        <v>30</v>
      </c>
      <c r="P87" s="171">
        <f t="shared" si="7"/>
        <v>15</v>
      </c>
      <c r="Q87" s="17">
        <v>5.0</v>
      </c>
      <c r="R87" s="171">
        <f t="shared" si="12"/>
        <v>80</v>
      </c>
      <c r="S87" s="17" t="s">
        <v>2678</v>
      </c>
      <c r="T87" s="133" t="s">
        <v>2679</v>
      </c>
      <c r="U87" s="134" t="str">
        <f>HYPERLINK("https://drive.google.com/file/d/10cIv_40sa8GSsxe63mMbzKQDjMEZ38qf/view?usp=drivesdk","ATR-FTIR_Izza Laila Nur Rohmah_417")</f>
        <v>ATR-FTIR_Izza Laila Nur Rohmah_417</v>
      </c>
      <c r="V87" s="17" t="s">
        <v>2677</v>
      </c>
    </row>
    <row r="88">
      <c r="A88" s="149">
        <v>45832.0</v>
      </c>
      <c r="B88" s="149">
        <v>45834.0</v>
      </c>
      <c r="C88" s="17" t="s">
        <v>2353</v>
      </c>
      <c r="D88" s="168">
        <v>439.0</v>
      </c>
      <c r="E88" s="284" t="s">
        <v>2680</v>
      </c>
      <c r="F88" s="17" t="s">
        <v>2681</v>
      </c>
      <c r="G88" s="17" t="s">
        <v>2682</v>
      </c>
      <c r="H88" s="17" t="s">
        <v>621</v>
      </c>
      <c r="I88" s="17" t="s">
        <v>2356</v>
      </c>
      <c r="J88" s="17" t="s">
        <v>777</v>
      </c>
      <c r="K88" s="17">
        <v>7.0</v>
      </c>
      <c r="L88" s="17">
        <v>50000.0</v>
      </c>
      <c r="M88" s="140">
        <f t="shared" si="10"/>
        <v>350000</v>
      </c>
      <c r="N88" s="17">
        <v>30.0</v>
      </c>
      <c r="O88" s="171">
        <f t="shared" si="11"/>
        <v>70</v>
      </c>
      <c r="P88" s="171">
        <f t="shared" si="7"/>
        <v>35</v>
      </c>
      <c r="Q88" s="17">
        <v>5.0</v>
      </c>
      <c r="R88" s="171">
        <f t="shared" si="12"/>
        <v>140</v>
      </c>
      <c r="S88" s="17" t="s">
        <v>2683</v>
      </c>
      <c r="T88" s="133" t="s">
        <v>2684</v>
      </c>
      <c r="U88" s="134" t="str">
        <f>HYPERLINK("https://drive.google.com/file/d/1sS8afs--YV8xH5d6lrNFWcQQQMOEdJX-/view?usp=drivesdk","ATR-FTIR_Mita Aurelia Sabrina_439")</f>
        <v>ATR-FTIR_Mita Aurelia Sabrina_439</v>
      </c>
      <c r="V88" s="17" t="s">
        <v>2685</v>
      </c>
    </row>
    <row r="89">
      <c r="A89" s="149">
        <v>45834.0</v>
      </c>
      <c r="B89" s="149">
        <v>45834.0</v>
      </c>
      <c r="C89" s="17" t="s">
        <v>2353</v>
      </c>
      <c r="D89" s="168">
        <v>446.0</v>
      </c>
      <c r="E89" s="284" t="s">
        <v>2686</v>
      </c>
      <c r="F89" s="17" t="s">
        <v>2687</v>
      </c>
      <c r="G89" s="17" t="s">
        <v>2682</v>
      </c>
      <c r="H89" s="17" t="s">
        <v>621</v>
      </c>
      <c r="I89" s="17" t="s">
        <v>2356</v>
      </c>
      <c r="J89" s="17" t="s">
        <v>777</v>
      </c>
      <c r="K89" s="17">
        <v>6.0</v>
      </c>
      <c r="L89" s="17">
        <v>50000.0</v>
      </c>
      <c r="M89" s="140">
        <f t="shared" si="10"/>
        <v>300000</v>
      </c>
      <c r="N89" s="17">
        <v>30.0</v>
      </c>
      <c r="O89" s="171">
        <f t="shared" si="11"/>
        <v>60</v>
      </c>
      <c r="P89" s="171">
        <f t="shared" si="7"/>
        <v>30</v>
      </c>
      <c r="Q89" s="17">
        <v>5.0</v>
      </c>
      <c r="R89" s="171">
        <f t="shared" si="12"/>
        <v>125</v>
      </c>
      <c r="S89" s="17" t="s">
        <v>2688</v>
      </c>
      <c r="T89" s="133" t="s">
        <v>2689</v>
      </c>
      <c r="U89" s="134" t="str">
        <f>HYPERLINK("https://drive.google.com/file/d/1JUY88_SZeE3I8hWHFTsSNuJES3sh0GYu/view?usp=drivesdk","ATR-FTIR_Sakina Enova Rahmawati_446")</f>
        <v>ATR-FTIR_Sakina Enova Rahmawati_446</v>
      </c>
      <c r="V89" s="17" t="s">
        <v>2690</v>
      </c>
    </row>
    <row r="90">
      <c r="A90" s="149">
        <v>45831.0</v>
      </c>
      <c r="B90" s="149">
        <v>45838.0</v>
      </c>
      <c r="C90" s="17" t="s">
        <v>2353</v>
      </c>
      <c r="D90" s="168">
        <v>437.0</v>
      </c>
      <c r="E90" s="284" t="s">
        <v>2118</v>
      </c>
      <c r="F90" s="17" t="s">
        <v>2119</v>
      </c>
      <c r="G90" s="17" t="s">
        <v>799</v>
      </c>
      <c r="H90" s="17" t="s">
        <v>541</v>
      </c>
      <c r="I90" s="17" t="s">
        <v>2356</v>
      </c>
      <c r="J90" s="17" t="s">
        <v>1051</v>
      </c>
      <c r="K90" s="17">
        <v>6.0</v>
      </c>
      <c r="L90" s="17">
        <v>50000.0</v>
      </c>
      <c r="M90" s="140">
        <f t="shared" si="10"/>
        <v>300000</v>
      </c>
      <c r="N90" s="17">
        <v>30.0</v>
      </c>
      <c r="O90" s="171">
        <f t="shared" si="11"/>
        <v>60</v>
      </c>
      <c r="P90" s="171">
        <f t="shared" si="7"/>
        <v>30</v>
      </c>
      <c r="Q90" s="17">
        <v>5.0</v>
      </c>
      <c r="R90" s="171">
        <f t="shared" si="12"/>
        <v>125</v>
      </c>
      <c r="S90" s="17" t="s">
        <v>2691</v>
      </c>
      <c r="T90" s="133" t="s">
        <v>2692</v>
      </c>
      <c r="U90" s="134" t="str">
        <f>HYPERLINK("https://drive.google.com/file/d/1kF40fyFJ76sk7v3aSoC06kYMJ639BqbR/view?usp=drivesdk","ATR-FTIR_Revian Alifino Revaza_437")</f>
        <v>ATR-FTIR_Revian Alifino Revaza_437</v>
      </c>
      <c r="V90" s="17" t="s">
        <v>2693</v>
      </c>
    </row>
    <row r="91">
      <c r="A91" s="149">
        <v>45832.0</v>
      </c>
      <c r="B91" s="149">
        <v>45834.0</v>
      </c>
      <c r="C91" s="17" t="s">
        <v>2353</v>
      </c>
      <c r="D91" s="168">
        <v>439.0</v>
      </c>
      <c r="E91" s="284" t="s">
        <v>2680</v>
      </c>
      <c r="F91" s="17" t="s">
        <v>2681</v>
      </c>
      <c r="G91" s="17" t="s">
        <v>2534</v>
      </c>
      <c r="H91" s="17" t="s">
        <v>621</v>
      </c>
      <c r="I91" s="17" t="s">
        <v>2356</v>
      </c>
      <c r="J91" s="17" t="s">
        <v>777</v>
      </c>
      <c r="K91" s="17">
        <v>7.0</v>
      </c>
      <c r="L91" s="17">
        <v>50000.0</v>
      </c>
      <c r="M91" s="140">
        <f t="shared" si="10"/>
        <v>350000</v>
      </c>
      <c r="N91" s="17">
        <v>30.0</v>
      </c>
      <c r="O91" s="171">
        <f t="shared" si="11"/>
        <v>70</v>
      </c>
      <c r="P91" s="171">
        <f t="shared" si="7"/>
        <v>35</v>
      </c>
      <c r="Q91" s="17">
        <v>5.0</v>
      </c>
      <c r="R91" s="171">
        <f t="shared" si="12"/>
        <v>140</v>
      </c>
      <c r="S91" s="17" t="s">
        <v>2694</v>
      </c>
      <c r="T91" s="133" t="s">
        <v>2695</v>
      </c>
      <c r="U91" s="134" t="str">
        <f>HYPERLINK("https://drive.google.com/file/d/1PKyYrIeb1bZFhkGJ1MWbrcy8AHLpdeZW/view?usp=drivesdk","ATR-FTIR_Mita Aurelia Sabrina_439")</f>
        <v>ATR-FTIR_Mita Aurelia Sabrina_439</v>
      </c>
      <c r="V91" s="17" t="s">
        <v>2696</v>
      </c>
    </row>
    <row r="92">
      <c r="A92" s="149">
        <v>45834.0</v>
      </c>
      <c r="B92" s="149">
        <v>45834.0</v>
      </c>
      <c r="C92" s="17" t="s">
        <v>2353</v>
      </c>
      <c r="D92" s="168">
        <v>446.0</v>
      </c>
      <c r="E92" s="284" t="s">
        <v>2686</v>
      </c>
      <c r="F92" s="17" t="s">
        <v>2687</v>
      </c>
      <c r="G92" s="17" t="s">
        <v>2534</v>
      </c>
      <c r="H92" s="17" t="s">
        <v>621</v>
      </c>
      <c r="I92" s="17" t="s">
        <v>2356</v>
      </c>
      <c r="J92" s="17" t="s">
        <v>777</v>
      </c>
      <c r="K92" s="17">
        <v>6.0</v>
      </c>
      <c r="L92" s="17">
        <v>50000.0</v>
      </c>
      <c r="M92" s="140">
        <f t="shared" si="10"/>
        <v>300000</v>
      </c>
      <c r="N92" s="17">
        <v>30.0</v>
      </c>
      <c r="O92" s="171">
        <f t="shared" si="11"/>
        <v>60</v>
      </c>
      <c r="P92" s="171">
        <f t="shared" si="7"/>
        <v>30</v>
      </c>
      <c r="Q92" s="17">
        <v>5.0</v>
      </c>
      <c r="R92" s="171">
        <f t="shared" si="12"/>
        <v>125</v>
      </c>
      <c r="S92" s="17" t="s">
        <v>2697</v>
      </c>
      <c r="T92" s="133" t="s">
        <v>2698</v>
      </c>
      <c r="U92" s="134" t="str">
        <f>HYPERLINK("https://drive.google.com/file/d/19lgMDcp-ecGKmGMm93E_tAdqXvgMJonX/view?usp=drivesdk","ATR-FTIR_Sakina Enova Rahmawati_446")</f>
        <v>ATR-FTIR_Sakina Enova Rahmawati_446</v>
      </c>
      <c r="V92" s="17" t="s">
        <v>2696</v>
      </c>
    </row>
    <row r="93">
      <c r="A93" s="149">
        <v>45839.0</v>
      </c>
      <c r="B93" s="149">
        <v>45839.0</v>
      </c>
      <c r="C93" s="17" t="s">
        <v>2353</v>
      </c>
      <c r="D93" s="168">
        <v>453.0</v>
      </c>
      <c r="E93" s="284" t="s">
        <v>797</v>
      </c>
      <c r="F93" s="17" t="s">
        <v>798</v>
      </c>
      <c r="G93" s="17" t="s">
        <v>799</v>
      </c>
      <c r="H93" s="17" t="s">
        <v>541</v>
      </c>
      <c r="I93" s="17" t="s">
        <v>2356</v>
      </c>
      <c r="J93" s="17" t="s">
        <v>1051</v>
      </c>
      <c r="K93" s="17">
        <v>1.0</v>
      </c>
      <c r="L93" s="17">
        <v>50000.0</v>
      </c>
      <c r="M93" s="140">
        <f t="shared" si="10"/>
        <v>50000</v>
      </c>
      <c r="N93" s="17">
        <v>30.0</v>
      </c>
      <c r="O93" s="171">
        <f t="shared" si="11"/>
        <v>10</v>
      </c>
      <c r="P93" s="171">
        <f t="shared" si="7"/>
        <v>5</v>
      </c>
      <c r="Q93" s="17">
        <v>5.0</v>
      </c>
      <c r="R93" s="171">
        <f t="shared" si="12"/>
        <v>50</v>
      </c>
      <c r="S93" s="17" t="s">
        <v>2699</v>
      </c>
      <c r="T93" s="133" t="s">
        <v>2700</v>
      </c>
      <c r="U93" s="134" t="str">
        <f>HYPERLINK("https://drive.google.com/file/d/1kGNHVXEgtTReLloiDRs_bUlprJ5XXTjm/view?usp=drivesdk","ATR-FTIR_Layla Nadda Zabrina_453")</f>
        <v>ATR-FTIR_Layla Nadda Zabrina_453</v>
      </c>
      <c r="V93" s="17" t="s">
        <v>2701</v>
      </c>
    </row>
    <row r="94">
      <c r="A94" s="149">
        <v>45841.0</v>
      </c>
      <c r="B94" s="149">
        <v>45841.0</v>
      </c>
      <c r="C94" s="17" t="s">
        <v>2353</v>
      </c>
      <c r="D94" s="168">
        <v>459.0</v>
      </c>
      <c r="E94" s="284" t="s">
        <v>2702</v>
      </c>
      <c r="F94" s="17" t="s">
        <v>2164</v>
      </c>
      <c r="G94" s="17" t="s">
        <v>1132</v>
      </c>
      <c r="H94" s="17" t="s">
        <v>621</v>
      </c>
      <c r="I94" s="17" t="s">
        <v>2356</v>
      </c>
      <c r="J94" s="17" t="s">
        <v>777</v>
      </c>
      <c r="K94" s="17">
        <v>1.0</v>
      </c>
      <c r="L94" s="17">
        <v>50000.0</v>
      </c>
      <c r="M94" s="140">
        <f t="shared" si="10"/>
        <v>50000</v>
      </c>
      <c r="N94" s="17">
        <v>30.0</v>
      </c>
      <c r="O94" s="171">
        <f t="shared" si="11"/>
        <v>10</v>
      </c>
      <c r="P94" s="171">
        <f t="shared" si="7"/>
        <v>5</v>
      </c>
      <c r="Q94" s="17">
        <v>5.0</v>
      </c>
      <c r="R94" s="171">
        <f t="shared" si="12"/>
        <v>50</v>
      </c>
      <c r="S94" s="17" t="s">
        <v>2703</v>
      </c>
      <c r="T94" s="133" t="s">
        <v>2704</v>
      </c>
      <c r="U94" s="134" t="str">
        <f>HYPERLINK("https://drive.google.com/file/d/1tAqkDrSxPMJL4gs_re_M_Lt9L6k7Ex0L/view?usp=drivesdk","ATR-FTIR_Aan Kartika Fitriani_459")</f>
        <v>ATR-FTIR_Aan Kartika Fitriani_459</v>
      </c>
      <c r="V94" s="17" t="s">
        <v>2705</v>
      </c>
    </row>
    <row r="95">
      <c r="A95" s="149">
        <v>45846.0</v>
      </c>
      <c r="B95" s="149">
        <v>45847.0</v>
      </c>
      <c r="C95" s="17" t="s">
        <v>2353</v>
      </c>
      <c r="D95" s="168">
        <v>468.0</v>
      </c>
      <c r="E95" s="17" t="s">
        <v>2208</v>
      </c>
      <c r="F95" s="17" t="s">
        <v>2209</v>
      </c>
      <c r="G95" s="17" t="s">
        <v>799</v>
      </c>
      <c r="H95" s="17" t="s">
        <v>541</v>
      </c>
      <c r="I95" s="17" t="s">
        <v>2356</v>
      </c>
      <c r="J95" s="17" t="s">
        <v>1051</v>
      </c>
      <c r="K95" s="17">
        <v>2.0</v>
      </c>
      <c r="L95" s="17">
        <v>50000.0</v>
      </c>
      <c r="M95" s="140">
        <f t="shared" si="10"/>
        <v>100000</v>
      </c>
      <c r="N95" s="17">
        <v>30.0</v>
      </c>
      <c r="O95" s="171">
        <f t="shared" si="11"/>
        <v>20</v>
      </c>
      <c r="P95" s="171">
        <f t="shared" si="7"/>
        <v>10</v>
      </c>
      <c r="Q95" s="17">
        <v>5.0</v>
      </c>
      <c r="R95" s="171">
        <f t="shared" si="12"/>
        <v>65</v>
      </c>
      <c r="S95" s="17" t="s">
        <v>2706</v>
      </c>
      <c r="T95" s="133" t="s">
        <v>2707</v>
      </c>
      <c r="U95" s="134" t="str">
        <f>HYPERLINK("https://drive.google.com/file/d/1gvPcH6j3vSiCVKenhKtfb4l4LcTu7iN9/view?usp=drivesdk","ATR-FTIR_Faradila Putri Dewinta Azzahra_468")</f>
        <v>ATR-FTIR_Faradila Putri Dewinta Azzahra_468</v>
      </c>
      <c r="V95" s="17" t="s">
        <v>2708</v>
      </c>
    </row>
    <row r="96">
      <c r="A96" s="149">
        <v>45860.0</v>
      </c>
      <c r="B96" s="149" t="s">
        <v>2709</v>
      </c>
      <c r="C96" s="17" t="s">
        <v>2353</v>
      </c>
      <c r="D96" s="168">
        <v>489.0</v>
      </c>
      <c r="E96" s="17" t="s">
        <v>2194</v>
      </c>
      <c r="F96" s="17" t="s">
        <v>2195</v>
      </c>
      <c r="G96" s="17" t="s">
        <v>1132</v>
      </c>
      <c r="H96" s="17" t="s">
        <v>621</v>
      </c>
      <c r="I96" s="17" t="s">
        <v>2356</v>
      </c>
      <c r="J96" s="17" t="s">
        <v>1051</v>
      </c>
      <c r="K96" s="17">
        <v>4.0</v>
      </c>
      <c r="L96" s="17">
        <v>50000.0</v>
      </c>
      <c r="M96" s="140">
        <f t="shared" si="10"/>
        <v>200000</v>
      </c>
      <c r="N96" s="17">
        <v>30.0</v>
      </c>
      <c r="O96" s="171">
        <f t="shared" si="11"/>
        <v>40</v>
      </c>
      <c r="P96" s="171">
        <f t="shared" si="7"/>
        <v>20</v>
      </c>
      <c r="Q96" s="17">
        <v>5.0</v>
      </c>
      <c r="R96" s="171">
        <f t="shared" si="12"/>
        <v>95</v>
      </c>
      <c r="S96" s="17" t="s">
        <v>2710</v>
      </c>
      <c r="T96" s="133" t="s">
        <v>2711</v>
      </c>
      <c r="U96" s="134" t="str">
        <f>HYPERLINK("https://drive.google.com/file/d/16luAFzUZUpEu6YK40KNHJQIIPgYn4-Z6/view?usp=drivesdk","ATR-FTIR_Dzakiyach Aufa Furqony_489")</f>
        <v>ATR-FTIR_Dzakiyach Aufa Furqony_489</v>
      </c>
      <c r="V96" s="17" t="s">
        <v>2712</v>
      </c>
    </row>
    <row r="97">
      <c r="A97" s="149">
        <v>45859.0</v>
      </c>
      <c r="B97" s="149">
        <v>45860.0</v>
      </c>
      <c r="C97" s="17" t="s">
        <v>2353</v>
      </c>
      <c r="D97" s="168">
        <v>488.0</v>
      </c>
      <c r="E97" s="17" t="s">
        <v>723</v>
      </c>
      <c r="F97" s="17" t="s">
        <v>724</v>
      </c>
      <c r="G97" s="17" t="s">
        <v>2631</v>
      </c>
      <c r="H97" s="17" t="s">
        <v>621</v>
      </c>
      <c r="I97" s="17" t="s">
        <v>2356</v>
      </c>
      <c r="J97" s="17" t="s">
        <v>1051</v>
      </c>
      <c r="K97" s="17">
        <v>2.0</v>
      </c>
      <c r="L97" s="17">
        <v>50000.0</v>
      </c>
      <c r="M97" s="140">
        <f t="shared" si="10"/>
        <v>100000</v>
      </c>
      <c r="N97" s="17">
        <v>30.0</v>
      </c>
      <c r="O97" s="171">
        <f t="shared" si="11"/>
        <v>20</v>
      </c>
      <c r="P97" s="171">
        <f t="shared" si="7"/>
        <v>10</v>
      </c>
      <c r="Q97" s="17">
        <v>5.0</v>
      </c>
      <c r="R97" s="171">
        <f t="shared" si="12"/>
        <v>65</v>
      </c>
      <c r="S97" s="17" t="s">
        <v>2713</v>
      </c>
      <c r="T97" s="133" t="s">
        <v>2714</v>
      </c>
      <c r="U97" s="134" t="str">
        <f>HYPERLINK("https://drive.google.com/file/d/1ZWYOhTxkL7NdJnNrWsPbjI3JWob5SfIn/view?usp=drivesdk","ATR-FTIR_Mazlan_488")</f>
        <v>ATR-FTIR_Mazlan_488</v>
      </c>
      <c r="V97" s="17" t="s">
        <v>2712</v>
      </c>
    </row>
    <row r="98">
      <c r="A98" s="149">
        <v>45867.0</v>
      </c>
      <c r="B98" s="149">
        <v>45869.0</v>
      </c>
      <c r="C98" s="17" t="s">
        <v>2353</v>
      </c>
      <c r="D98" s="168">
        <v>506.0</v>
      </c>
      <c r="E98" s="17" t="s">
        <v>2715</v>
      </c>
      <c r="F98" s="17" t="s">
        <v>2644</v>
      </c>
      <c r="G98" s="17" t="s">
        <v>814</v>
      </c>
      <c r="H98" s="17" t="s">
        <v>541</v>
      </c>
      <c r="I98" s="17" t="s">
        <v>2356</v>
      </c>
      <c r="J98" s="17" t="s">
        <v>1051</v>
      </c>
      <c r="K98" s="17">
        <v>1.0</v>
      </c>
      <c r="L98" s="17">
        <v>50000.0</v>
      </c>
      <c r="M98" s="140">
        <f t="shared" si="10"/>
        <v>50000</v>
      </c>
      <c r="N98" s="17">
        <v>30.0</v>
      </c>
      <c r="O98" s="171">
        <f t="shared" si="11"/>
        <v>10</v>
      </c>
      <c r="P98" s="171">
        <f t="shared" si="7"/>
        <v>5</v>
      </c>
      <c r="Q98" s="17">
        <v>5.0</v>
      </c>
      <c r="R98" s="171">
        <f t="shared" si="12"/>
        <v>50</v>
      </c>
      <c r="S98" s="17" t="s">
        <v>2716</v>
      </c>
      <c r="T98" s="133" t="s">
        <v>2717</v>
      </c>
      <c r="U98" s="134" t="str">
        <f>HYPERLINK("https://drive.google.com/file/d/1OZnyPPOO9tGZPISnB0A2s8NjzWthdBj4/view?usp=drivesdk","ATR-FTIR_Khusnul Ergina Reswari_506")</f>
        <v>ATR-FTIR_Khusnul Ergina Reswari_506</v>
      </c>
      <c r="V98" s="17" t="s">
        <v>2718</v>
      </c>
    </row>
    <row r="99">
      <c r="A99" s="149">
        <v>45870.0</v>
      </c>
      <c r="B99" s="149">
        <v>45873.0</v>
      </c>
      <c r="C99" s="17" t="s">
        <v>2353</v>
      </c>
      <c r="D99" s="168">
        <v>514.0</v>
      </c>
      <c r="E99" s="194" t="s">
        <v>2719</v>
      </c>
      <c r="F99" s="17" t="s">
        <v>2720</v>
      </c>
      <c r="G99" s="17" t="s">
        <v>1872</v>
      </c>
      <c r="H99" s="17" t="s">
        <v>541</v>
      </c>
      <c r="I99" s="17" t="s">
        <v>2356</v>
      </c>
      <c r="J99" s="17" t="s">
        <v>1051</v>
      </c>
      <c r="K99" s="17">
        <v>30.0</v>
      </c>
      <c r="L99" s="17">
        <v>50000.0</v>
      </c>
      <c r="M99" s="140">
        <f t="shared" si="10"/>
        <v>1500000</v>
      </c>
      <c r="N99" s="17">
        <v>30.0</v>
      </c>
      <c r="O99" s="171">
        <f t="shared" si="11"/>
        <v>300</v>
      </c>
      <c r="P99" s="171">
        <f t="shared" si="7"/>
        <v>150</v>
      </c>
      <c r="Q99" s="17">
        <v>5.0</v>
      </c>
      <c r="R99" s="171">
        <f t="shared" si="12"/>
        <v>485</v>
      </c>
      <c r="S99" s="17" t="s">
        <v>2721</v>
      </c>
      <c r="T99" s="133" t="s">
        <v>2722</v>
      </c>
      <c r="U99" s="134" t="str">
        <f>HYPERLINK("https://drive.google.com/file/d/1wyF2ywKjr6xXBfFurBQPTmQMwP-Nl_Yb/view?usp=drivesdk","ATR-FTIR_Farah Nurhanifah_514")</f>
        <v>ATR-FTIR_Farah Nurhanifah_514</v>
      </c>
      <c r="V99" s="17" t="s">
        <v>2723</v>
      </c>
    </row>
    <row r="100">
      <c r="A100" s="149">
        <v>45870.0</v>
      </c>
      <c r="B100" s="149">
        <v>45873.0</v>
      </c>
      <c r="C100" s="17" t="s">
        <v>2353</v>
      </c>
      <c r="D100" s="168">
        <v>515.0</v>
      </c>
      <c r="E100" s="17" t="s">
        <v>2724</v>
      </c>
      <c r="F100" s="17" t="s">
        <v>2725</v>
      </c>
      <c r="G100" s="17" t="s">
        <v>1872</v>
      </c>
      <c r="H100" s="17" t="s">
        <v>541</v>
      </c>
      <c r="I100" s="17" t="s">
        <v>2356</v>
      </c>
      <c r="J100" s="17" t="s">
        <v>1051</v>
      </c>
      <c r="K100" s="17">
        <v>30.0</v>
      </c>
      <c r="L100" s="17">
        <v>50000.0</v>
      </c>
      <c r="M100" s="140">
        <f t="shared" si="10"/>
        <v>1500000</v>
      </c>
      <c r="N100" s="17">
        <v>30.0</v>
      </c>
      <c r="O100" s="171">
        <f t="shared" si="11"/>
        <v>300</v>
      </c>
      <c r="P100" s="171">
        <f t="shared" si="7"/>
        <v>150</v>
      </c>
      <c r="Q100" s="17">
        <v>5.0</v>
      </c>
      <c r="R100" s="171">
        <f t="shared" si="12"/>
        <v>485</v>
      </c>
      <c r="S100" s="17" t="s">
        <v>2726</v>
      </c>
      <c r="T100" s="133" t="s">
        <v>2727</v>
      </c>
      <c r="U100" s="134" t="str">
        <f>HYPERLINK("https://drive.google.com/file/d/11SBKZtA2bpunR1CCBnlald7ZGfihSkCW/view?usp=drivesdk","ATR-FTIR_Nurul Afifah_515")</f>
        <v>ATR-FTIR_Nurul Afifah_515</v>
      </c>
      <c r="V100" s="17" t="s">
        <v>2723</v>
      </c>
    </row>
    <row r="101">
      <c r="A101" s="149">
        <v>45874.0</v>
      </c>
      <c r="B101" s="149">
        <v>45874.0</v>
      </c>
      <c r="C101" s="17" t="s">
        <v>2353</v>
      </c>
      <c r="D101" s="168">
        <v>534.0</v>
      </c>
      <c r="E101" s="17" t="s">
        <v>681</v>
      </c>
      <c r="F101" s="17" t="s">
        <v>682</v>
      </c>
      <c r="G101" s="17" t="s">
        <v>1751</v>
      </c>
      <c r="H101" s="17" t="s">
        <v>541</v>
      </c>
      <c r="I101" s="17" t="s">
        <v>2356</v>
      </c>
      <c r="J101" s="17" t="s">
        <v>1051</v>
      </c>
      <c r="K101" s="17">
        <v>4.0</v>
      </c>
      <c r="L101" s="17">
        <v>50000.0</v>
      </c>
      <c r="M101" s="140">
        <f t="shared" si="10"/>
        <v>200000</v>
      </c>
      <c r="N101" s="17">
        <v>30.0</v>
      </c>
      <c r="O101" s="171">
        <f t="shared" si="11"/>
        <v>40</v>
      </c>
      <c r="P101" s="171">
        <f t="shared" si="7"/>
        <v>20</v>
      </c>
      <c r="Q101" s="17">
        <v>5.0</v>
      </c>
      <c r="R101" s="171">
        <f t="shared" si="12"/>
        <v>95</v>
      </c>
      <c r="S101" s="17" t="s">
        <v>2728</v>
      </c>
      <c r="T101" s="133" t="s">
        <v>2729</v>
      </c>
      <c r="U101" s="134" t="str">
        <f>HYPERLINK("https://drive.google.com/file/d/160RS55atZ2zKhfhDL45nQhL5Sx8j2MUF/view?usp=drivesdk","ATR-FTIR_Widya Mudyantini_534")</f>
        <v>ATR-FTIR_Widya Mudyantini_534</v>
      </c>
      <c r="V101" s="17" t="s">
        <v>2730</v>
      </c>
    </row>
    <row r="102">
      <c r="A102" s="149">
        <v>45874.0</v>
      </c>
      <c r="B102" s="149">
        <v>45876.0</v>
      </c>
      <c r="C102" s="17" t="s">
        <v>2353</v>
      </c>
      <c r="D102" s="168">
        <v>522.0</v>
      </c>
      <c r="E102" s="17" t="s">
        <v>2731</v>
      </c>
      <c r="F102" s="17" t="s">
        <v>2732</v>
      </c>
      <c r="G102" s="17" t="s">
        <v>1132</v>
      </c>
      <c r="H102" s="17" t="s">
        <v>621</v>
      </c>
      <c r="I102" s="17" t="s">
        <v>2356</v>
      </c>
      <c r="J102" s="17" t="s">
        <v>1051</v>
      </c>
      <c r="K102" s="17">
        <v>2.0</v>
      </c>
      <c r="L102" s="17">
        <v>50000.0</v>
      </c>
      <c r="M102" s="140">
        <f t="shared" si="10"/>
        <v>100000</v>
      </c>
      <c r="N102" s="17">
        <v>30.0</v>
      </c>
      <c r="O102" s="171">
        <f t="shared" si="11"/>
        <v>20</v>
      </c>
      <c r="P102" s="171">
        <f t="shared" si="7"/>
        <v>10</v>
      </c>
      <c r="Q102" s="17">
        <v>5.0</v>
      </c>
      <c r="R102" s="171">
        <f t="shared" si="12"/>
        <v>65</v>
      </c>
      <c r="S102" s="17" t="s">
        <v>2733</v>
      </c>
      <c r="T102" s="133" t="s">
        <v>2734</v>
      </c>
      <c r="U102" s="134" t="str">
        <f>HYPERLINK("https://drive.google.com/file/d/1I_Jsa0zztahq872Qd5wM3VLihuKJ0waT/view?usp=drivesdk","ATR-FTIR_Muhammad Iqbal Juniardi_522")</f>
        <v>ATR-FTIR_Muhammad Iqbal Juniardi_522</v>
      </c>
      <c r="V102" s="17" t="s">
        <v>2730</v>
      </c>
    </row>
    <row r="103">
      <c r="A103" s="149">
        <v>45876.0</v>
      </c>
      <c r="B103" s="149">
        <v>45881.0</v>
      </c>
      <c r="C103" s="17" t="s">
        <v>2353</v>
      </c>
      <c r="D103" s="168">
        <v>528.0</v>
      </c>
      <c r="E103" s="17" t="s">
        <v>2194</v>
      </c>
      <c r="F103" s="17" t="s">
        <v>2195</v>
      </c>
      <c r="G103" s="17" t="s">
        <v>1132</v>
      </c>
      <c r="H103" s="17" t="s">
        <v>621</v>
      </c>
      <c r="I103" s="17" t="s">
        <v>2356</v>
      </c>
      <c r="J103" s="17" t="s">
        <v>1051</v>
      </c>
      <c r="K103" s="17">
        <v>2.0</v>
      </c>
      <c r="L103" s="17">
        <v>50000.0</v>
      </c>
      <c r="M103" s="140">
        <f t="shared" si="10"/>
        <v>100000</v>
      </c>
      <c r="N103" s="17">
        <v>30.0</v>
      </c>
      <c r="O103" s="171">
        <f t="shared" si="11"/>
        <v>20</v>
      </c>
      <c r="P103" s="171">
        <f t="shared" si="7"/>
        <v>10</v>
      </c>
      <c r="Q103" s="17">
        <v>5.0</v>
      </c>
      <c r="R103" s="171">
        <f t="shared" si="12"/>
        <v>65</v>
      </c>
      <c r="S103" s="17" t="s">
        <v>2735</v>
      </c>
      <c r="T103" s="223" t="s">
        <v>2736</v>
      </c>
      <c r="U103" s="134" t="str">
        <f>HYPERLINK("https://drive.google.com/file/d/1YIF9hE2bSLuHZ0sK2gv0VWKB8QlWeBpy/view?usp=drivesdk","ATR-FTIR_Dzakiyach Aufa Furqony_528")</f>
        <v>ATR-FTIR_Dzakiyach Aufa Furqony_528</v>
      </c>
      <c r="V103" s="17" t="s">
        <v>2737</v>
      </c>
    </row>
    <row r="104">
      <c r="A104" s="149">
        <v>45876.0</v>
      </c>
      <c r="B104" s="149">
        <v>45881.0</v>
      </c>
      <c r="C104" s="17" t="s">
        <v>2353</v>
      </c>
      <c r="D104" s="168">
        <v>526.0</v>
      </c>
      <c r="E104" s="284" t="s">
        <v>2620</v>
      </c>
      <c r="F104" s="17" t="s">
        <v>1492</v>
      </c>
      <c r="G104" s="17" t="s">
        <v>1548</v>
      </c>
      <c r="H104" s="17" t="s">
        <v>621</v>
      </c>
      <c r="I104" s="17" t="s">
        <v>2356</v>
      </c>
      <c r="J104" s="17" t="s">
        <v>1051</v>
      </c>
      <c r="K104" s="17">
        <v>2.0</v>
      </c>
      <c r="L104" s="17">
        <v>50000.0</v>
      </c>
      <c r="M104" s="140">
        <f t="shared" si="10"/>
        <v>100000</v>
      </c>
      <c r="N104" s="17">
        <v>30.0</v>
      </c>
      <c r="O104" s="171">
        <f t="shared" si="11"/>
        <v>20</v>
      </c>
      <c r="P104" s="171">
        <f t="shared" si="7"/>
        <v>10</v>
      </c>
      <c r="Q104" s="17">
        <v>5.0</v>
      </c>
      <c r="R104" s="171">
        <f t="shared" si="12"/>
        <v>65</v>
      </c>
      <c r="S104" s="17" t="s">
        <v>2738</v>
      </c>
      <c r="T104" s="133" t="s">
        <v>2739</v>
      </c>
      <c r="U104" s="134" t="str">
        <f>HYPERLINK("https://drive.google.com/file/d/1yjVoqn6zeXf24g9q3ZyxA2M7FhS_JgNb/view?usp=drivesdk","ATR-FTIR_Alief Almansyah Akbar Mastura_526")</f>
        <v>ATR-FTIR_Alief Almansyah Akbar Mastura_526</v>
      </c>
      <c r="V104" s="17" t="s">
        <v>2737</v>
      </c>
    </row>
    <row r="105">
      <c r="A105" s="149">
        <v>45867.0</v>
      </c>
      <c r="B105" s="149">
        <v>45889.0</v>
      </c>
      <c r="C105" s="17" t="s">
        <v>2353</v>
      </c>
      <c r="D105" s="278">
        <v>507.0</v>
      </c>
      <c r="E105" s="136" t="s">
        <v>2740</v>
      </c>
      <c r="F105" s="196" t="s">
        <v>2741</v>
      </c>
      <c r="G105" s="136" t="s">
        <v>867</v>
      </c>
      <c r="H105" s="17" t="s">
        <v>541</v>
      </c>
      <c r="I105" s="17" t="s">
        <v>2356</v>
      </c>
      <c r="J105" s="17" t="s">
        <v>777</v>
      </c>
      <c r="K105" s="17">
        <v>5.0</v>
      </c>
      <c r="L105" s="17">
        <v>100000.0</v>
      </c>
      <c r="M105" s="140">
        <f t="shared" si="10"/>
        <v>500000</v>
      </c>
      <c r="N105" s="17">
        <v>30.0</v>
      </c>
      <c r="O105" s="171">
        <f t="shared" si="11"/>
        <v>50</v>
      </c>
      <c r="P105" s="171">
        <f t="shared" si="7"/>
        <v>25</v>
      </c>
      <c r="Q105" s="17">
        <v>5.0</v>
      </c>
      <c r="R105" s="171">
        <f t="shared" si="12"/>
        <v>110</v>
      </c>
      <c r="S105" s="17" t="s">
        <v>2742</v>
      </c>
      <c r="T105" s="133" t="s">
        <v>2743</v>
      </c>
      <c r="U105" s="134" t="str">
        <f>HYPERLINK("https://drive.google.com/file/d/176-B1BEzNlgo1ZVLvFNl0zZBI93D01wK/view?usp=drivesdk","ATR-FTIR_Seto Satrio_507")</f>
        <v>ATR-FTIR_Seto Satrio_507</v>
      </c>
      <c r="V105" s="17" t="s">
        <v>2744</v>
      </c>
    </row>
    <row r="106">
      <c r="A106" s="149">
        <v>45881.0</v>
      </c>
      <c r="B106" s="149">
        <v>45889.0</v>
      </c>
      <c r="C106" s="17" t="s">
        <v>2353</v>
      </c>
      <c r="D106" s="278">
        <v>535.0</v>
      </c>
      <c r="E106" s="136" t="s">
        <v>2745</v>
      </c>
      <c r="F106" s="136" t="s">
        <v>2746</v>
      </c>
      <c r="G106" s="136" t="s">
        <v>2747</v>
      </c>
      <c r="H106" s="136" t="s">
        <v>541</v>
      </c>
      <c r="I106" s="17" t="s">
        <v>2356</v>
      </c>
      <c r="J106" s="17" t="s">
        <v>777</v>
      </c>
      <c r="K106" s="178">
        <v>5.0</v>
      </c>
      <c r="L106" s="17">
        <v>50000.0</v>
      </c>
      <c r="M106" s="140">
        <f t="shared" si="10"/>
        <v>250000</v>
      </c>
      <c r="N106" s="17">
        <v>30.0</v>
      </c>
      <c r="O106" s="171">
        <f t="shared" si="11"/>
        <v>50</v>
      </c>
      <c r="P106" s="171">
        <f t="shared" si="7"/>
        <v>25</v>
      </c>
      <c r="Q106" s="17">
        <v>5.0</v>
      </c>
      <c r="R106" s="171">
        <f t="shared" si="12"/>
        <v>110</v>
      </c>
      <c r="S106" s="17" t="s">
        <v>2748</v>
      </c>
      <c r="T106" s="133" t="s">
        <v>2749</v>
      </c>
      <c r="U106" s="134" t="str">
        <f>HYPERLINK("https://drive.google.com/file/d/195YsnUZ3j7QvPok1aMjodOUcL9sho_Ru/view?usp=drivesdk","ATR-FTIR_Sularman_535")</f>
        <v>ATR-FTIR_Sularman_535</v>
      </c>
      <c r="V106" s="17" t="s">
        <v>2744</v>
      </c>
    </row>
    <row r="107">
      <c r="A107" s="149">
        <v>45881.0</v>
      </c>
      <c r="B107" s="149">
        <v>45889.0</v>
      </c>
      <c r="C107" s="17" t="s">
        <v>2353</v>
      </c>
      <c r="D107" s="278">
        <v>536.0</v>
      </c>
      <c r="E107" s="136" t="s">
        <v>2750</v>
      </c>
      <c r="F107" s="136" t="s">
        <v>2751</v>
      </c>
      <c r="G107" s="136" t="s">
        <v>2752</v>
      </c>
      <c r="H107" s="136" t="s">
        <v>621</v>
      </c>
      <c r="I107" s="17" t="s">
        <v>2356</v>
      </c>
      <c r="J107" s="17" t="s">
        <v>777</v>
      </c>
      <c r="K107" s="178">
        <v>1.0</v>
      </c>
      <c r="L107" s="17">
        <v>50000.0</v>
      </c>
      <c r="M107" s="140">
        <f t="shared" si="10"/>
        <v>50000</v>
      </c>
      <c r="N107" s="17">
        <v>30.0</v>
      </c>
      <c r="O107" s="171">
        <f t="shared" si="11"/>
        <v>10</v>
      </c>
      <c r="P107" s="171">
        <f t="shared" si="7"/>
        <v>5</v>
      </c>
      <c r="Q107" s="17">
        <v>5.0</v>
      </c>
      <c r="R107" s="171">
        <f t="shared" si="12"/>
        <v>50</v>
      </c>
      <c r="S107" s="17" t="s">
        <v>2753</v>
      </c>
      <c r="T107" s="133" t="s">
        <v>2754</v>
      </c>
      <c r="U107" s="134" t="str">
        <f>HYPERLINK("https://drive.google.com/file/d/1_Mcu_dxGUsgYkGSI1nCz1ZHP0qpxq2az/view?usp=drivesdk","ATR-FTIR_Muhammad Yazid Ar-Rasyid_536")</f>
        <v>ATR-FTIR_Muhammad Yazid Ar-Rasyid_536</v>
      </c>
      <c r="V107" s="17" t="s">
        <v>2755</v>
      </c>
    </row>
    <row r="108">
      <c r="A108" s="149">
        <v>45888.0</v>
      </c>
      <c r="B108" s="149">
        <v>45889.0</v>
      </c>
      <c r="C108" s="17" t="s">
        <v>2353</v>
      </c>
      <c r="D108" s="174">
        <v>537.0</v>
      </c>
      <c r="E108" s="136" t="s">
        <v>2756</v>
      </c>
      <c r="F108" s="136" t="s">
        <v>2757</v>
      </c>
      <c r="G108" s="136" t="s">
        <v>2747</v>
      </c>
      <c r="H108" s="136" t="s">
        <v>541</v>
      </c>
      <c r="I108" s="17" t="s">
        <v>2356</v>
      </c>
      <c r="J108" s="17" t="s">
        <v>777</v>
      </c>
      <c r="K108" s="17">
        <v>4.0</v>
      </c>
      <c r="L108" s="17">
        <v>50000.0</v>
      </c>
      <c r="M108" s="140">
        <f t="shared" si="10"/>
        <v>200000</v>
      </c>
      <c r="N108" s="17">
        <v>30.0</v>
      </c>
      <c r="O108" s="171">
        <f t="shared" si="11"/>
        <v>40</v>
      </c>
      <c r="P108" s="171">
        <f t="shared" si="7"/>
        <v>20</v>
      </c>
      <c r="Q108" s="17">
        <v>5.0</v>
      </c>
      <c r="R108" s="171">
        <f t="shared" si="12"/>
        <v>95</v>
      </c>
      <c r="S108" s="17" t="s">
        <v>2758</v>
      </c>
      <c r="T108" s="133" t="s">
        <v>2759</v>
      </c>
      <c r="U108" s="134" t="str">
        <f>HYPERLINK("https://drive.google.com/file/d/1DEsbPI52E47rAH6gvnqR6Tr38pLgkkpH/view?usp=drivesdk","ATR-FTIR_Hafids Assidiqqi Sularman_537")</f>
        <v>ATR-FTIR_Hafids Assidiqqi Sularman_537</v>
      </c>
      <c r="V108" s="17" t="s">
        <v>2755</v>
      </c>
    </row>
    <row r="109">
      <c r="A109" s="149">
        <v>45898.0</v>
      </c>
      <c r="B109" s="149">
        <v>45898.0</v>
      </c>
      <c r="C109" s="17" t="s">
        <v>2353</v>
      </c>
      <c r="D109" s="168">
        <v>565.0</v>
      </c>
      <c r="E109" s="17" t="s">
        <v>2760</v>
      </c>
      <c r="F109" s="17" t="s">
        <v>2761</v>
      </c>
      <c r="G109" s="17" t="s">
        <v>2762</v>
      </c>
      <c r="H109" s="17" t="s">
        <v>541</v>
      </c>
      <c r="I109" s="17" t="s">
        <v>2356</v>
      </c>
      <c r="J109" s="17" t="s">
        <v>1051</v>
      </c>
      <c r="K109" s="17">
        <v>4.0</v>
      </c>
      <c r="L109" s="17">
        <v>50000.0</v>
      </c>
      <c r="M109" s="140">
        <f t="shared" si="10"/>
        <v>200000</v>
      </c>
      <c r="N109" s="17">
        <v>30.0</v>
      </c>
      <c r="O109" s="171">
        <f t="shared" si="11"/>
        <v>40</v>
      </c>
      <c r="P109" s="171">
        <f t="shared" si="7"/>
        <v>20</v>
      </c>
      <c r="Q109" s="17">
        <v>5.0</v>
      </c>
      <c r="R109" s="171">
        <f t="shared" si="12"/>
        <v>95</v>
      </c>
      <c r="S109" s="17" t="s">
        <v>2763</v>
      </c>
      <c r="T109" s="133" t="s">
        <v>2764</v>
      </c>
      <c r="U109" s="134" t="str">
        <f>HYPERLINK("https://drive.google.com/file/d/1-kZWLwlXA1rjYPKNdUV8Dg5KzYGIYLPE/view?usp=drivesdk","ATR-FTIR_Jualita Faradha A_565")</f>
        <v>ATR-FTIR_Jualita Faradha A_565</v>
      </c>
      <c r="V109" s="17" t="s">
        <v>2765</v>
      </c>
    </row>
    <row r="110">
      <c r="A110" s="149">
        <v>45909.0</v>
      </c>
      <c r="B110" s="149">
        <v>45910.0</v>
      </c>
      <c r="C110" s="17" t="s">
        <v>2353</v>
      </c>
      <c r="D110" s="168">
        <v>577.0</v>
      </c>
      <c r="E110" s="17" t="s">
        <v>2766</v>
      </c>
      <c r="F110" s="17" t="s">
        <v>155</v>
      </c>
      <c r="G110" s="17" t="s">
        <v>2752</v>
      </c>
      <c r="H110" s="17" t="s">
        <v>541</v>
      </c>
      <c r="I110" s="17" t="s">
        <v>2356</v>
      </c>
      <c r="J110" s="17" t="s">
        <v>1051</v>
      </c>
      <c r="K110" s="17">
        <v>2.0</v>
      </c>
      <c r="L110" s="17">
        <v>100000.0</v>
      </c>
      <c r="M110" s="140">
        <f t="shared" si="10"/>
        <v>200000</v>
      </c>
      <c r="N110" s="17">
        <v>30.0</v>
      </c>
      <c r="O110" s="171">
        <f t="shared" si="11"/>
        <v>20</v>
      </c>
      <c r="P110" s="171">
        <f t="shared" si="7"/>
        <v>10</v>
      </c>
      <c r="Q110" s="17">
        <v>5.0</v>
      </c>
      <c r="R110" s="171">
        <f t="shared" si="12"/>
        <v>65</v>
      </c>
      <c r="S110" s="17" t="s">
        <v>2767</v>
      </c>
      <c r="T110" s="133" t="s">
        <v>2768</v>
      </c>
      <c r="U110" s="134" t="str">
        <f>HYPERLINK("https://drive.google.com/file/d/1WlJ_E7v6-iqVbhjLtBH4SEUb8aFCEq1P/view?usp=drivesdk","ATR-FTIR_Eni Budiyati_577")</f>
        <v>ATR-FTIR_Eni Budiyati_577</v>
      </c>
      <c r="V110" s="17" t="s">
        <v>2769</v>
      </c>
    </row>
    <row r="111">
      <c r="A111" s="149">
        <v>45909.0</v>
      </c>
      <c r="B111" s="149">
        <v>45910.0</v>
      </c>
      <c r="C111" s="17" t="s">
        <v>2353</v>
      </c>
      <c r="D111" s="168">
        <v>582.0</v>
      </c>
      <c r="E111" s="17" t="s">
        <v>2770</v>
      </c>
      <c r="F111" s="17" t="s">
        <v>155</v>
      </c>
      <c r="G111" s="17" t="s">
        <v>155</v>
      </c>
      <c r="H111" s="17" t="s">
        <v>541</v>
      </c>
      <c r="I111" s="17" t="s">
        <v>2356</v>
      </c>
      <c r="J111" s="17" t="s">
        <v>1051</v>
      </c>
      <c r="K111" s="17">
        <v>16.0</v>
      </c>
      <c r="L111" s="17">
        <v>100000.0</v>
      </c>
      <c r="M111" s="140">
        <f t="shared" si="10"/>
        <v>1600000</v>
      </c>
      <c r="N111" s="17">
        <v>30.0</v>
      </c>
      <c r="O111" s="171">
        <f t="shared" si="11"/>
        <v>160</v>
      </c>
      <c r="P111" s="171">
        <f t="shared" si="7"/>
        <v>80</v>
      </c>
      <c r="Q111" s="17">
        <v>5.0</v>
      </c>
      <c r="R111" s="171">
        <f t="shared" si="12"/>
        <v>275</v>
      </c>
      <c r="S111" s="17" t="s">
        <v>2771</v>
      </c>
      <c r="T111" s="133" t="s">
        <v>2772</v>
      </c>
      <c r="U111" s="134" t="str">
        <f>HYPERLINK("https://drive.google.com/file/d/1CJ7_ruAyRCy2c2MVtbTGkl0q1LS5w39p/view?usp=drivesdk","ATR-FTIR_Syauqina N_582")</f>
        <v>ATR-FTIR_Syauqina N_582</v>
      </c>
      <c r="V111" s="17" t="s">
        <v>2773</v>
      </c>
    </row>
    <row r="112">
      <c r="A112" s="149">
        <v>45911.0</v>
      </c>
      <c r="B112" s="149">
        <v>45924.0</v>
      </c>
      <c r="C112" s="17" t="s">
        <v>2353</v>
      </c>
      <c r="D112" s="168">
        <v>589.0</v>
      </c>
      <c r="E112" s="17" t="s">
        <v>2745</v>
      </c>
      <c r="F112" s="17" t="s">
        <v>2746</v>
      </c>
      <c r="G112" s="17" t="s">
        <v>2560</v>
      </c>
      <c r="H112" s="17" t="s">
        <v>541</v>
      </c>
      <c r="I112" s="17" t="s">
        <v>2356</v>
      </c>
      <c r="J112" s="17" t="s">
        <v>1051</v>
      </c>
      <c r="K112" s="17">
        <v>5.0</v>
      </c>
      <c r="L112" s="17">
        <v>50000.0</v>
      </c>
      <c r="M112" s="140">
        <f t="shared" si="10"/>
        <v>250000</v>
      </c>
      <c r="N112" s="17">
        <v>30.0</v>
      </c>
      <c r="O112" s="171">
        <f t="shared" si="11"/>
        <v>50</v>
      </c>
      <c r="P112" s="171">
        <f t="shared" si="7"/>
        <v>25</v>
      </c>
      <c r="Q112" s="17">
        <v>5.0</v>
      </c>
      <c r="R112" s="171">
        <f t="shared" si="12"/>
        <v>110</v>
      </c>
      <c r="S112" s="17" t="s">
        <v>2774</v>
      </c>
      <c r="T112" s="133" t="s">
        <v>2775</v>
      </c>
      <c r="U112" s="134" t="str">
        <f>HYPERLINK("https://drive.google.com/file/d/1iFWiIDXSLK9LI3G0LM0UjWMI06cGUSEg/view?usp=drivesdk","ATR-FTIR_Sularman_589")</f>
        <v>ATR-FTIR_Sularman_589</v>
      </c>
      <c r="V112" s="17" t="s">
        <v>2776</v>
      </c>
    </row>
    <row r="113">
      <c r="A113" s="149">
        <v>45918.0</v>
      </c>
      <c r="B113" s="149">
        <v>45924.0</v>
      </c>
      <c r="C113" s="17" t="s">
        <v>2353</v>
      </c>
      <c r="D113" s="168">
        <v>610.0</v>
      </c>
      <c r="E113" s="195" t="s">
        <v>2770</v>
      </c>
      <c r="F113" s="17" t="s">
        <v>155</v>
      </c>
      <c r="G113" s="17" t="s">
        <v>155</v>
      </c>
      <c r="H113" s="17" t="s">
        <v>541</v>
      </c>
      <c r="I113" s="17" t="s">
        <v>2356</v>
      </c>
      <c r="J113" s="17" t="s">
        <v>1051</v>
      </c>
      <c r="K113" s="17">
        <v>16.0</v>
      </c>
      <c r="L113" s="17">
        <v>100000.0</v>
      </c>
      <c r="M113" s="140">
        <f t="shared" si="10"/>
        <v>1600000</v>
      </c>
      <c r="N113" s="17">
        <v>30.0</v>
      </c>
      <c r="O113" s="171">
        <f t="shared" si="11"/>
        <v>160</v>
      </c>
      <c r="P113" s="171">
        <f t="shared" si="7"/>
        <v>80</v>
      </c>
      <c r="Q113" s="17">
        <v>5.0</v>
      </c>
      <c r="R113" s="171">
        <f t="shared" si="12"/>
        <v>275</v>
      </c>
      <c r="S113" s="17" t="s">
        <v>2777</v>
      </c>
      <c r="T113" s="133" t="s">
        <v>2778</v>
      </c>
      <c r="U113" s="134" t="str">
        <f>HYPERLINK("https://drive.google.com/file/d/1_0IIX25-G0JF-yDHx6asFADFFUg8zeKv/view?usp=drivesdk","ATR-FTIR_Syauqina N_610")</f>
        <v>ATR-FTIR_Syauqina N_610</v>
      </c>
      <c r="V113" s="17" t="s">
        <v>2776</v>
      </c>
    </row>
    <row r="114">
      <c r="A114" s="149">
        <v>45923.0</v>
      </c>
      <c r="B114" s="149">
        <v>45924.0</v>
      </c>
      <c r="C114" s="17" t="s">
        <v>2353</v>
      </c>
      <c r="D114" s="168">
        <v>623.0</v>
      </c>
      <c r="E114" s="17" t="s">
        <v>2779</v>
      </c>
      <c r="F114" s="17" t="s">
        <v>2780</v>
      </c>
      <c r="G114" s="17" t="s">
        <v>1132</v>
      </c>
      <c r="H114" s="17" t="s">
        <v>621</v>
      </c>
      <c r="I114" s="17" t="s">
        <v>2356</v>
      </c>
      <c r="J114" s="17" t="s">
        <v>1051</v>
      </c>
      <c r="K114" s="17">
        <v>2.0</v>
      </c>
      <c r="L114" s="17">
        <v>50000.0</v>
      </c>
      <c r="M114" s="140">
        <f t="shared" si="10"/>
        <v>100000</v>
      </c>
      <c r="N114" s="17">
        <v>30.0</v>
      </c>
      <c r="O114" s="171">
        <f t="shared" si="11"/>
        <v>20</v>
      </c>
      <c r="P114" s="171">
        <f t="shared" si="7"/>
        <v>10</v>
      </c>
      <c r="Q114" s="17">
        <v>5.0</v>
      </c>
      <c r="R114" s="171">
        <f t="shared" si="12"/>
        <v>65</v>
      </c>
      <c r="S114" s="17" t="s">
        <v>2781</v>
      </c>
      <c r="T114" s="133" t="s">
        <v>2782</v>
      </c>
      <c r="U114" s="134" t="str">
        <f>HYPERLINK("https://drive.google.com/file/d/1kXSOMGYC98WH5qTC3P-rkaOCpWK-9KfX/view?usp=drivesdk","ATR-FTIR_Siska Nurjanah_623")</f>
        <v>ATR-FTIR_Siska Nurjanah_623</v>
      </c>
      <c r="V114" s="17" t="s">
        <v>2776</v>
      </c>
    </row>
    <row r="115">
      <c r="A115" s="149">
        <v>45919.0</v>
      </c>
      <c r="B115" s="149">
        <v>45924.0</v>
      </c>
      <c r="C115" s="17" t="s">
        <v>2353</v>
      </c>
      <c r="D115" s="168">
        <v>608.0</v>
      </c>
      <c r="E115" s="17" t="s">
        <v>1771</v>
      </c>
      <c r="F115" s="17">
        <v>3.0152425052E10</v>
      </c>
      <c r="G115" s="17" t="s">
        <v>2572</v>
      </c>
      <c r="H115" s="17" t="s">
        <v>541</v>
      </c>
      <c r="I115" s="17" t="s">
        <v>2356</v>
      </c>
      <c r="J115" s="17" t="s">
        <v>1051</v>
      </c>
      <c r="K115" s="17">
        <v>1.0</v>
      </c>
      <c r="L115" s="17">
        <v>100000.0</v>
      </c>
      <c r="M115" s="140">
        <f t="shared" si="10"/>
        <v>100000</v>
      </c>
      <c r="N115" s="17">
        <v>30.0</v>
      </c>
      <c r="O115" s="171">
        <f t="shared" si="11"/>
        <v>10</v>
      </c>
      <c r="P115" s="171">
        <f t="shared" si="7"/>
        <v>5</v>
      </c>
      <c r="Q115" s="17">
        <v>5.0</v>
      </c>
      <c r="R115" s="171">
        <f t="shared" si="12"/>
        <v>50</v>
      </c>
      <c r="S115" s="17" t="s">
        <v>2783</v>
      </c>
      <c r="T115" s="133" t="s">
        <v>2784</v>
      </c>
      <c r="U115" s="134" t="str">
        <f>HYPERLINK("https://drive.google.com/file/d/14QIQU4I8It5ZkBcycOZ6fsIDPpEjY2ch/view?usp=drivesdk","ATR-FTIR_Zacarich Widjoyo Arilo_608")</f>
        <v>ATR-FTIR_Zacarich Widjoyo Arilo_608</v>
      </c>
      <c r="V115" s="17" t="s">
        <v>2785</v>
      </c>
    </row>
    <row r="116">
      <c r="A116" s="285">
        <v>45923.0</v>
      </c>
      <c r="B116" s="285">
        <v>45924.0</v>
      </c>
      <c r="C116" s="17" t="s">
        <v>2353</v>
      </c>
      <c r="D116" s="168">
        <v>622.0</v>
      </c>
      <c r="E116" s="17" t="s">
        <v>2786</v>
      </c>
      <c r="F116" s="17" t="s">
        <v>155</v>
      </c>
      <c r="G116" s="17" t="s">
        <v>155</v>
      </c>
      <c r="H116" s="17" t="s">
        <v>541</v>
      </c>
      <c r="I116" s="17" t="s">
        <v>2356</v>
      </c>
      <c r="J116" s="17" t="s">
        <v>1051</v>
      </c>
      <c r="K116" s="17">
        <v>4.0</v>
      </c>
      <c r="L116" s="17">
        <v>100000.0</v>
      </c>
      <c r="M116" s="140">
        <f t="shared" si="10"/>
        <v>400000</v>
      </c>
      <c r="N116" s="17">
        <v>30.0</v>
      </c>
      <c r="O116" s="171">
        <f t="shared" si="11"/>
        <v>40</v>
      </c>
      <c r="P116" s="171">
        <f t="shared" si="7"/>
        <v>20</v>
      </c>
      <c r="Q116" s="17">
        <v>5.0</v>
      </c>
      <c r="R116" s="171">
        <f t="shared" si="12"/>
        <v>95</v>
      </c>
      <c r="S116" s="17" t="s">
        <v>2787</v>
      </c>
      <c r="T116" s="133" t="s">
        <v>2788</v>
      </c>
      <c r="U116" s="134" t="str">
        <f>HYPERLINK("https://drive.google.com/file/d/1lU65PzsGpYzda9onCiZYoymFmVCXpzu7/view?usp=drivesdk","ATR-FTIR_Martha R_622")</f>
        <v>ATR-FTIR_Martha R_622</v>
      </c>
      <c r="V116" s="17" t="s">
        <v>2785</v>
      </c>
    </row>
    <row r="117">
      <c r="A117" s="285">
        <v>45926.0</v>
      </c>
      <c r="B117" s="285">
        <v>45929.0</v>
      </c>
      <c r="C117" s="17" t="s">
        <v>2353</v>
      </c>
      <c r="D117" s="168">
        <v>632.0</v>
      </c>
      <c r="E117" s="136" t="s">
        <v>723</v>
      </c>
      <c r="F117" s="136" t="s">
        <v>724</v>
      </c>
      <c r="G117" s="136" t="s">
        <v>2789</v>
      </c>
      <c r="H117" s="17" t="s">
        <v>541</v>
      </c>
      <c r="I117" s="17" t="s">
        <v>2356</v>
      </c>
      <c r="J117" s="17" t="s">
        <v>777</v>
      </c>
      <c r="K117" s="17">
        <v>2.0</v>
      </c>
      <c r="L117" s="17">
        <v>50000.0</v>
      </c>
      <c r="M117" s="140">
        <f t="shared" si="10"/>
        <v>100000</v>
      </c>
      <c r="N117" s="17">
        <v>30.0</v>
      </c>
      <c r="O117" s="171">
        <f t="shared" si="11"/>
        <v>20</v>
      </c>
      <c r="P117" s="171">
        <f t="shared" si="7"/>
        <v>10</v>
      </c>
      <c r="Q117" s="17">
        <v>5.0</v>
      </c>
      <c r="R117" s="171">
        <f t="shared" si="12"/>
        <v>65</v>
      </c>
      <c r="S117" s="17" t="s">
        <v>2790</v>
      </c>
      <c r="T117" s="133" t="s">
        <v>2791</v>
      </c>
      <c r="U117" s="134" t="str">
        <f>HYPERLINK("https://drive.google.com/file/d/1TmkP1DJV-SwND1ctpuDFqHWmnAaX4seW/view?usp=drivesdk","ATR-FTIR_Mazlan_632")</f>
        <v>ATR-FTIR_Mazlan_632</v>
      </c>
      <c r="V117" s="17" t="s">
        <v>2792</v>
      </c>
    </row>
    <row r="118">
      <c r="A118" s="285">
        <v>45926.0</v>
      </c>
      <c r="B118" s="285">
        <v>45929.0</v>
      </c>
      <c r="C118" s="17" t="s">
        <v>2353</v>
      </c>
      <c r="D118" s="168">
        <v>634.0</v>
      </c>
      <c r="E118" s="136" t="s">
        <v>2793</v>
      </c>
      <c r="F118" s="136" t="s">
        <v>2794</v>
      </c>
      <c r="G118" s="136" t="s">
        <v>799</v>
      </c>
      <c r="H118" s="17" t="s">
        <v>541</v>
      </c>
      <c r="I118" s="17" t="s">
        <v>2356</v>
      </c>
      <c r="J118" s="17" t="s">
        <v>777</v>
      </c>
      <c r="K118" s="17">
        <v>1.0</v>
      </c>
      <c r="L118" s="17">
        <v>50000.0</v>
      </c>
      <c r="M118" s="140">
        <f t="shared" si="10"/>
        <v>50000</v>
      </c>
      <c r="N118" s="17">
        <v>30.0</v>
      </c>
      <c r="O118" s="171">
        <f t="shared" si="11"/>
        <v>10</v>
      </c>
      <c r="P118" s="171">
        <f t="shared" si="7"/>
        <v>5</v>
      </c>
      <c r="Q118" s="17">
        <v>5.0</v>
      </c>
      <c r="R118" s="171">
        <f t="shared" si="12"/>
        <v>50</v>
      </c>
      <c r="S118" s="17" t="s">
        <v>2795</v>
      </c>
      <c r="T118" s="133" t="s">
        <v>2796</v>
      </c>
      <c r="U118" s="134" t="str">
        <f>HYPERLINK("https://drive.google.com/file/d/1jKT3hs9U9VR4swZQaIMJ7r2B660Lgulc/view?usp=drivesdk","ATR-FTIR_Danur Dwi Fitriatama_634")</f>
        <v>ATR-FTIR_Danur Dwi Fitriatama_634</v>
      </c>
      <c r="V118" s="17" t="s">
        <v>2792</v>
      </c>
    </row>
    <row r="119">
      <c r="A119" s="149">
        <v>45929.0</v>
      </c>
      <c r="B119" s="149">
        <v>45932.0</v>
      </c>
      <c r="C119" s="17" t="s">
        <v>2353</v>
      </c>
      <c r="D119" s="168">
        <v>643.0</v>
      </c>
      <c r="E119" s="17" t="s">
        <v>2797</v>
      </c>
      <c r="F119" s="17" t="s">
        <v>155</v>
      </c>
      <c r="G119" s="17" t="s">
        <v>155</v>
      </c>
      <c r="H119" s="17" t="s">
        <v>541</v>
      </c>
      <c r="I119" s="17" t="s">
        <v>2356</v>
      </c>
      <c r="J119" s="17" t="s">
        <v>1051</v>
      </c>
      <c r="K119" s="17">
        <v>5.0</v>
      </c>
      <c r="L119" s="17">
        <v>100000.0</v>
      </c>
      <c r="M119" s="140">
        <f t="shared" si="10"/>
        <v>500000</v>
      </c>
      <c r="N119" s="17">
        <v>30.0</v>
      </c>
      <c r="O119" s="171">
        <f t="shared" si="11"/>
        <v>50</v>
      </c>
      <c r="P119" s="171">
        <f t="shared" si="7"/>
        <v>25</v>
      </c>
      <c r="Q119" s="17">
        <v>5.0</v>
      </c>
      <c r="R119" s="171">
        <f t="shared" si="12"/>
        <v>110</v>
      </c>
      <c r="S119" s="17" t="s">
        <v>2798</v>
      </c>
      <c r="T119" s="133" t="s">
        <v>2799</v>
      </c>
      <c r="U119" s="134" t="str">
        <f>HYPERLINK("https://drive.google.com/file/d/1JXsMq2Xc6fRZtnK_PgHqj5KszW0m7GJ-/view?usp=drivesdk","ATR-FTIR_M Fauzan L_643")</f>
        <v>ATR-FTIR_M Fauzan L_643</v>
      </c>
      <c r="V119" s="17" t="s">
        <v>2800</v>
      </c>
    </row>
    <row r="120">
      <c r="A120" s="149">
        <v>45923.0</v>
      </c>
      <c r="B120" s="149">
        <v>45933.0</v>
      </c>
      <c r="C120" s="17" t="s">
        <v>2353</v>
      </c>
      <c r="D120" s="168">
        <v>624.0</v>
      </c>
      <c r="E120" s="17" t="s">
        <v>1771</v>
      </c>
      <c r="F120" s="17">
        <v>3.0152425052E10</v>
      </c>
      <c r="G120" s="17" t="s">
        <v>2572</v>
      </c>
      <c r="H120" s="17" t="s">
        <v>541</v>
      </c>
      <c r="I120" s="17" t="s">
        <v>2356</v>
      </c>
      <c r="J120" s="17" t="s">
        <v>1051</v>
      </c>
      <c r="K120" s="17">
        <v>2.0</v>
      </c>
      <c r="L120" s="17">
        <v>100000.0</v>
      </c>
      <c r="M120" s="140">
        <f t="shared" si="10"/>
        <v>200000</v>
      </c>
      <c r="N120" s="17">
        <v>30.0</v>
      </c>
      <c r="O120" s="171">
        <f t="shared" si="11"/>
        <v>20</v>
      </c>
      <c r="P120" s="171">
        <f t="shared" si="7"/>
        <v>10</v>
      </c>
      <c r="Q120" s="17">
        <v>5.0</v>
      </c>
      <c r="R120" s="171">
        <f t="shared" si="12"/>
        <v>65</v>
      </c>
      <c r="S120" s="17" t="s">
        <v>2801</v>
      </c>
      <c r="T120" s="133" t="s">
        <v>2802</v>
      </c>
      <c r="U120" s="134" t="str">
        <f>HYPERLINK("https://drive.google.com/file/d/1rFh2CU40gNveScI-fZ_2CjAnMPz0LXFl/view?usp=drivesdk","ATR-FTIR_Zacarich Widjoyo Arilo_624")</f>
        <v>ATR-FTIR_Zacarich Widjoyo Arilo_624</v>
      </c>
      <c r="V120" s="17" t="s">
        <v>2803</v>
      </c>
    </row>
    <row r="121">
      <c r="A121" s="149">
        <v>45926.0</v>
      </c>
      <c r="B121" s="149">
        <v>45940.0</v>
      </c>
      <c r="C121" s="17" t="s">
        <v>2353</v>
      </c>
      <c r="D121" s="168">
        <v>636.0</v>
      </c>
      <c r="E121" s="17" t="s">
        <v>2804</v>
      </c>
      <c r="F121" s="17" t="s">
        <v>2805</v>
      </c>
      <c r="G121" s="17" t="s">
        <v>1132</v>
      </c>
      <c r="H121" s="17" t="s">
        <v>621</v>
      </c>
      <c r="I121" s="17" t="s">
        <v>2356</v>
      </c>
      <c r="J121" s="17" t="s">
        <v>1051</v>
      </c>
      <c r="K121" s="17">
        <v>1.0</v>
      </c>
      <c r="L121" s="17">
        <v>50000.0</v>
      </c>
      <c r="M121" s="140">
        <f t="shared" si="10"/>
        <v>50000</v>
      </c>
      <c r="N121" s="17">
        <v>30.0</v>
      </c>
      <c r="O121" s="171">
        <f t="shared" si="11"/>
        <v>10</v>
      </c>
      <c r="P121" s="171">
        <f t="shared" si="7"/>
        <v>5</v>
      </c>
      <c r="Q121" s="17">
        <v>5.0</v>
      </c>
      <c r="R121" s="171">
        <f t="shared" si="12"/>
        <v>50</v>
      </c>
      <c r="S121" s="17" t="s">
        <v>2806</v>
      </c>
      <c r="T121" s="133" t="s">
        <v>2807</v>
      </c>
      <c r="U121" s="134" t="str">
        <f>HYPERLINK("https://drive.google.com/file/d/1sFreGq-uJLbfQGB2jrqwARRDA04gA9BO/view?usp=drivesdk","ATR-FTIR_Hana Alimah_636")</f>
        <v>ATR-FTIR_Hana Alimah_636</v>
      </c>
      <c r="V121" s="17" t="s">
        <v>2808</v>
      </c>
    </row>
    <row r="122">
      <c r="A122" s="149">
        <v>45936.0</v>
      </c>
      <c r="B122" s="149">
        <v>45940.0</v>
      </c>
      <c r="C122" s="17" t="s">
        <v>2353</v>
      </c>
      <c r="D122" s="168">
        <v>656.0</v>
      </c>
      <c r="E122" s="17" t="s">
        <v>723</v>
      </c>
      <c r="F122" s="136" t="s">
        <v>724</v>
      </c>
      <c r="G122" s="136" t="s">
        <v>2789</v>
      </c>
      <c r="H122" s="17" t="s">
        <v>541</v>
      </c>
      <c r="I122" s="17" t="s">
        <v>2356</v>
      </c>
      <c r="J122" s="17" t="s">
        <v>1051</v>
      </c>
      <c r="K122" s="17">
        <v>1.0</v>
      </c>
      <c r="L122" s="17">
        <v>50000.0</v>
      </c>
      <c r="M122" s="140">
        <f t="shared" si="10"/>
        <v>50000</v>
      </c>
      <c r="N122" s="17">
        <v>30.0</v>
      </c>
      <c r="O122" s="171">
        <f t="shared" si="11"/>
        <v>10</v>
      </c>
      <c r="P122" s="171">
        <f t="shared" si="7"/>
        <v>5</v>
      </c>
      <c r="Q122" s="17">
        <v>5.0</v>
      </c>
      <c r="R122" s="171">
        <f t="shared" si="12"/>
        <v>50</v>
      </c>
      <c r="S122" s="17" t="s">
        <v>2809</v>
      </c>
      <c r="T122" s="133" t="s">
        <v>2810</v>
      </c>
      <c r="U122" s="134" t="str">
        <f>HYPERLINK("https://drive.google.com/file/d/1XUSLWen-QGKnUiGORBhTLP5cF8NqnoaB/view?usp=drivesdk","ATR-FTIR_Mazlan_656")</f>
        <v>ATR-FTIR_Mazlan_656</v>
      </c>
      <c r="V122" s="17" t="s">
        <v>2808</v>
      </c>
    </row>
    <row r="123">
      <c r="A123" s="149">
        <v>45943.0</v>
      </c>
      <c r="B123" s="149">
        <v>45945.0</v>
      </c>
      <c r="C123" s="17" t="s">
        <v>2353</v>
      </c>
      <c r="D123" s="286">
        <v>669.0</v>
      </c>
      <c r="E123" s="136" t="s">
        <v>2793</v>
      </c>
      <c r="F123" s="136" t="s">
        <v>2794</v>
      </c>
      <c r="G123" s="136" t="s">
        <v>799</v>
      </c>
      <c r="H123" s="17" t="s">
        <v>541</v>
      </c>
      <c r="I123" s="17" t="s">
        <v>2356</v>
      </c>
      <c r="J123" s="17" t="s">
        <v>1051</v>
      </c>
      <c r="K123" s="17">
        <v>1.0</v>
      </c>
      <c r="L123" s="17">
        <v>50000.0</v>
      </c>
      <c r="M123" s="140">
        <f t="shared" si="10"/>
        <v>50000</v>
      </c>
      <c r="N123" s="17">
        <v>30.0</v>
      </c>
      <c r="O123" s="171">
        <f t="shared" si="11"/>
        <v>10</v>
      </c>
      <c r="P123" s="171">
        <f t="shared" si="7"/>
        <v>5</v>
      </c>
      <c r="Q123" s="17">
        <v>5.0</v>
      </c>
      <c r="R123" s="171">
        <f t="shared" si="12"/>
        <v>50</v>
      </c>
      <c r="S123" s="17" t="s">
        <v>2811</v>
      </c>
      <c r="T123" s="133" t="s">
        <v>2812</v>
      </c>
      <c r="U123" s="134" t="str">
        <f>HYPERLINK("https://drive.google.com/file/d/1quu-e_LU-rnU2TF1GPnX9Ahrn_Deopw3/view?usp=drivesdk","ATR-FTIR_Danur Dwi Fitriatama_669")</f>
        <v>ATR-FTIR_Danur Dwi Fitriatama_669</v>
      </c>
      <c r="V123" s="17" t="s">
        <v>2813</v>
      </c>
    </row>
    <row r="124">
      <c r="A124" s="149">
        <v>45947.0</v>
      </c>
      <c r="B124" s="149">
        <v>45951.0</v>
      </c>
      <c r="C124" s="17" t="s">
        <v>2353</v>
      </c>
      <c r="D124" s="168">
        <v>688.0</v>
      </c>
      <c r="E124" s="17" t="s">
        <v>2814</v>
      </c>
      <c r="F124" s="17" t="s">
        <v>2815</v>
      </c>
      <c r="G124" s="17" t="s">
        <v>799</v>
      </c>
      <c r="H124" s="17" t="s">
        <v>541</v>
      </c>
      <c r="I124" s="17" t="s">
        <v>2356</v>
      </c>
      <c r="J124" s="17" t="s">
        <v>1051</v>
      </c>
      <c r="K124" s="17">
        <v>2.0</v>
      </c>
      <c r="L124" s="17">
        <v>50000.0</v>
      </c>
      <c r="M124" s="140">
        <f t="shared" si="10"/>
        <v>100000</v>
      </c>
      <c r="N124" s="17">
        <v>30.0</v>
      </c>
      <c r="O124" s="171">
        <f t="shared" si="11"/>
        <v>20</v>
      </c>
      <c r="P124" s="171">
        <f t="shared" si="7"/>
        <v>10</v>
      </c>
      <c r="Q124" s="17">
        <v>5.0</v>
      </c>
      <c r="R124" s="171">
        <f t="shared" si="12"/>
        <v>65</v>
      </c>
      <c r="S124" s="17" t="s">
        <v>2816</v>
      </c>
      <c r="T124" s="133" t="s">
        <v>2817</v>
      </c>
      <c r="U124" s="134" t="str">
        <f>HYPERLINK("https://drive.google.com/file/d/17sfVlu2fzLqw_b4_9TH5BKkeyYzcsOkZ/view?usp=drivesdk","ATR-FTIR_Risqina Salsabila Syacharani_688")</f>
        <v>ATR-FTIR_Risqina Salsabila Syacharani_688</v>
      </c>
      <c r="V124" s="17" t="s">
        <v>2818</v>
      </c>
    </row>
    <row r="125">
      <c r="A125" s="149">
        <v>45947.0</v>
      </c>
      <c r="B125" s="149">
        <v>45951.0</v>
      </c>
      <c r="C125" s="17" t="s">
        <v>2353</v>
      </c>
      <c r="D125" s="168">
        <v>689.0</v>
      </c>
      <c r="E125" s="17" t="s">
        <v>2819</v>
      </c>
      <c r="F125" s="17" t="s">
        <v>2820</v>
      </c>
      <c r="G125" s="17" t="s">
        <v>799</v>
      </c>
      <c r="H125" s="17" t="s">
        <v>541</v>
      </c>
      <c r="I125" s="17" t="s">
        <v>2356</v>
      </c>
      <c r="J125" s="17" t="s">
        <v>1051</v>
      </c>
      <c r="K125" s="17">
        <v>1.0</v>
      </c>
      <c r="L125" s="17">
        <v>50000.0</v>
      </c>
      <c r="M125" s="140">
        <f t="shared" si="10"/>
        <v>50000</v>
      </c>
      <c r="N125" s="17">
        <v>30.0</v>
      </c>
      <c r="O125" s="171">
        <f t="shared" si="11"/>
        <v>10</v>
      </c>
      <c r="P125" s="171">
        <f t="shared" si="7"/>
        <v>5</v>
      </c>
      <c r="Q125" s="17">
        <v>5.0</v>
      </c>
      <c r="R125" s="171">
        <f t="shared" si="12"/>
        <v>50</v>
      </c>
      <c r="S125" s="17" t="s">
        <v>2821</v>
      </c>
      <c r="T125" s="133" t="s">
        <v>2822</v>
      </c>
      <c r="U125" s="134" t="str">
        <f>HYPERLINK("https://drive.google.com/file/d/1nlEzlfUyd9kEmjme3kc_Fe1IXnR8y-AH/view?usp=drivesdk","ATR-FTIR_Widyastuti Majidah_689")</f>
        <v>ATR-FTIR_Widyastuti Majidah_689</v>
      </c>
      <c r="V125" s="17" t="s">
        <v>2818</v>
      </c>
    </row>
    <row r="126">
      <c r="A126" s="149">
        <v>45945.0</v>
      </c>
      <c r="B126" s="149">
        <v>45951.0</v>
      </c>
      <c r="C126" s="17" t="s">
        <v>2353</v>
      </c>
      <c r="D126" s="168">
        <v>679.0</v>
      </c>
      <c r="E126" s="17" t="s">
        <v>2464</v>
      </c>
      <c r="F126" s="17" t="s">
        <v>2465</v>
      </c>
      <c r="G126" s="17" t="s">
        <v>1531</v>
      </c>
      <c r="H126" s="17" t="s">
        <v>621</v>
      </c>
      <c r="I126" s="17" t="s">
        <v>2356</v>
      </c>
      <c r="J126" s="17" t="s">
        <v>1051</v>
      </c>
      <c r="K126" s="17">
        <v>3.0</v>
      </c>
      <c r="L126" s="17">
        <v>50000.0</v>
      </c>
      <c r="M126" s="140">
        <f t="shared" si="10"/>
        <v>150000</v>
      </c>
      <c r="N126" s="17">
        <v>30.0</v>
      </c>
      <c r="O126" s="171">
        <f t="shared" si="11"/>
        <v>30</v>
      </c>
      <c r="P126" s="171">
        <f t="shared" si="7"/>
        <v>15</v>
      </c>
      <c r="Q126" s="17">
        <v>5.0</v>
      </c>
      <c r="R126" s="171">
        <f t="shared" si="12"/>
        <v>80</v>
      </c>
      <c r="S126" s="17" t="s">
        <v>2823</v>
      </c>
      <c r="T126" s="133" t="s">
        <v>2824</v>
      </c>
      <c r="U126" s="134" t="str">
        <f>HYPERLINK("https://drive.google.com/file/d/1Py8F9g1hojQ_ZWybT29hAn3Dlqslp6LD/view?usp=drivesdk","ATR-FTIR_Kitra Kartika Edi_679")</f>
        <v>ATR-FTIR_Kitra Kartika Edi_679</v>
      </c>
      <c r="V126" s="17" t="s">
        <v>2818</v>
      </c>
    </row>
    <row r="127">
      <c r="A127" s="149">
        <v>45945.0</v>
      </c>
      <c r="B127" s="149">
        <v>45951.0</v>
      </c>
      <c r="C127" s="17" t="s">
        <v>2353</v>
      </c>
      <c r="D127" s="168">
        <v>680.0</v>
      </c>
      <c r="E127" s="17" t="s">
        <v>2825</v>
      </c>
      <c r="F127" s="17" t="s">
        <v>2826</v>
      </c>
      <c r="G127" s="17" t="s">
        <v>1531</v>
      </c>
      <c r="H127" s="17" t="s">
        <v>621</v>
      </c>
      <c r="I127" s="17" t="s">
        <v>2356</v>
      </c>
      <c r="J127" s="17" t="s">
        <v>1051</v>
      </c>
      <c r="K127" s="17">
        <v>2.0</v>
      </c>
      <c r="L127" s="17">
        <v>50000.0</v>
      </c>
      <c r="M127" s="140">
        <f t="shared" si="10"/>
        <v>100000</v>
      </c>
      <c r="N127" s="17">
        <v>30.0</v>
      </c>
      <c r="O127" s="171">
        <f t="shared" si="11"/>
        <v>20</v>
      </c>
      <c r="P127" s="171">
        <f t="shared" si="7"/>
        <v>10</v>
      </c>
      <c r="Q127" s="17">
        <v>5.0</v>
      </c>
      <c r="R127" s="171">
        <f t="shared" si="12"/>
        <v>65</v>
      </c>
      <c r="S127" s="17" t="s">
        <v>2827</v>
      </c>
      <c r="T127" s="133" t="s">
        <v>2828</v>
      </c>
      <c r="U127" s="134" t="str">
        <f>HYPERLINK("https://drive.google.com/file/d/1w-SyW5vHxrLslwbZxZwPDiAOohg9VHtO/view?usp=drivesdk","ATR-FTIR_Hanifah Nur Jannah_680")</f>
        <v>ATR-FTIR_Hanifah Nur Jannah_680</v>
      </c>
      <c r="V127" s="17" t="s">
        <v>2829</v>
      </c>
    </row>
    <row r="128">
      <c r="A128" s="149">
        <v>45951.0</v>
      </c>
      <c r="B128" s="149">
        <v>45951.0</v>
      </c>
      <c r="C128" s="17" t="s">
        <v>2353</v>
      </c>
      <c r="D128" s="168">
        <v>699.0</v>
      </c>
      <c r="E128" s="17" t="s">
        <v>2830</v>
      </c>
      <c r="F128" s="17" t="s">
        <v>2831</v>
      </c>
      <c r="G128" s="17" t="s">
        <v>2832</v>
      </c>
      <c r="H128" s="17" t="s">
        <v>541</v>
      </c>
      <c r="I128" s="17" t="s">
        <v>2356</v>
      </c>
      <c r="J128" s="17" t="s">
        <v>1051</v>
      </c>
      <c r="K128" s="17">
        <v>1.0</v>
      </c>
      <c r="L128" s="17">
        <v>100000.0</v>
      </c>
      <c r="M128" s="140">
        <f t="shared" si="10"/>
        <v>100000</v>
      </c>
      <c r="N128" s="17">
        <v>30.0</v>
      </c>
      <c r="O128" s="171">
        <f t="shared" si="11"/>
        <v>10</v>
      </c>
      <c r="P128" s="171">
        <f t="shared" si="7"/>
        <v>5</v>
      </c>
      <c r="Q128" s="17">
        <v>5.0</v>
      </c>
      <c r="R128" s="171">
        <f t="shared" si="12"/>
        <v>50</v>
      </c>
      <c r="S128" s="17" t="s">
        <v>2833</v>
      </c>
      <c r="T128" s="133" t="s">
        <v>2834</v>
      </c>
      <c r="U128" s="134" t="str">
        <f>HYPERLINK("https://drive.google.com/file/d/1wuMF1jZH4q1KBHEazy_1moiCtuWkK4wc/view?usp=drivesdk","ATR-FTIR_Shyery Fauziah Nur Rizki_699")</f>
        <v>ATR-FTIR_Shyery Fauziah Nur Rizki_699</v>
      </c>
      <c r="V128" s="17" t="s">
        <v>2829</v>
      </c>
    </row>
    <row r="129">
      <c r="A129" s="149">
        <v>45954.0</v>
      </c>
      <c r="B129" s="149">
        <v>45958.0</v>
      </c>
      <c r="C129" s="17" t="s">
        <v>2353</v>
      </c>
      <c r="D129" s="168">
        <v>708.0</v>
      </c>
      <c r="E129" s="17" t="s">
        <v>2194</v>
      </c>
      <c r="F129" s="17" t="s">
        <v>2195</v>
      </c>
      <c r="G129" s="17" t="s">
        <v>1132</v>
      </c>
      <c r="H129" s="17" t="s">
        <v>621</v>
      </c>
      <c r="I129" s="17" t="s">
        <v>2356</v>
      </c>
      <c r="J129" s="17" t="s">
        <v>1051</v>
      </c>
      <c r="K129" s="17">
        <v>8.0</v>
      </c>
      <c r="L129" s="17">
        <v>50000.0</v>
      </c>
      <c r="M129" s="140">
        <f t="shared" si="10"/>
        <v>400000</v>
      </c>
      <c r="N129" s="17">
        <v>30.0</v>
      </c>
      <c r="O129" s="171">
        <f t="shared" si="11"/>
        <v>80</v>
      </c>
      <c r="P129" s="171">
        <f t="shared" si="7"/>
        <v>40</v>
      </c>
      <c r="Q129" s="17">
        <v>5.0</v>
      </c>
      <c r="R129" s="171">
        <f t="shared" si="12"/>
        <v>155</v>
      </c>
      <c r="S129" s="17" t="s">
        <v>2835</v>
      </c>
      <c r="T129" s="133" t="s">
        <v>2836</v>
      </c>
      <c r="U129" s="134" t="str">
        <f>HYPERLINK("https://drive.google.com/file/d/1eX579BZvCv_4j00Of6GMDHIZezRK9LvD/view?usp=drivesdk","ATR-FTIR_Dzakiyach Aufa Furqony_708")</f>
        <v>ATR-FTIR_Dzakiyach Aufa Furqony_708</v>
      </c>
      <c r="V129" s="17" t="s">
        <v>2837</v>
      </c>
    </row>
    <row r="130">
      <c r="A130" s="149">
        <v>45957.0</v>
      </c>
      <c r="B130" s="149">
        <v>45958.0</v>
      </c>
      <c r="C130" s="17" t="s">
        <v>2353</v>
      </c>
      <c r="D130" s="17">
        <v>720.0</v>
      </c>
      <c r="E130" s="17" t="s">
        <v>1033</v>
      </c>
      <c r="F130" s="17" t="s">
        <v>1092</v>
      </c>
      <c r="G130" s="17" t="s">
        <v>1093</v>
      </c>
      <c r="H130" s="17" t="s">
        <v>541</v>
      </c>
      <c r="I130" s="17" t="s">
        <v>2356</v>
      </c>
      <c r="J130" s="17" t="s">
        <v>1051</v>
      </c>
      <c r="K130" s="17">
        <v>50.0</v>
      </c>
      <c r="L130" s="141">
        <v>50000.0</v>
      </c>
      <c r="M130" s="140">
        <f t="shared" si="10"/>
        <v>2500000</v>
      </c>
      <c r="N130" s="17">
        <v>30.0</v>
      </c>
      <c r="O130" s="171">
        <f t="shared" si="11"/>
        <v>500</v>
      </c>
      <c r="P130" s="171">
        <f t="shared" si="7"/>
        <v>250</v>
      </c>
      <c r="Q130" s="17">
        <v>5.0</v>
      </c>
      <c r="R130" s="171">
        <f t="shared" si="12"/>
        <v>785</v>
      </c>
      <c r="S130" s="17" t="s">
        <v>2838</v>
      </c>
      <c r="T130" s="133" t="s">
        <v>2839</v>
      </c>
      <c r="U130" s="134" t="str">
        <f>HYPERLINK("https://drive.google.com/file/d/1nOiX8LcCP7VifkQM_zC0Tf3hnZIrqvFA/view?usp=drivesdk","ATR-FTIR_Lia Umi Khasanah_720")</f>
        <v>ATR-FTIR_Lia Umi Khasanah_720</v>
      </c>
      <c r="V130" s="17" t="s">
        <v>2840</v>
      </c>
    </row>
    <row r="131">
      <c r="A131" s="149">
        <v>45971.0</v>
      </c>
      <c r="B131" s="149">
        <v>45973.0</v>
      </c>
      <c r="C131" s="17" t="s">
        <v>2353</v>
      </c>
      <c r="D131" s="168">
        <v>750.0</v>
      </c>
      <c r="E131" s="17" t="s">
        <v>2786</v>
      </c>
      <c r="F131" s="17" t="s">
        <v>155</v>
      </c>
      <c r="G131" s="17" t="s">
        <v>155</v>
      </c>
      <c r="H131" s="17" t="s">
        <v>541</v>
      </c>
      <c r="I131" s="17" t="s">
        <v>2356</v>
      </c>
      <c r="J131" s="17" t="s">
        <v>1051</v>
      </c>
      <c r="K131" s="17">
        <v>2.0</v>
      </c>
      <c r="L131" s="17">
        <v>100000.0</v>
      </c>
      <c r="M131" s="140">
        <f t="shared" si="10"/>
        <v>200000</v>
      </c>
      <c r="N131" s="17">
        <v>30.0</v>
      </c>
      <c r="O131" s="171">
        <f t="shared" si="11"/>
        <v>20</v>
      </c>
      <c r="P131" s="171">
        <f t="shared" si="7"/>
        <v>10</v>
      </c>
      <c r="Q131" s="17">
        <v>5.0</v>
      </c>
      <c r="R131" s="171">
        <f t="shared" si="12"/>
        <v>65</v>
      </c>
      <c r="S131" s="17" t="s">
        <v>2841</v>
      </c>
      <c r="T131" s="133" t="s">
        <v>2842</v>
      </c>
      <c r="U131" s="134" t="str">
        <f>HYPERLINK("https://drive.google.com/file/d/1iPzIswmdNm7yDCaj8RKP8YgrxN5EOBjB/view?usp=drivesdk","ATR-FTIR_Martha R_750")</f>
        <v>ATR-FTIR_Martha R_750</v>
      </c>
      <c r="V131" s="17" t="s">
        <v>2843</v>
      </c>
    </row>
    <row r="132">
      <c r="A132" s="149">
        <v>45974.0</v>
      </c>
      <c r="B132" s="149">
        <v>45975.0</v>
      </c>
      <c r="C132" s="17" t="s">
        <v>2353</v>
      </c>
      <c r="D132" s="168">
        <v>761.0</v>
      </c>
      <c r="E132" s="17" t="s">
        <v>2844</v>
      </c>
      <c r="F132" s="17" t="s">
        <v>155</v>
      </c>
      <c r="G132" s="17" t="s">
        <v>155</v>
      </c>
      <c r="H132" s="17" t="s">
        <v>541</v>
      </c>
      <c r="I132" s="17" t="s">
        <v>2356</v>
      </c>
      <c r="J132" s="17" t="s">
        <v>1051</v>
      </c>
      <c r="K132" s="17">
        <v>16.0</v>
      </c>
      <c r="L132" s="17">
        <v>100000.0</v>
      </c>
      <c r="M132" s="140">
        <f t="shared" si="10"/>
        <v>1600000</v>
      </c>
      <c r="N132" s="17">
        <v>30.0</v>
      </c>
      <c r="O132" s="171">
        <f t="shared" si="11"/>
        <v>160</v>
      </c>
      <c r="P132" s="171">
        <f t="shared" si="7"/>
        <v>80</v>
      </c>
      <c r="Q132" s="17">
        <v>5.0</v>
      </c>
      <c r="R132" s="171">
        <f t="shared" si="12"/>
        <v>275</v>
      </c>
      <c r="S132" s="17" t="s">
        <v>2845</v>
      </c>
      <c r="T132" s="133" t="s">
        <v>2846</v>
      </c>
      <c r="U132" s="134" t="str">
        <f>HYPERLINK("https://drive.google.com/file/d/1O4MHbYY1QlJnkllCP6MaeO_AQSEIqNiZ/view?usp=drivesdk","ATR-FTIR_Syauqina_761")</f>
        <v>ATR-FTIR_Syauqina_761</v>
      </c>
      <c r="V132" s="17" t="s">
        <v>2847</v>
      </c>
    </row>
    <row r="133">
      <c r="A133" s="149">
        <v>45975.0</v>
      </c>
      <c r="B133" s="149">
        <v>45978.0</v>
      </c>
      <c r="C133" s="17" t="s">
        <v>2353</v>
      </c>
      <c r="D133" s="168">
        <v>763.0</v>
      </c>
      <c r="E133" s="17" t="s">
        <v>2745</v>
      </c>
      <c r="F133" s="136" t="s">
        <v>2746</v>
      </c>
      <c r="G133" s="136" t="s">
        <v>2848</v>
      </c>
      <c r="H133" s="17" t="s">
        <v>541</v>
      </c>
      <c r="I133" s="17" t="s">
        <v>2356</v>
      </c>
      <c r="J133" s="17" t="s">
        <v>1051</v>
      </c>
      <c r="K133" s="17">
        <v>15.0</v>
      </c>
      <c r="L133" s="17">
        <v>50000.0</v>
      </c>
      <c r="M133" s="140">
        <f t="shared" si="10"/>
        <v>750000</v>
      </c>
      <c r="N133" s="17">
        <v>30.0</v>
      </c>
      <c r="O133" s="171">
        <f t="shared" si="11"/>
        <v>150</v>
      </c>
      <c r="P133" s="171">
        <f t="shared" si="7"/>
        <v>75</v>
      </c>
      <c r="Q133" s="17">
        <v>5.0</v>
      </c>
      <c r="R133" s="171">
        <f t="shared" si="12"/>
        <v>260</v>
      </c>
      <c r="S133" s="17" t="s">
        <v>2849</v>
      </c>
      <c r="T133" s="133" t="s">
        <v>2850</v>
      </c>
      <c r="U133" s="134" t="str">
        <f>HYPERLINK("https://drive.google.com/file/d/14mVch4lixM9_UlZlQGFqR8MmQm1NRCHf/view?usp=drivesdk","ATR-FTIR_Sularman_763")</f>
        <v>ATR-FTIR_Sularman_763</v>
      </c>
      <c r="V133" s="17" t="s">
        <v>2847</v>
      </c>
    </row>
    <row r="134">
      <c r="A134" s="149">
        <v>45967.0</v>
      </c>
      <c r="B134" s="149">
        <v>45975.0</v>
      </c>
      <c r="C134" s="17" t="s">
        <v>2353</v>
      </c>
      <c r="D134" s="168">
        <v>744.0</v>
      </c>
      <c r="E134" s="136" t="s">
        <v>2133</v>
      </c>
      <c r="F134" s="136" t="s">
        <v>2134</v>
      </c>
      <c r="G134" s="136" t="s">
        <v>2851</v>
      </c>
      <c r="H134" s="17" t="s">
        <v>621</v>
      </c>
      <c r="I134" s="17" t="s">
        <v>2356</v>
      </c>
      <c r="J134" s="17" t="s">
        <v>1051</v>
      </c>
      <c r="K134" s="17">
        <v>4.0</v>
      </c>
      <c r="L134" s="17">
        <v>50000.0</v>
      </c>
      <c r="M134" s="140">
        <f t="shared" si="10"/>
        <v>200000</v>
      </c>
      <c r="N134" s="17">
        <v>30.0</v>
      </c>
      <c r="O134" s="171">
        <f t="shared" si="11"/>
        <v>40</v>
      </c>
      <c r="P134" s="171">
        <f t="shared" si="7"/>
        <v>20</v>
      </c>
      <c r="Q134" s="17">
        <v>5.0</v>
      </c>
      <c r="R134" s="171">
        <f t="shared" si="12"/>
        <v>95</v>
      </c>
      <c r="S134" s="17" t="s">
        <v>2852</v>
      </c>
      <c r="T134" s="133" t="s">
        <v>2853</v>
      </c>
      <c r="U134" s="134" t="str">
        <f>HYPERLINK("https://drive.google.com/file/d/1RwWvb1u4I6nxCZ6nlJMALIoDDfTUHDoB/view?usp=drivesdk","ATR-FTIR_Evelyn Benedikta Sutanto_744")</f>
        <v>ATR-FTIR_Evelyn Benedikta Sutanto_744</v>
      </c>
      <c r="V134" s="17" t="s">
        <v>2854</v>
      </c>
    </row>
    <row r="135">
      <c r="A135" s="151"/>
      <c r="B135" s="151"/>
      <c r="M135" s="140">
        <f>sum(M39:M134)</f>
        <v>27450000</v>
      </c>
    </row>
    <row r="136">
      <c r="A136" s="151"/>
      <c r="B136" s="151"/>
    </row>
    <row r="137">
      <c r="A137" s="151"/>
      <c r="B137" s="151"/>
    </row>
    <row r="138">
      <c r="A138" s="151"/>
      <c r="B138" s="151"/>
    </row>
    <row r="139">
      <c r="A139" s="151"/>
      <c r="B139" s="151"/>
    </row>
    <row r="140">
      <c r="A140" s="151"/>
      <c r="B140" s="151"/>
    </row>
    <row r="141">
      <c r="A141" s="151"/>
      <c r="B141" s="151"/>
    </row>
    <row r="142">
      <c r="A142" s="151"/>
      <c r="B142" s="151"/>
    </row>
    <row r="143">
      <c r="A143" s="151"/>
      <c r="B143" s="151"/>
    </row>
    <row r="144">
      <c r="A144" s="151"/>
      <c r="B144" s="151"/>
    </row>
    <row r="145">
      <c r="A145" s="151"/>
      <c r="B145" s="151"/>
    </row>
    <row r="146">
      <c r="A146" s="151"/>
      <c r="B146" s="151"/>
    </row>
    <row r="147">
      <c r="A147" s="151"/>
      <c r="B147" s="151"/>
    </row>
    <row r="148">
      <c r="A148" s="151"/>
      <c r="B148" s="151"/>
    </row>
    <row r="149">
      <c r="A149" s="151"/>
      <c r="B149" s="151"/>
    </row>
    <row r="150">
      <c r="A150" s="151"/>
      <c r="B150" s="151"/>
    </row>
    <row r="151">
      <c r="A151" s="151"/>
      <c r="B151" s="151"/>
    </row>
    <row r="152">
      <c r="A152" s="151"/>
      <c r="B152" s="151"/>
    </row>
    <row r="153">
      <c r="A153" s="151"/>
      <c r="B153" s="151"/>
    </row>
    <row r="154">
      <c r="A154" s="151"/>
      <c r="B154" s="151"/>
    </row>
    <row r="155">
      <c r="A155" s="151"/>
      <c r="B155" s="151"/>
    </row>
    <row r="156">
      <c r="A156" s="151"/>
      <c r="B156" s="151"/>
    </row>
    <row r="157">
      <c r="A157" s="151"/>
      <c r="B157" s="151"/>
    </row>
    <row r="158">
      <c r="A158" s="151"/>
      <c r="B158" s="151"/>
    </row>
    <row r="159">
      <c r="A159" s="151"/>
      <c r="B159" s="151"/>
    </row>
    <row r="160">
      <c r="A160" s="151"/>
      <c r="B160" s="151"/>
    </row>
    <row r="161">
      <c r="A161" s="151"/>
      <c r="B161" s="151"/>
    </row>
    <row r="162">
      <c r="A162" s="151"/>
      <c r="B162" s="151"/>
    </row>
    <row r="163">
      <c r="A163" s="151"/>
      <c r="B163" s="151"/>
    </row>
    <row r="164">
      <c r="A164" s="151"/>
      <c r="B164" s="151"/>
    </row>
    <row r="165">
      <c r="A165" s="151"/>
      <c r="B165" s="151"/>
    </row>
    <row r="166">
      <c r="A166" s="151"/>
      <c r="B166" s="151"/>
    </row>
    <row r="167">
      <c r="A167" s="151"/>
      <c r="B167" s="151"/>
    </row>
    <row r="168">
      <c r="A168" s="151"/>
      <c r="B168" s="151"/>
    </row>
    <row r="169">
      <c r="A169" s="151"/>
      <c r="B169" s="151"/>
    </row>
    <row r="170">
      <c r="A170" s="151"/>
      <c r="B170" s="151"/>
    </row>
    <row r="171">
      <c r="A171" s="151"/>
      <c r="B171" s="151"/>
    </row>
    <row r="172">
      <c r="A172" s="151"/>
      <c r="B172" s="151"/>
    </row>
    <row r="173">
      <c r="A173" s="151"/>
      <c r="B173" s="151"/>
    </row>
    <row r="174">
      <c r="A174" s="151"/>
      <c r="B174" s="151"/>
    </row>
    <row r="175">
      <c r="A175" s="151"/>
      <c r="B175" s="151"/>
    </row>
    <row r="176">
      <c r="A176" s="151"/>
      <c r="B176" s="151"/>
    </row>
    <row r="177">
      <c r="A177" s="151"/>
      <c r="B177" s="151"/>
    </row>
    <row r="178">
      <c r="A178" s="151"/>
      <c r="B178" s="151"/>
    </row>
    <row r="179">
      <c r="A179" s="151"/>
      <c r="B179" s="151"/>
    </row>
    <row r="180">
      <c r="A180" s="151"/>
      <c r="B180" s="151"/>
    </row>
    <row r="181">
      <c r="A181" s="151"/>
      <c r="B181" s="151"/>
    </row>
    <row r="182">
      <c r="A182" s="151"/>
      <c r="B182" s="151"/>
    </row>
    <row r="183">
      <c r="A183" s="151"/>
      <c r="B183" s="151"/>
    </row>
    <row r="184">
      <c r="A184" s="151"/>
      <c r="B184" s="151"/>
    </row>
    <row r="185">
      <c r="A185" s="151"/>
      <c r="B185" s="151"/>
    </row>
    <row r="186">
      <c r="A186" s="151"/>
      <c r="B186" s="151"/>
    </row>
    <row r="187">
      <c r="A187" s="151"/>
      <c r="B187" s="151"/>
    </row>
    <row r="188">
      <c r="A188" s="151"/>
      <c r="B188" s="151"/>
    </row>
    <row r="189">
      <c r="A189" s="151"/>
      <c r="B189" s="151"/>
    </row>
    <row r="190">
      <c r="A190" s="151"/>
      <c r="B190" s="151"/>
    </row>
    <row r="191">
      <c r="A191" s="151"/>
      <c r="B191" s="151"/>
    </row>
    <row r="192">
      <c r="A192" s="151"/>
      <c r="B192" s="151"/>
    </row>
    <row r="193">
      <c r="A193" s="151"/>
      <c r="B193" s="151"/>
    </row>
    <row r="194">
      <c r="A194" s="151"/>
      <c r="B194" s="151"/>
    </row>
    <row r="195">
      <c r="A195" s="151"/>
      <c r="B195" s="151"/>
    </row>
    <row r="196">
      <c r="A196" s="151"/>
      <c r="B196" s="151"/>
    </row>
    <row r="197">
      <c r="A197" s="151"/>
      <c r="B197" s="151"/>
    </row>
    <row r="198">
      <c r="A198" s="151"/>
      <c r="B198" s="151"/>
    </row>
    <row r="199">
      <c r="A199" s="151"/>
      <c r="B199" s="151"/>
    </row>
    <row r="200">
      <c r="A200" s="151"/>
      <c r="B200" s="151"/>
    </row>
    <row r="201">
      <c r="A201" s="151"/>
      <c r="B201" s="151"/>
    </row>
    <row r="202">
      <c r="A202" s="151"/>
      <c r="B202" s="151"/>
    </row>
    <row r="203">
      <c r="A203" s="151"/>
      <c r="B203" s="151"/>
    </row>
    <row r="204">
      <c r="A204" s="151"/>
      <c r="B204" s="151"/>
    </row>
    <row r="205">
      <c r="A205" s="151"/>
      <c r="B205" s="151"/>
    </row>
    <row r="206">
      <c r="A206" s="151"/>
      <c r="B206" s="151"/>
    </row>
    <row r="207">
      <c r="A207" s="151"/>
      <c r="B207" s="151"/>
    </row>
    <row r="208">
      <c r="A208" s="151"/>
      <c r="B208" s="151"/>
    </row>
    <row r="209">
      <c r="A209" s="151"/>
      <c r="B209" s="151"/>
    </row>
    <row r="210">
      <c r="A210" s="151"/>
      <c r="B210" s="151"/>
    </row>
    <row r="211">
      <c r="A211" s="151"/>
      <c r="B211" s="151"/>
    </row>
    <row r="212">
      <c r="A212" s="151"/>
      <c r="B212" s="151"/>
    </row>
    <row r="213">
      <c r="A213" s="151"/>
      <c r="B213" s="151"/>
    </row>
    <row r="214">
      <c r="A214" s="151"/>
      <c r="B214" s="151"/>
    </row>
    <row r="215">
      <c r="A215" s="151"/>
      <c r="B215" s="151"/>
    </row>
    <row r="216">
      <c r="A216" s="151"/>
      <c r="B216" s="151"/>
    </row>
    <row r="217">
      <c r="A217" s="151"/>
      <c r="B217" s="151"/>
    </row>
    <row r="218">
      <c r="A218" s="151"/>
      <c r="B218" s="151"/>
    </row>
    <row r="219">
      <c r="A219" s="151"/>
      <c r="B219" s="151"/>
    </row>
    <row r="220">
      <c r="A220" s="151"/>
      <c r="B220" s="151"/>
    </row>
    <row r="221">
      <c r="A221" s="151"/>
      <c r="B221" s="151"/>
    </row>
    <row r="222">
      <c r="A222" s="151"/>
      <c r="B222" s="151"/>
    </row>
    <row r="223">
      <c r="A223" s="151"/>
      <c r="B223" s="151"/>
    </row>
    <row r="224">
      <c r="A224" s="151"/>
      <c r="B224" s="151"/>
    </row>
    <row r="225">
      <c r="A225" s="151"/>
      <c r="B225" s="151"/>
    </row>
    <row r="226">
      <c r="A226" s="151"/>
      <c r="B226" s="151"/>
    </row>
    <row r="227">
      <c r="A227" s="151"/>
      <c r="B227" s="151"/>
    </row>
    <row r="228">
      <c r="A228" s="151"/>
      <c r="B228" s="151"/>
    </row>
    <row r="229">
      <c r="A229" s="151"/>
      <c r="B229" s="151"/>
    </row>
    <row r="230">
      <c r="A230" s="151"/>
      <c r="B230" s="151"/>
    </row>
    <row r="231">
      <c r="A231" s="151"/>
      <c r="B231" s="151"/>
    </row>
    <row r="232">
      <c r="A232" s="151"/>
      <c r="B232" s="151"/>
    </row>
    <row r="233">
      <c r="A233" s="151"/>
      <c r="B233" s="151"/>
    </row>
    <row r="234">
      <c r="A234" s="151"/>
      <c r="B234" s="151"/>
    </row>
    <row r="235">
      <c r="A235" s="151"/>
      <c r="B235" s="151"/>
    </row>
    <row r="236">
      <c r="A236" s="151"/>
      <c r="B236" s="151"/>
    </row>
    <row r="237">
      <c r="A237" s="151"/>
      <c r="B237" s="151"/>
    </row>
    <row r="238">
      <c r="A238" s="151"/>
      <c r="B238" s="151"/>
    </row>
    <row r="239">
      <c r="A239" s="151"/>
      <c r="B239" s="151"/>
    </row>
    <row r="240">
      <c r="A240" s="151"/>
      <c r="B240" s="151"/>
    </row>
    <row r="241">
      <c r="A241" s="151"/>
      <c r="B241" s="151"/>
    </row>
    <row r="242">
      <c r="A242" s="151"/>
      <c r="B242" s="151"/>
    </row>
    <row r="243">
      <c r="A243" s="151"/>
      <c r="B243" s="151"/>
    </row>
    <row r="244">
      <c r="A244" s="151"/>
      <c r="B244" s="151"/>
    </row>
    <row r="245">
      <c r="A245" s="151"/>
      <c r="B245" s="151"/>
    </row>
    <row r="246">
      <c r="A246" s="151"/>
      <c r="B246" s="151"/>
    </row>
    <row r="247">
      <c r="A247" s="151"/>
      <c r="B247" s="151"/>
    </row>
    <row r="248">
      <c r="A248" s="151"/>
      <c r="B248" s="151"/>
    </row>
    <row r="249">
      <c r="A249" s="151"/>
      <c r="B249" s="151"/>
    </row>
    <row r="250">
      <c r="A250" s="151"/>
      <c r="B250" s="151"/>
    </row>
    <row r="251">
      <c r="A251" s="151"/>
      <c r="B251" s="151"/>
    </row>
    <row r="252">
      <c r="A252" s="151"/>
      <c r="B252" s="151"/>
    </row>
    <row r="253">
      <c r="A253" s="151"/>
      <c r="B253" s="151"/>
    </row>
    <row r="254">
      <c r="A254" s="151"/>
      <c r="B254" s="151"/>
    </row>
    <row r="255">
      <c r="A255" s="151"/>
      <c r="B255" s="151"/>
    </row>
    <row r="256">
      <c r="A256" s="151"/>
      <c r="B256" s="151"/>
    </row>
    <row r="257">
      <c r="A257" s="151"/>
      <c r="B257" s="151"/>
    </row>
    <row r="258">
      <c r="A258" s="151"/>
      <c r="B258" s="151"/>
    </row>
    <row r="259">
      <c r="A259" s="151"/>
      <c r="B259" s="151"/>
    </row>
    <row r="260">
      <c r="A260" s="151"/>
      <c r="B260" s="151"/>
    </row>
    <row r="261">
      <c r="A261" s="151"/>
      <c r="B261" s="151"/>
    </row>
    <row r="262">
      <c r="A262" s="151"/>
      <c r="B262" s="151"/>
    </row>
    <row r="263">
      <c r="A263" s="151"/>
      <c r="B263" s="151"/>
    </row>
    <row r="264">
      <c r="A264" s="151"/>
      <c r="B264" s="151"/>
    </row>
    <row r="265">
      <c r="A265" s="151"/>
      <c r="B265" s="151"/>
    </row>
    <row r="266">
      <c r="A266" s="151"/>
      <c r="B266" s="151"/>
    </row>
    <row r="267">
      <c r="A267" s="151"/>
      <c r="B267" s="151"/>
    </row>
    <row r="268">
      <c r="A268" s="151"/>
      <c r="B268" s="151"/>
    </row>
    <row r="269">
      <c r="A269" s="151"/>
      <c r="B269" s="151"/>
    </row>
    <row r="270">
      <c r="A270" s="151"/>
      <c r="B270" s="151"/>
    </row>
    <row r="271">
      <c r="A271" s="151"/>
      <c r="B271" s="151"/>
    </row>
    <row r="272">
      <c r="A272" s="151"/>
      <c r="B272" s="151"/>
    </row>
    <row r="273">
      <c r="A273" s="151"/>
      <c r="B273" s="151"/>
    </row>
    <row r="274">
      <c r="A274" s="151"/>
      <c r="B274" s="151"/>
    </row>
    <row r="275">
      <c r="A275" s="151"/>
      <c r="B275" s="151"/>
    </row>
    <row r="276">
      <c r="A276" s="151"/>
      <c r="B276" s="151"/>
    </row>
    <row r="277">
      <c r="A277" s="151"/>
      <c r="B277" s="151"/>
    </row>
    <row r="278">
      <c r="A278" s="151"/>
      <c r="B278" s="151"/>
    </row>
    <row r="279">
      <c r="A279" s="151"/>
      <c r="B279" s="151"/>
    </row>
    <row r="280">
      <c r="A280" s="151"/>
      <c r="B280" s="151"/>
    </row>
    <row r="281">
      <c r="A281" s="151"/>
      <c r="B281" s="151"/>
    </row>
    <row r="282">
      <c r="A282" s="151"/>
      <c r="B282" s="151"/>
    </row>
    <row r="283">
      <c r="A283" s="151"/>
      <c r="B283" s="151"/>
    </row>
    <row r="284">
      <c r="A284" s="151"/>
      <c r="B284" s="151"/>
    </row>
    <row r="285">
      <c r="A285" s="151"/>
      <c r="B285" s="151"/>
    </row>
    <row r="286">
      <c r="A286" s="151"/>
      <c r="B286" s="151"/>
    </row>
    <row r="287">
      <c r="A287" s="151"/>
      <c r="B287" s="151"/>
    </row>
    <row r="288">
      <c r="A288" s="151"/>
      <c r="B288" s="151"/>
    </row>
    <row r="289">
      <c r="A289" s="151"/>
      <c r="B289" s="151"/>
    </row>
    <row r="290">
      <c r="A290" s="151"/>
      <c r="B290" s="151"/>
    </row>
    <row r="291">
      <c r="A291" s="151"/>
      <c r="B291" s="151"/>
    </row>
    <row r="292">
      <c r="A292" s="151"/>
      <c r="B292" s="151"/>
    </row>
    <row r="293">
      <c r="A293" s="151"/>
      <c r="B293" s="151"/>
    </row>
    <row r="294">
      <c r="A294" s="151"/>
      <c r="B294" s="151"/>
    </row>
    <row r="295">
      <c r="A295" s="151"/>
      <c r="B295" s="151"/>
    </row>
    <row r="296">
      <c r="A296" s="151"/>
      <c r="B296" s="151"/>
    </row>
    <row r="297">
      <c r="A297" s="151"/>
      <c r="B297" s="151"/>
    </row>
    <row r="298">
      <c r="A298" s="151"/>
      <c r="B298" s="151"/>
    </row>
    <row r="299">
      <c r="A299" s="151"/>
      <c r="B299" s="151"/>
    </row>
    <row r="300">
      <c r="A300" s="151"/>
      <c r="B300" s="151"/>
    </row>
    <row r="301">
      <c r="A301" s="151"/>
      <c r="B301" s="151"/>
    </row>
    <row r="302">
      <c r="A302" s="151"/>
      <c r="B302" s="151"/>
    </row>
    <row r="303">
      <c r="A303" s="151"/>
      <c r="B303" s="151"/>
    </row>
    <row r="304">
      <c r="A304" s="151"/>
      <c r="B304" s="151"/>
    </row>
    <row r="305">
      <c r="A305" s="151"/>
      <c r="B305" s="151"/>
    </row>
    <row r="306">
      <c r="A306" s="151"/>
      <c r="B306" s="151"/>
    </row>
    <row r="307">
      <c r="A307" s="151"/>
      <c r="B307" s="151"/>
    </row>
    <row r="308">
      <c r="A308" s="151"/>
      <c r="B308" s="151"/>
    </row>
    <row r="309">
      <c r="A309" s="151"/>
      <c r="B309" s="151"/>
    </row>
    <row r="310">
      <c r="A310" s="151"/>
      <c r="B310" s="151"/>
    </row>
    <row r="311">
      <c r="A311" s="151"/>
      <c r="B311" s="151"/>
    </row>
    <row r="312">
      <c r="A312" s="151"/>
      <c r="B312" s="151"/>
    </row>
    <row r="313">
      <c r="A313" s="151"/>
      <c r="B313" s="151"/>
    </row>
    <row r="314">
      <c r="A314" s="151"/>
      <c r="B314" s="151"/>
    </row>
    <row r="315">
      <c r="A315" s="151"/>
      <c r="B315" s="151"/>
    </row>
    <row r="316">
      <c r="A316" s="151"/>
      <c r="B316" s="151"/>
    </row>
    <row r="317">
      <c r="A317" s="151"/>
      <c r="B317" s="151"/>
    </row>
    <row r="318">
      <c r="A318" s="151"/>
      <c r="B318" s="151"/>
    </row>
    <row r="319">
      <c r="A319" s="151"/>
      <c r="B319" s="151"/>
    </row>
    <row r="320">
      <c r="A320" s="151"/>
      <c r="B320" s="151"/>
    </row>
    <row r="321">
      <c r="A321" s="151"/>
      <c r="B321" s="151"/>
    </row>
    <row r="322">
      <c r="A322" s="151"/>
      <c r="B322" s="151"/>
    </row>
    <row r="323">
      <c r="A323" s="151"/>
      <c r="B323" s="151"/>
    </row>
    <row r="324">
      <c r="A324" s="151"/>
      <c r="B324" s="151"/>
    </row>
    <row r="325">
      <c r="A325" s="151"/>
      <c r="B325" s="151"/>
    </row>
    <row r="326">
      <c r="A326" s="151"/>
      <c r="B326" s="151"/>
    </row>
    <row r="327">
      <c r="A327" s="151"/>
      <c r="B327" s="151"/>
    </row>
    <row r="328">
      <c r="A328" s="151"/>
      <c r="B328" s="151"/>
    </row>
    <row r="329">
      <c r="A329" s="151"/>
      <c r="B329" s="151"/>
    </row>
    <row r="330">
      <c r="A330" s="151"/>
      <c r="B330" s="151"/>
    </row>
    <row r="331">
      <c r="A331" s="151"/>
      <c r="B331" s="151"/>
    </row>
    <row r="332">
      <c r="A332" s="151"/>
      <c r="B332" s="151"/>
    </row>
    <row r="333">
      <c r="A333" s="151"/>
      <c r="B333" s="151"/>
    </row>
    <row r="334">
      <c r="A334" s="151"/>
      <c r="B334" s="151"/>
    </row>
    <row r="335">
      <c r="A335" s="151"/>
      <c r="B335" s="151"/>
    </row>
    <row r="336">
      <c r="A336" s="151"/>
      <c r="B336" s="151"/>
    </row>
    <row r="337">
      <c r="A337" s="151"/>
      <c r="B337" s="151"/>
    </row>
    <row r="338">
      <c r="A338" s="151"/>
      <c r="B338" s="151"/>
    </row>
    <row r="339">
      <c r="A339" s="151"/>
      <c r="B339" s="151"/>
    </row>
    <row r="340">
      <c r="A340" s="151"/>
      <c r="B340" s="151"/>
    </row>
    <row r="341">
      <c r="A341" s="151"/>
      <c r="B341" s="151"/>
    </row>
    <row r="342">
      <c r="A342" s="151"/>
      <c r="B342" s="151"/>
    </row>
    <row r="343">
      <c r="A343" s="151"/>
      <c r="B343" s="151"/>
    </row>
    <row r="344">
      <c r="A344" s="151"/>
      <c r="B344" s="151"/>
    </row>
    <row r="345">
      <c r="A345" s="151"/>
      <c r="B345" s="151"/>
    </row>
    <row r="346">
      <c r="A346" s="151"/>
      <c r="B346" s="151"/>
    </row>
    <row r="347">
      <c r="A347" s="151"/>
      <c r="B347" s="151"/>
    </row>
    <row r="348">
      <c r="A348" s="151"/>
      <c r="B348" s="151"/>
    </row>
    <row r="349">
      <c r="A349" s="151"/>
      <c r="B349" s="151"/>
    </row>
    <row r="350">
      <c r="A350" s="151"/>
      <c r="B350" s="151"/>
    </row>
    <row r="351">
      <c r="A351" s="151"/>
      <c r="B351" s="151"/>
    </row>
    <row r="352">
      <c r="A352" s="151"/>
      <c r="B352" s="151"/>
    </row>
    <row r="353">
      <c r="A353" s="151"/>
      <c r="B353" s="151"/>
    </row>
    <row r="354">
      <c r="A354" s="151"/>
      <c r="B354" s="151"/>
    </row>
    <row r="355">
      <c r="A355" s="151"/>
      <c r="B355" s="151"/>
    </row>
    <row r="356">
      <c r="A356" s="151"/>
      <c r="B356" s="151"/>
    </row>
    <row r="357">
      <c r="A357" s="151"/>
      <c r="B357" s="151"/>
    </row>
    <row r="358">
      <c r="A358" s="151"/>
      <c r="B358" s="151"/>
    </row>
    <row r="359">
      <c r="A359" s="151"/>
      <c r="B359" s="151"/>
    </row>
    <row r="360">
      <c r="A360" s="151"/>
      <c r="B360" s="151"/>
    </row>
    <row r="361">
      <c r="A361" s="151"/>
      <c r="B361" s="151"/>
    </row>
    <row r="362">
      <c r="A362" s="151"/>
      <c r="B362" s="151"/>
    </row>
    <row r="363">
      <c r="A363" s="151"/>
      <c r="B363" s="151"/>
    </row>
    <row r="364">
      <c r="A364" s="151"/>
      <c r="B364" s="151"/>
    </row>
    <row r="365">
      <c r="A365" s="151"/>
      <c r="B365" s="151"/>
    </row>
    <row r="366">
      <c r="A366" s="151"/>
      <c r="B366" s="151"/>
    </row>
    <row r="367">
      <c r="A367" s="151"/>
      <c r="B367" s="151"/>
    </row>
    <row r="368">
      <c r="A368" s="151"/>
      <c r="B368" s="151"/>
    </row>
    <row r="369">
      <c r="A369" s="151"/>
      <c r="B369" s="151"/>
    </row>
    <row r="370">
      <c r="A370" s="151"/>
      <c r="B370" s="151"/>
    </row>
    <row r="371">
      <c r="A371" s="151"/>
      <c r="B371" s="151"/>
    </row>
    <row r="372">
      <c r="A372" s="151"/>
      <c r="B372" s="151"/>
    </row>
    <row r="373">
      <c r="A373" s="151"/>
      <c r="B373" s="151"/>
    </row>
    <row r="374">
      <c r="A374" s="151"/>
      <c r="B374" s="151"/>
    </row>
    <row r="375">
      <c r="A375" s="151"/>
      <c r="B375" s="151"/>
    </row>
    <row r="376">
      <c r="A376" s="151"/>
      <c r="B376" s="151"/>
    </row>
    <row r="377">
      <c r="A377" s="151"/>
      <c r="B377" s="151"/>
    </row>
    <row r="378">
      <c r="A378" s="151"/>
      <c r="B378" s="151"/>
    </row>
    <row r="379">
      <c r="A379" s="151"/>
      <c r="B379" s="151"/>
    </row>
    <row r="380">
      <c r="A380" s="151"/>
      <c r="B380" s="151"/>
    </row>
    <row r="381">
      <c r="A381" s="151"/>
      <c r="B381" s="151"/>
    </row>
    <row r="382">
      <c r="A382" s="151"/>
      <c r="B382" s="151"/>
    </row>
    <row r="383">
      <c r="A383" s="151"/>
      <c r="B383" s="151"/>
    </row>
    <row r="384">
      <c r="A384" s="151"/>
      <c r="B384" s="151"/>
    </row>
    <row r="385">
      <c r="A385" s="151"/>
      <c r="B385" s="151"/>
    </row>
    <row r="386">
      <c r="A386" s="151"/>
      <c r="B386" s="151"/>
    </row>
    <row r="387">
      <c r="A387" s="151"/>
      <c r="B387" s="151"/>
    </row>
    <row r="388">
      <c r="A388" s="151"/>
      <c r="B388" s="151"/>
    </row>
    <row r="389">
      <c r="A389" s="151"/>
      <c r="B389" s="151"/>
    </row>
    <row r="390">
      <c r="A390" s="151"/>
      <c r="B390" s="151"/>
    </row>
    <row r="391">
      <c r="A391" s="151"/>
      <c r="B391" s="151"/>
    </row>
    <row r="392">
      <c r="A392" s="151"/>
      <c r="B392" s="151"/>
    </row>
    <row r="393">
      <c r="A393" s="151"/>
      <c r="B393" s="151"/>
    </row>
    <row r="394">
      <c r="A394" s="151"/>
      <c r="B394" s="151"/>
    </row>
    <row r="395">
      <c r="A395" s="151"/>
      <c r="B395" s="151"/>
    </row>
    <row r="396">
      <c r="A396" s="151"/>
      <c r="B396" s="151"/>
    </row>
    <row r="397">
      <c r="A397" s="151"/>
      <c r="B397" s="151"/>
    </row>
    <row r="398">
      <c r="A398" s="151"/>
      <c r="B398" s="151"/>
    </row>
    <row r="399">
      <c r="A399" s="151"/>
      <c r="B399" s="151"/>
    </row>
    <row r="400">
      <c r="A400" s="151"/>
      <c r="B400" s="151"/>
    </row>
    <row r="401">
      <c r="A401" s="151"/>
      <c r="B401" s="151"/>
    </row>
    <row r="402">
      <c r="A402" s="151"/>
      <c r="B402" s="151"/>
    </row>
    <row r="403">
      <c r="A403" s="151"/>
      <c r="B403" s="151"/>
    </row>
    <row r="404">
      <c r="A404" s="151"/>
      <c r="B404" s="151"/>
    </row>
    <row r="405">
      <c r="A405" s="151"/>
      <c r="B405" s="151"/>
    </row>
    <row r="406">
      <c r="A406" s="151"/>
      <c r="B406" s="151"/>
    </row>
    <row r="407">
      <c r="A407" s="151"/>
      <c r="B407" s="151"/>
    </row>
    <row r="408">
      <c r="A408" s="151"/>
      <c r="B408" s="151"/>
    </row>
    <row r="409">
      <c r="A409" s="151"/>
      <c r="B409" s="151"/>
    </row>
    <row r="410">
      <c r="A410" s="151"/>
      <c r="B410" s="151"/>
    </row>
    <row r="411">
      <c r="A411" s="151"/>
      <c r="B411" s="151"/>
    </row>
    <row r="412">
      <c r="A412" s="151"/>
      <c r="B412" s="151"/>
    </row>
    <row r="413">
      <c r="A413" s="151"/>
      <c r="B413" s="151"/>
    </row>
    <row r="414">
      <c r="A414" s="151"/>
      <c r="B414" s="151"/>
    </row>
    <row r="415">
      <c r="A415" s="151"/>
      <c r="B415" s="151"/>
    </row>
    <row r="416">
      <c r="A416" s="151"/>
      <c r="B416" s="151"/>
    </row>
    <row r="417">
      <c r="A417" s="151"/>
      <c r="B417" s="151"/>
    </row>
    <row r="418">
      <c r="A418" s="151"/>
      <c r="B418" s="151"/>
    </row>
    <row r="419">
      <c r="A419" s="151"/>
      <c r="B419" s="151"/>
    </row>
    <row r="420">
      <c r="A420" s="151"/>
      <c r="B420" s="151"/>
    </row>
    <row r="421">
      <c r="A421" s="151"/>
      <c r="B421" s="151"/>
    </row>
    <row r="422">
      <c r="A422" s="151"/>
      <c r="B422" s="151"/>
    </row>
    <row r="423">
      <c r="A423" s="151"/>
      <c r="B423" s="151"/>
    </row>
    <row r="424">
      <c r="A424" s="151"/>
      <c r="B424" s="151"/>
    </row>
    <row r="425">
      <c r="A425" s="151"/>
      <c r="B425" s="151"/>
    </row>
    <row r="426">
      <c r="A426" s="151"/>
      <c r="B426" s="151"/>
    </row>
    <row r="427">
      <c r="A427" s="151"/>
      <c r="B427" s="151"/>
    </row>
    <row r="428">
      <c r="A428" s="151"/>
      <c r="B428" s="151"/>
    </row>
    <row r="429">
      <c r="A429" s="151"/>
      <c r="B429" s="151"/>
    </row>
    <row r="430">
      <c r="A430" s="151"/>
      <c r="B430" s="151"/>
    </row>
    <row r="431">
      <c r="A431" s="151"/>
      <c r="B431" s="151"/>
    </row>
    <row r="432">
      <c r="A432" s="151"/>
      <c r="B432" s="151"/>
    </row>
    <row r="433">
      <c r="A433" s="151"/>
      <c r="B433" s="151"/>
    </row>
    <row r="434">
      <c r="A434" s="151"/>
      <c r="B434" s="151"/>
    </row>
    <row r="435">
      <c r="A435" s="151"/>
      <c r="B435" s="151"/>
    </row>
    <row r="436">
      <c r="A436" s="151"/>
      <c r="B436" s="151"/>
    </row>
    <row r="437">
      <c r="A437" s="151"/>
      <c r="B437" s="151"/>
    </row>
    <row r="438">
      <c r="A438" s="151"/>
      <c r="B438" s="151"/>
    </row>
    <row r="439">
      <c r="A439" s="151"/>
      <c r="B439" s="151"/>
    </row>
    <row r="440">
      <c r="A440" s="151"/>
      <c r="B440" s="151"/>
    </row>
    <row r="441">
      <c r="A441" s="151"/>
      <c r="B441" s="151"/>
    </row>
    <row r="442">
      <c r="A442" s="151"/>
      <c r="B442" s="151"/>
    </row>
    <row r="443">
      <c r="A443" s="151"/>
      <c r="B443" s="151"/>
    </row>
    <row r="444">
      <c r="A444" s="151"/>
      <c r="B444" s="151"/>
    </row>
    <row r="445">
      <c r="A445" s="151"/>
      <c r="B445" s="151"/>
    </row>
    <row r="446">
      <c r="A446" s="151"/>
      <c r="B446" s="151"/>
    </row>
    <row r="447">
      <c r="A447" s="151"/>
      <c r="B447" s="151"/>
    </row>
    <row r="448">
      <c r="A448" s="151"/>
      <c r="B448" s="151"/>
    </row>
    <row r="449">
      <c r="A449" s="151"/>
      <c r="B449" s="151"/>
    </row>
    <row r="450">
      <c r="A450" s="151"/>
      <c r="B450" s="151"/>
    </row>
    <row r="451">
      <c r="A451" s="151"/>
      <c r="B451" s="151"/>
    </row>
    <row r="452">
      <c r="A452" s="151"/>
      <c r="B452" s="151"/>
    </row>
    <row r="453">
      <c r="A453" s="151"/>
      <c r="B453" s="151"/>
    </row>
    <row r="454">
      <c r="A454" s="151"/>
      <c r="B454" s="151"/>
    </row>
    <row r="455">
      <c r="A455" s="151"/>
      <c r="B455" s="151"/>
    </row>
    <row r="456">
      <c r="A456" s="151"/>
      <c r="B456" s="151"/>
    </row>
    <row r="457">
      <c r="A457" s="151"/>
      <c r="B457" s="151"/>
    </row>
    <row r="458">
      <c r="A458" s="151"/>
      <c r="B458" s="151"/>
    </row>
    <row r="459">
      <c r="A459" s="151"/>
      <c r="B459" s="151"/>
    </row>
    <row r="460">
      <c r="A460" s="151"/>
      <c r="B460" s="151"/>
    </row>
    <row r="461">
      <c r="A461" s="151"/>
      <c r="B461" s="151"/>
    </row>
    <row r="462">
      <c r="A462" s="151"/>
      <c r="B462" s="151"/>
    </row>
    <row r="463">
      <c r="A463" s="151"/>
      <c r="B463" s="151"/>
    </row>
    <row r="464">
      <c r="A464" s="151"/>
      <c r="B464" s="151"/>
    </row>
    <row r="465">
      <c r="A465" s="151"/>
      <c r="B465" s="151"/>
    </row>
    <row r="466">
      <c r="A466" s="151"/>
      <c r="B466" s="151"/>
    </row>
    <row r="467">
      <c r="A467" s="151"/>
      <c r="B467" s="151"/>
    </row>
    <row r="468">
      <c r="A468" s="151"/>
      <c r="B468" s="151"/>
    </row>
    <row r="469">
      <c r="A469" s="151"/>
      <c r="B469" s="151"/>
    </row>
    <row r="470">
      <c r="A470" s="151"/>
      <c r="B470" s="151"/>
    </row>
    <row r="471">
      <c r="A471" s="151"/>
      <c r="B471" s="151"/>
    </row>
    <row r="472">
      <c r="A472" s="151"/>
      <c r="B472" s="151"/>
    </row>
    <row r="473">
      <c r="A473" s="151"/>
      <c r="B473" s="151"/>
    </row>
    <row r="474">
      <c r="A474" s="151"/>
      <c r="B474" s="151"/>
    </row>
    <row r="475">
      <c r="A475" s="151"/>
      <c r="B475" s="151"/>
    </row>
    <row r="476">
      <c r="A476" s="151"/>
      <c r="B476" s="151"/>
    </row>
    <row r="477">
      <c r="A477" s="151"/>
      <c r="B477" s="151"/>
    </row>
    <row r="478">
      <c r="A478" s="151"/>
      <c r="B478" s="151"/>
    </row>
    <row r="479">
      <c r="A479" s="151"/>
      <c r="B479" s="151"/>
    </row>
    <row r="480">
      <c r="A480" s="151"/>
      <c r="B480" s="151"/>
    </row>
    <row r="481">
      <c r="A481" s="151"/>
      <c r="B481" s="151"/>
    </row>
    <row r="482">
      <c r="A482" s="151"/>
      <c r="B482" s="151"/>
    </row>
    <row r="483">
      <c r="A483" s="151"/>
      <c r="B483" s="151"/>
    </row>
    <row r="484">
      <c r="A484" s="151"/>
      <c r="B484" s="151"/>
    </row>
    <row r="485">
      <c r="A485" s="151"/>
      <c r="B485" s="151"/>
    </row>
    <row r="486">
      <c r="A486" s="151"/>
      <c r="B486" s="151"/>
    </row>
    <row r="487">
      <c r="A487" s="151"/>
      <c r="B487" s="151"/>
    </row>
    <row r="488">
      <c r="A488" s="151"/>
      <c r="B488" s="151"/>
    </row>
    <row r="489">
      <c r="A489" s="151"/>
      <c r="B489" s="151"/>
    </row>
    <row r="490">
      <c r="A490" s="151"/>
      <c r="B490" s="151"/>
    </row>
    <row r="491">
      <c r="A491" s="151"/>
      <c r="B491" s="151"/>
    </row>
    <row r="492">
      <c r="A492" s="151"/>
      <c r="B492" s="151"/>
    </row>
    <row r="493">
      <c r="A493" s="151"/>
      <c r="B493" s="151"/>
    </row>
    <row r="494">
      <c r="A494" s="151"/>
      <c r="B494" s="151"/>
    </row>
    <row r="495">
      <c r="A495" s="151"/>
      <c r="B495" s="151"/>
    </row>
    <row r="496">
      <c r="A496" s="151"/>
      <c r="B496" s="151"/>
    </row>
    <row r="497">
      <c r="A497" s="151"/>
      <c r="B497" s="151"/>
    </row>
    <row r="498">
      <c r="A498" s="151"/>
      <c r="B498" s="151"/>
    </row>
    <row r="499">
      <c r="A499" s="151"/>
      <c r="B499" s="151"/>
    </row>
    <row r="500">
      <c r="A500" s="151"/>
      <c r="B500" s="151"/>
    </row>
    <row r="501">
      <c r="A501" s="151"/>
      <c r="B501" s="151"/>
    </row>
    <row r="502">
      <c r="A502" s="151"/>
      <c r="B502" s="151"/>
    </row>
    <row r="503">
      <c r="A503" s="151"/>
      <c r="B503" s="151"/>
    </row>
    <row r="504">
      <c r="A504" s="151"/>
      <c r="B504" s="151"/>
    </row>
    <row r="505">
      <c r="A505" s="151"/>
      <c r="B505" s="151"/>
    </row>
    <row r="506">
      <c r="A506" s="151"/>
      <c r="B506" s="151"/>
    </row>
    <row r="507">
      <c r="A507" s="151"/>
      <c r="B507" s="151"/>
    </row>
    <row r="508">
      <c r="A508" s="151"/>
      <c r="B508" s="151"/>
    </row>
    <row r="509">
      <c r="A509" s="151"/>
      <c r="B509" s="151"/>
    </row>
    <row r="510">
      <c r="A510" s="151"/>
      <c r="B510" s="151"/>
    </row>
    <row r="511">
      <c r="A511" s="151"/>
      <c r="B511" s="151"/>
    </row>
    <row r="512">
      <c r="A512" s="151"/>
      <c r="B512" s="151"/>
    </row>
    <row r="513">
      <c r="A513" s="151"/>
      <c r="B513" s="151"/>
    </row>
    <row r="514">
      <c r="A514" s="151"/>
      <c r="B514" s="151"/>
    </row>
    <row r="515">
      <c r="A515" s="151"/>
      <c r="B515" s="151"/>
    </row>
    <row r="516">
      <c r="A516" s="151"/>
      <c r="B516" s="151"/>
    </row>
    <row r="517">
      <c r="A517" s="151"/>
      <c r="B517" s="151"/>
    </row>
    <row r="518">
      <c r="A518" s="151"/>
      <c r="B518" s="151"/>
    </row>
    <row r="519">
      <c r="A519" s="151"/>
      <c r="B519" s="151"/>
    </row>
    <row r="520">
      <c r="A520" s="151"/>
      <c r="B520" s="151"/>
    </row>
    <row r="521">
      <c r="A521" s="151"/>
      <c r="B521" s="151"/>
    </row>
    <row r="522">
      <c r="A522" s="151"/>
      <c r="B522" s="151"/>
    </row>
    <row r="523">
      <c r="A523" s="151"/>
      <c r="B523" s="151"/>
    </row>
    <row r="524">
      <c r="A524" s="151"/>
      <c r="B524" s="151"/>
    </row>
    <row r="525">
      <c r="A525" s="151"/>
      <c r="B525" s="151"/>
    </row>
    <row r="526">
      <c r="A526" s="151"/>
      <c r="B526" s="151"/>
    </row>
    <row r="527">
      <c r="A527" s="151"/>
      <c r="B527" s="151"/>
    </row>
    <row r="528">
      <c r="A528" s="151"/>
      <c r="B528" s="151"/>
    </row>
    <row r="529">
      <c r="A529" s="151"/>
      <c r="B529" s="151"/>
    </row>
    <row r="530">
      <c r="A530" s="151"/>
      <c r="B530" s="151"/>
    </row>
    <row r="531">
      <c r="A531" s="151"/>
      <c r="B531" s="151"/>
    </row>
    <row r="532">
      <c r="A532" s="151"/>
      <c r="B532" s="151"/>
    </row>
    <row r="533">
      <c r="A533" s="151"/>
      <c r="B533" s="151"/>
    </row>
    <row r="534">
      <c r="A534" s="151"/>
      <c r="B534" s="151"/>
    </row>
    <row r="535">
      <c r="A535" s="151"/>
      <c r="B535" s="151"/>
    </row>
    <row r="536">
      <c r="A536" s="151"/>
      <c r="B536" s="151"/>
    </row>
    <row r="537">
      <c r="A537" s="151"/>
      <c r="B537" s="151"/>
    </row>
    <row r="538">
      <c r="A538" s="151"/>
      <c r="B538" s="151"/>
    </row>
    <row r="539">
      <c r="A539" s="151"/>
      <c r="B539" s="151"/>
    </row>
    <row r="540">
      <c r="A540" s="151"/>
      <c r="B540" s="151"/>
    </row>
    <row r="541">
      <c r="A541" s="151"/>
      <c r="B541" s="151"/>
    </row>
    <row r="542">
      <c r="A542" s="151"/>
      <c r="B542" s="151"/>
    </row>
    <row r="543">
      <c r="A543" s="151"/>
      <c r="B543" s="151"/>
    </row>
    <row r="544">
      <c r="A544" s="151"/>
      <c r="B544" s="151"/>
    </row>
    <row r="545">
      <c r="A545" s="151"/>
      <c r="B545" s="151"/>
    </row>
    <row r="546">
      <c r="A546" s="151"/>
      <c r="B546" s="151"/>
    </row>
    <row r="547">
      <c r="A547" s="151"/>
      <c r="B547" s="151"/>
    </row>
    <row r="548">
      <c r="A548" s="151"/>
      <c r="B548" s="151"/>
    </row>
    <row r="549">
      <c r="A549" s="151"/>
      <c r="B549" s="151"/>
    </row>
    <row r="550">
      <c r="A550" s="151"/>
      <c r="B550" s="151"/>
    </row>
    <row r="551">
      <c r="A551" s="151"/>
      <c r="B551" s="151"/>
    </row>
    <row r="552">
      <c r="A552" s="151"/>
      <c r="B552" s="151"/>
    </row>
    <row r="553">
      <c r="A553" s="151"/>
      <c r="B553" s="151"/>
    </row>
    <row r="554">
      <c r="A554" s="151"/>
      <c r="B554" s="151"/>
    </row>
    <row r="555">
      <c r="A555" s="151"/>
      <c r="B555" s="151"/>
    </row>
    <row r="556">
      <c r="A556" s="151"/>
      <c r="B556" s="151"/>
    </row>
    <row r="557">
      <c r="A557" s="151"/>
      <c r="B557" s="151"/>
    </row>
    <row r="558">
      <c r="A558" s="151"/>
      <c r="B558" s="151"/>
    </row>
    <row r="559">
      <c r="A559" s="151"/>
      <c r="B559" s="151"/>
    </row>
    <row r="560">
      <c r="A560" s="151"/>
      <c r="B560" s="151"/>
    </row>
    <row r="561">
      <c r="A561" s="151"/>
      <c r="B561" s="151"/>
    </row>
    <row r="562">
      <c r="A562" s="151"/>
      <c r="B562" s="151"/>
    </row>
    <row r="563">
      <c r="A563" s="151"/>
      <c r="B563" s="151"/>
    </row>
    <row r="564">
      <c r="A564" s="151"/>
      <c r="B564" s="151"/>
    </row>
    <row r="565">
      <c r="A565" s="151"/>
      <c r="B565" s="151"/>
    </row>
    <row r="566">
      <c r="A566" s="151"/>
      <c r="B566" s="151"/>
    </row>
    <row r="567">
      <c r="A567" s="151"/>
      <c r="B567" s="151"/>
    </row>
    <row r="568">
      <c r="A568" s="151"/>
      <c r="B568" s="151"/>
    </row>
    <row r="569">
      <c r="A569" s="151"/>
      <c r="B569" s="151"/>
    </row>
    <row r="570">
      <c r="A570" s="151"/>
      <c r="B570" s="151"/>
    </row>
    <row r="571">
      <c r="A571" s="151"/>
      <c r="B571" s="151"/>
    </row>
    <row r="572">
      <c r="A572" s="151"/>
      <c r="B572" s="151"/>
    </row>
    <row r="573">
      <c r="A573" s="151"/>
      <c r="B573" s="151"/>
    </row>
    <row r="574">
      <c r="A574" s="151"/>
      <c r="B574" s="151"/>
    </row>
    <row r="575">
      <c r="A575" s="151"/>
      <c r="B575" s="151"/>
    </row>
    <row r="576">
      <c r="A576" s="151"/>
      <c r="B576" s="151"/>
    </row>
    <row r="577">
      <c r="A577" s="151"/>
      <c r="B577" s="151"/>
    </row>
    <row r="578">
      <c r="A578" s="151"/>
      <c r="B578" s="151"/>
    </row>
    <row r="579">
      <c r="A579" s="151"/>
      <c r="B579" s="151"/>
    </row>
    <row r="580">
      <c r="A580" s="151"/>
      <c r="B580" s="151"/>
    </row>
    <row r="581">
      <c r="A581" s="151"/>
      <c r="B581" s="151"/>
    </row>
    <row r="582">
      <c r="A582" s="151"/>
      <c r="B582" s="151"/>
    </row>
    <row r="583">
      <c r="A583" s="151"/>
      <c r="B583" s="151"/>
    </row>
    <row r="584">
      <c r="A584" s="151"/>
      <c r="B584" s="151"/>
    </row>
    <row r="585">
      <c r="A585" s="151"/>
      <c r="B585" s="151"/>
    </row>
    <row r="586">
      <c r="A586" s="151"/>
      <c r="B586" s="151"/>
    </row>
    <row r="587">
      <c r="A587" s="151"/>
      <c r="B587" s="151"/>
    </row>
    <row r="588">
      <c r="A588" s="151"/>
      <c r="B588" s="151"/>
    </row>
    <row r="589">
      <c r="A589" s="151"/>
      <c r="B589" s="151"/>
    </row>
    <row r="590">
      <c r="A590" s="151"/>
      <c r="B590" s="151"/>
    </row>
    <row r="591">
      <c r="A591" s="151"/>
      <c r="B591" s="151"/>
    </row>
    <row r="592">
      <c r="A592" s="151"/>
      <c r="B592" s="151"/>
    </row>
    <row r="593">
      <c r="A593" s="151"/>
      <c r="B593" s="151"/>
    </row>
    <row r="594">
      <c r="A594" s="151"/>
      <c r="B594" s="151"/>
    </row>
    <row r="595">
      <c r="A595" s="151"/>
      <c r="B595" s="151"/>
    </row>
    <row r="596">
      <c r="A596" s="151"/>
      <c r="B596" s="151"/>
    </row>
    <row r="597">
      <c r="A597" s="151"/>
      <c r="B597" s="151"/>
    </row>
    <row r="598">
      <c r="A598" s="151"/>
      <c r="B598" s="151"/>
    </row>
    <row r="599">
      <c r="A599" s="151"/>
      <c r="B599" s="151"/>
    </row>
    <row r="600">
      <c r="A600" s="151"/>
      <c r="B600" s="151"/>
    </row>
    <row r="601">
      <c r="A601" s="151"/>
      <c r="B601" s="151"/>
    </row>
    <row r="602">
      <c r="A602" s="151"/>
      <c r="B602" s="151"/>
    </row>
    <row r="603">
      <c r="A603" s="151"/>
      <c r="B603" s="151"/>
    </row>
    <row r="604">
      <c r="A604" s="151"/>
      <c r="B604" s="151"/>
    </row>
    <row r="605">
      <c r="A605" s="151"/>
      <c r="B605" s="151"/>
    </row>
    <row r="606">
      <c r="A606" s="151"/>
      <c r="B606" s="151"/>
    </row>
    <row r="607">
      <c r="A607" s="151"/>
      <c r="B607" s="151"/>
    </row>
    <row r="608">
      <c r="A608" s="151"/>
      <c r="B608" s="151"/>
    </row>
    <row r="609">
      <c r="A609" s="151"/>
      <c r="B609" s="151"/>
    </row>
    <row r="610">
      <c r="A610" s="151"/>
      <c r="B610" s="151"/>
    </row>
    <row r="611">
      <c r="A611" s="151"/>
      <c r="B611" s="151"/>
    </row>
    <row r="612">
      <c r="A612" s="151"/>
      <c r="B612" s="151"/>
    </row>
    <row r="613">
      <c r="A613" s="151"/>
      <c r="B613" s="151"/>
    </row>
    <row r="614">
      <c r="A614" s="151"/>
      <c r="B614" s="151"/>
    </row>
    <row r="615">
      <c r="A615" s="151"/>
      <c r="B615" s="151"/>
    </row>
    <row r="616">
      <c r="A616" s="151"/>
      <c r="B616" s="151"/>
    </row>
    <row r="617">
      <c r="A617" s="151"/>
      <c r="B617" s="151"/>
    </row>
    <row r="618">
      <c r="A618" s="151"/>
      <c r="B618" s="151"/>
    </row>
    <row r="619">
      <c r="A619" s="151"/>
      <c r="B619" s="151"/>
    </row>
    <row r="620">
      <c r="A620" s="151"/>
      <c r="B620" s="151"/>
    </row>
    <row r="621">
      <c r="A621" s="151"/>
      <c r="B621" s="151"/>
    </row>
    <row r="622">
      <c r="A622" s="151"/>
      <c r="B622" s="151"/>
    </row>
    <row r="623">
      <c r="A623" s="151"/>
      <c r="B623" s="151"/>
    </row>
    <row r="624">
      <c r="A624" s="151"/>
      <c r="B624" s="151"/>
    </row>
    <row r="625">
      <c r="A625" s="151"/>
      <c r="B625" s="151"/>
    </row>
    <row r="626">
      <c r="A626" s="151"/>
      <c r="B626" s="151"/>
    </row>
    <row r="627">
      <c r="A627" s="151"/>
      <c r="B627" s="151"/>
    </row>
    <row r="628">
      <c r="A628" s="151"/>
      <c r="B628" s="151"/>
    </row>
    <row r="629">
      <c r="A629" s="151"/>
      <c r="B629" s="151"/>
    </row>
    <row r="630">
      <c r="A630" s="151"/>
      <c r="B630" s="151"/>
    </row>
    <row r="631">
      <c r="A631" s="151"/>
      <c r="B631" s="151"/>
    </row>
    <row r="632">
      <c r="A632" s="151"/>
      <c r="B632" s="151"/>
    </row>
    <row r="633">
      <c r="A633" s="151"/>
      <c r="B633" s="151"/>
    </row>
    <row r="634">
      <c r="A634" s="151"/>
      <c r="B634" s="151"/>
    </row>
    <row r="635">
      <c r="A635" s="151"/>
      <c r="B635" s="151"/>
    </row>
    <row r="636">
      <c r="A636" s="151"/>
      <c r="B636" s="151"/>
    </row>
    <row r="637">
      <c r="A637" s="151"/>
      <c r="B637" s="151"/>
    </row>
    <row r="638">
      <c r="A638" s="151"/>
      <c r="B638" s="151"/>
    </row>
    <row r="639">
      <c r="A639" s="151"/>
      <c r="B639" s="151"/>
    </row>
    <row r="640">
      <c r="A640" s="151"/>
      <c r="B640" s="151"/>
    </row>
    <row r="641">
      <c r="A641" s="151"/>
      <c r="B641" s="151"/>
    </row>
    <row r="642">
      <c r="A642" s="151"/>
      <c r="B642" s="151"/>
    </row>
    <row r="643">
      <c r="A643" s="151"/>
      <c r="B643" s="151"/>
    </row>
    <row r="644">
      <c r="A644" s="151"/>
      <c r="B644" s="151"/>
    </row>
    <row r="645">
      <c r="A645" s="151"/>
      <c r="B645" s="151"/>
    </row>
    <row r="646">
      <c r="A646" s="151"/>
      <c r="B646" s="151"/>
    </row>
    <row r="647">
      <c r="A647" s="151"/>
      <c r="B647" s="151"/>
    </row>
    <row r="648">
      <c r="A648" s="151"/>
      <c r="B648" s="151"/>
    </row>
    <row r="649">
      <c r="A649" s="151"/>
      <c r="B649" s="151"/>
    </row>
    <row r="650">
      <c r="A650" s="151"/>
      <c r="B650" s="151"/>
    </row>
    <row r="651">
      <c r="A651" s="151"/>
      <c r="B651" s="151"/>
    </row>
    <row r="652">
      <c r="A652" s="151"/>
      <c r="B652" s="151"/>
    </row>
    <row r="653">
      <c r="A653" s="151"/>
      <c r="B653" s="151"/>
    </row>
    <row r="654">
      <c r="A654" s="151"/>
      <c r="B654" s="151"/>
    </row>
    <row r="655">
      <c r="A655" s="151"/>
      <c r="B655" s="151"/>
    </row>
    <row r="656">
      <c r="A656" s="151"/>
      <c r="B656" s="151"/>
    </row>
    <row r="657">
      <c r="A657" s="151"/>
      <c r="B657" s="151"/>
    </row>
    <row r="658">
      <c r="A658" s="151"/>
      <c r="B658" s="151"/>
    </row>
    <row r="659">
      <c r="A659" s="151"/>
      <c r="B659" s="151"/>
    </row>
    <row r="660">
      <c r="A660" s="151"/>
      <c r="B660" s="151"/>
    </row>
    <row r="661">
      <c r="A661" s="151"/>
      <c r="B661" s="151"/>
    </row>
    <row r="662">
      <c r="A662" s="151"/>
      <c r="B662" s="151"/>
    </row>
    <row r="663">
      <c r="A663" s="151"/>
      <c r="B663" s="151"/>
    </row>
    <row r="664">
      <c r="A664" s="151"/>
      <c r="B664" s="151"/>
    </row>
    <row r="665">
      <c r="A665" s="151"/>
      <c r="B665" s="151"/>
    </row>
    <row r="666">
      <c r="A666" s="151"/>
      <c r="B666" s="151"/>
    </row>
    <row r="667">
      <c r="A667" s="151"/>
      <c r="B667" s="151"/>
    </row>
    <row r="668">
      <c r="A668" s="151"/>
      <c r="B668" s="151"/>
    </row>
    <row r="669">
      <c r="A669" s="151"/>
      <c r="B669" s="151"/>
    </row>
    <row r="670">
      <c r="A670" s="151"/>
      <c r="B670" s="151"/>
    </row>
    <row r="671">
      <c r="A671" s="151"/>
      <c r="B671" s="151"/>
    </row>
    <row r="672">
      <c r="A672" s="151"/>
      <c r="B672" s="151"/>
    </row>
    <row r="673">
      <c r="A673" s="151"/>
      <c r="B673" s="151"/>
    </row>
    <row r="674">
      <c r="A674" s="151"/>
      <c r="B674" s="151"/>
    </row>
    <row r="675">
      <c r="A675" s="151"/>
      <c r="B675" s="151"/>
    </row>
    <row r="676">
      <c r="A676" s="151"/>
      <c r="B676" s="151"/>
    </row>
    <row r="677">
      <c r="A677" s="151"/>
      <c r="B677" s="151"/>
    </row>
    <row r="678">
      <c r="A678" s="151"/>
      <c r="B678" s="151"/>
    </row>
    <row r="679">
      <c r="A679" s="151"/>
      <c r="B679" s="151"/>
    </row>
    <row r="680">
      <c r="A680" s="151"/>
      <c r="B680" s="151"/>
    </row>
    <row r="681">
      <c r="A681" s="151"/>
      <c r="B681" s="151"/>
    </row>
    <row r="682">
      <c r="A682" s="151"/>
      <c r="B682" s="151"/>
    </row>
    <row r="683">
      <c r="A683" s="151"/>
      <c r="B683" s="151"/>
    </row>
    <row r="684">
      <c r="A684" s="151"/>
      <c r="B684" s="151"/>
    </row>
    <row r="685">
      <c r="A685" s="151"/>
      <c r="B685" s="151"/>
    </row>
    <row r="686">
      <c r="A686" s="151"/>
      <c r="B686" s="151"/>
    </row>
    <row r="687">
      <c r="A687" s="151"/>
      <c r="B687" s="151"/>
    </row>
    <row r="688">
      <c r="A688" s="151"/>
      <c r="B688" s="151"/>
    </row>
    <row r="689">
      <c r="A689" s="151"/>
      <c r="B689" s="151"/>
    </row>
    <row r="690">
      <c r="A690" s="151"/>
      <c r="B690" s="151"/>
    </row>
    <row r="691">
      <c r="A691" s="151"/>
      <c r="B691" s="151"/>
    </row>
    <row r="692">
      <c r="A692" s="151"/>
      <c r="B692" s="151"/>
    </row>
    <row r="693">
      <c r="A693" s="151"/>
      <c r="B693" s="151"/>
    </row>
    <row r="694">
      <c r="A694" s="151"/>
      <c r="B694" s="151"/>
    </row>
    <row r="695">
      <c r="A695" s="151"/>
      <c r="B695" s="151"/>
    </row>
    <row r="696">
      <c r="A696" s="151"/>
      <c r="B696" s="151"/>
    </row>
    <row r="697">
      <c r="A697" s="151"/>
      <c r="B697" s="151"/>
    </row>
    <row r="698">
      <c r="A698" s="151"/>
      <c r="B698" s="151"/>
    </row>
    <row r="699">
      <c r="A699" s="151"/>
      <c r="B699" s="151"/>
    </row>
    <row r="700">
      <c r="A700" s="151"/>
      <c r="B700" s="151"/>
    </row>
    <row r="701">
      <c r="A701" s="151"/>
      <c r="B701" s="151"/>
    </row>
    <row r="702">
      <c r="A702" s="151"/>
      <c r="B702" s="151"/>
    </row>
    <row r="703">
      <c r="A703" s="151"/>
      <c r="B703" s="151"/>
    </row>
    <row r="704">
      <c r="A704" s="151"/>
      <c r="B704" s="151"/>
    </row>
    <row r="705">
      <c r="A705" s="151"/>
      <c r="B705" s="151"/>
    </row>
    <row r="706">
      <c r="A706" s="151"/>
      <c r="B706" s="151"/>
    </row>
    <row r="707">
      <c r="A707" s="151"/>
      <c r="B707" s="151"/>
    </row>
    <row r="708">
      <c r="A708" s="151"/>
      <c r="B708" s="151"/>
    </row>
    <row r="709">
      <c r="A709" s="151"/>
      <c r="B709" s="151"/>
    </row>
    <row r="710">
      <c r="A710" s="151"/>
      <c r="B710" s="151"/>
    </row>
    <row r="711">
      <c r="A711" s="151"/>
      <c r="B711" s="151"/>
    </row>
    <row r="712">
      <c r="A712" s="151"/>
      <c r="B712" s="151"/>
    </row>
    <row r="713">
      <c r="A713" s="151"/>
      <c r="B713" s="151"/>
    </row>
    <row r="714">
      <c r="A714" s="151"/>
      <c r="B714" s="151"/>
    </row>
    <row r="715">
      <c r="A715" s="151"/>
      <c r="B715" s="151"/>
    </row>
    <row r="716">
      <c r="A716" s="151"/>
      <c r="B716" s="151"/>
    </row>
    <row r="717">
      <c r="A717" s="151"/>
      <c r="B717" s="151"/>
    </row>
    <row r="718">
      <c r="A718" s="151"/>
      <c r="B718" s="151"/>
    </row>
    <row r="719">
      <c r="A719" s="151"/>
      <c r="B719" s="151"/>
    </row>
    <row r="720">
      <c r="A720" s="151"/>
      <c r="B720" s="151"/>
    </row>
    <row r="721">
      <c r="A721" s="151"/>
      <c r="B721" s="151"/>
    </row>
    <row r="722">
      <c r="A722" s="151"/>
      <c r="B722" s="151"/>
    </row>
    <row r="723">
      <c r="A723" s="151"/>
      <c r="B723" s="151"/>
    </row>
    <row r="724">
      <c r="A724" s="151"/>
      <c r="B724" s="151"/>
    </row>
    <row r="725">
      <c r="A725" s="151"/>
      <c r="B725" s="151"/>
    </row>
    <row r="726">
      <c r="A726" s="151"/>
      <c r="B726" s="151"/>
    </row>
    <row r="727">
      <c r="A727" s="151"/>
      <c r="B727" s="151"/>
    </row>
    <row r="728">
      <c r="A728" s="151"/>
      <c r="B728" s="151"/>
    </row>
    <row r="729">
      <c r="A729" s="151"/>
      <c r="B729" s="151"/>
    </row>
    <row r="730">
      <c r="A730" s="151"/>
      <c r="B730" s="151"/>
    </row>
    <row r="731">
      <c r="A731" s="151"/>
      <c r="B731" s="151"/>
    </row>
    <row r="732">
      <c r="A732" s="151"/>
      <c r="B732" s="151"/>
    </row>
    <row r="733">
      <c r="A733" s="151"/>
      <c r="B733" s="151"/>
    </row>
    <row r="734">
      <c r="A734" s="151"/>
      <c r="B734" s="151"/>
    </row>
    <row r="735">
      <c r="A735" s="151"/>
      <c r="B735" s="151"/>
    </row>
    <row r="736">
      <c r="A736" s="151"/>
      <c r="B736" s="151"/>
    </row>
    <row r="737">
      <c r="A737" s="151"/>
      <c r="B737" s="151"/>
    </row>
    <row r="738">
      <c r="A738" s="151"/>
      <c r="B738" s="151"/>
    </row>
    <row r="739">
      <c r="A739" s="151"/>
      <c r="B739" s="151"/>
    </row>
    <row r="740">
      <c r="A740" s="151"/>
      <c r="B740" s="151"/>
    </row>
    <row r="741">
      <c r="A741" s="151"/>
      <c r="B741" s="151"/>
    </row>
    <row r="742">
      <c r="A742" s="151"/>
      <c r="B742" s="151"/>
    </row>
    <row r="743">
      <c r="A743" s="151"/>
      <c r="B743" s="151"/>
    </row>
    <row r="744">
      <c r="A744" s="151"/>
      <c r="B744" s="151"/>
    </row>
    <row r="745">
      <c r="A745" s="151"/>
      <c r="B745" s="151"/>
    </row>
    <row r="746">
      <c r="A746" s="151"/>
      <c r="B746" s="151"/>
    </row>
    <row r="747">
      <c r="A747" s="151"/>
      <c r="B747" s="151"/>
    </row>
    <row r="748">
      <c r="A748" s="151"/>
      <c r="B748" s="151"/>
    </row>
    <row r="749">
      <c r="A749" s="151"/>
      <c r="B749" s="151"/>
    </row>
    <row r="750">
      <c r="A750" s="151"/>
      <c r="B750" s="151"/>
    </row>
    <row r="751">
      <c r="A751" s="151"/>
      <c r="B751" s="151"/>
    </row>
    <row r="752">
      <c r="A752" s="151"/>
      <c r="B752" s="151"/>
    </row>
    <row r="753">
      <c r="A753" s="151"/>
      <c r="B753" s="151"/>
    </row>
    <row r="754">
      <c r="A754" s="151"/>
      <c r="B754" s="151"/>
    </row>
    <row r="755">
      <c r="A755" s="151"/>
      <c r="B755" s="151"/>
    </row>
    <row r="756">
      <c r="A756" s="151"/>
      <c r="B756" s="151"/>
    </row>
    <row r="757">
      <c r="A757" s="151"/>
      <c r="B757" s="151"/>
    </row>
    <row r="758">
      <c r="A758" s="151"/>
      <c r="B758" s="151"/>
    </row>
    <row r="759">
      <c r="A759" s="151"/>
      <c r="B759" s="151"/>
    </row>
    <row r="760">
      <c r="A760" s="151"/>
      <c r="B760" s="151"/>
    </row>
    <row r="761">
      <c r="A761" s="151"/>
      <c r="B761" s="151"/>
    </row>
    <row r="762">
      <c r="A762" s="151"/>
      <c r="B762" s="151"/>
    </row>
    <row r="763">
      <c r="A763" s="151"/>
      <c r="B763" s="151"/>
    </row>
    <row r="764">
      <c r="A764" s="151"/>
      <c r="B764" s="151"/>
    </row>
    <row r="765">
      <c r="A765" s="151"/>
      <c r="B765" s="151"/>
    </row>
    <row r="766">
      <c r="A766" s="151"/>
      <c r="B766" s="151"/>
    </row>
    <row r="767">
      <c r="A767" s="151"/>
      <c r="B767" s="151"/>
    </row>
    <row r="768">
      <c r="A768" s="151"/>
      <c r="B768" s="151"/>
    </row>
    <row r="769">
      <c r="A769" s="151"/>
      <c r="B769" s="151"/>
    </row>
    <row r="770">
      <c r="A770" s="151"/>
      <c r="B770" s="151"/>
    </row>
    <row r="771">
      <c r="A771" s="151"/>
      <c r="B771" s="151"/>
    </row>
    <row r="772">
      <c r="A772" s="151"/>
      <c r="B772" s="151"/>
    </row>
    <row r="773">
      <c r="A773" s="151"/>
      <c r="B773" s="151"/>
    </row>
    <row r="774">
      <c r="A774" s="151"/>
      <c r="B774" s="151"/>
    </row>
    <row r="775">
      <c r="A775" s="151"/>
      <c r="B775" s="151"/>
    </row>
    <row r="776">
      <c r="A776" s="151"/>
      <c r="B776" s="151"/>
    </row>
    <row r="777">
      <c r="A777" s="151"/>
      <c r="B777" s="151"/>
    </row>
    <row r="778">
      <c r="A778" s="151"/>
      <c r="B778" s="151"/>
    </row>
    <row r="779">
      <c r="A779" s="151"/>
      <c r="B779" s="151"/>
    </row>
    <row r="780">
      <c r="A780" s="151"/>
      <c r="B780" s="151"/>
    </row>
    <row r="781">
      <c r="A781" s="151"/>
      <c r="B781" s="151"/>
    </row>
    <row r="782">
      <c r="A782" s="151"/>
      <c r="B782" s="151"/>
    </row>
    <row r="783">
      <c r="A783" s="151"/>
      <c r="B783" s="151"/>
    </row>
    <row r="784">
      <c r="A784" s="151"/>
      <c r="B784" s="151"/>
    </row>
    <row r="785">
      <c r="A785" s="151"/>
      <c r="B785" s="151"/>
    </row>
    <row r="786">
      <c r="A786" s="151"/>
      <c r="B786" s="151"/>
    </row>
    <row r="787">
      <c r="A787" s="151"/>
      <c r="B787" s="151"/>
    </row>
    <row r="788">
      <c r="A788" s="151"/>
      <c r="B788" s="151"/>
    </row>
    <row r="789">
      <c r="A789" s="151"/>
      <c r="B789" s="151"/>
    </row>
    <row r="790">
      <c r="A790" s="151"/>
      <c r="B790" s="151"/>
    </row>
    <row r="791">
      <c r="A791" s="151"/>
      <c r="B791" s="151"/>
    </row>
    <row r="792">
      <c r="A792" s="151"/>
      <c r="B792" s="151"/>
    </row>
    <row r="793">
      <c r="A793" s="151"/>
      <c r="B793" s="151"/>
    </row>
    <row r="794">
      <c r="A794" s="151"/>
      <c r="B794" s="151"/>
    </row>
    <row r="795">
      <c r="A795" s="151"/>
      <c r="B795" s="151"/>
    </row>
    <row r="796">
      <c r="A796" s="151"/>
      <c r="B796" s="151"/>
    </row>
    <row r="797">
      <c r="A797" s="151"/>
      <c r="B797" s="151"/>
    </row>
    <row r="798">
      <c r="A798" s="151"/>
      <c r="B798" s="151"/>
    </row>
    <row r="799">
      <c r="A799" s="151"/>
      <c r="B799" s="151"/>
    </row>
    <row r="800">
      <c r="A800" s="151"/>
      <c r="B800" s="151"/>
    </row>
    <row r="801">
      <c r="A801" s="151"/>
      <c r="B801" s="151"/>
    </row>
    <row r="802">
      <c r="A802" s="151"/>
      <c r="B802" s="151"/>
    </row>
    <row r="803">
      <c r="A803" s="151"/>
      <c r="B803" s="151"/>
    </row>
    <row r="804">
      <c r="A804" s="151"/>
      <c r="B804" s="151"/>
    </row>
    <row r="805">
      <c r="A805" s="151"/>
      <c r="B805" s="151"/>
    </row>
    <row r="806">
      <c r="A806" s="151"/>
      <c r="B806" s="151"/>
    </row>
    <row r="807">
      <c r="A807" s="151"/>
      <c r="B807" s="151"/>
    </row>
    <row r="808">
      <c r="A808" s="151"/>
      <c r="B808" s="151"/>
    </row>
    <row r="809">
      <c r="A809" s="151"/>
      <c r="B809" s="151"/>
    </row>
    <row r="810">
      <c r="A810" s="151"/>
      <c r="B810" s="151"/>
    </row>
    <row r="811">
      <c r="A811" s="151"/>
      <c r="B811" s="151"/>
    </row>
    <row r="812">
      <c r="A812" s="151"/>
      <c r="B812" s="151"/>
    </row>
    <row r="813">
      <c r="A813" s="151"/>
      <c r="B813" s="151"/>
    </row>
    <row r="814">
      <c r="A814" s="151"/>
      <c r="B814" s="151"/>
    </row>
    <row r="815">
      <c r="A815" s="151"/>
      <c r="B815" s="151"/>
    </row>
    <row r="816">
      <c r="A816" s="151"/>
      <c r="B816" s="151"/>
    </row>
    <row r="817">
      <c r="A817" s="151"/>
      <c r="B817" s="151"/>
    </row>
    <row r="818">
      <c r="A818" s="151"/>
      <c r="B818" s="151"/>
    </row>
    <row r="819">
      <c r="A819" s="151"/>
      <c r="B819" s="151"/>
    </row>
    <row r="820">
      <c r="A820" s="151"/>
      <c r="B820" s="151"/>
    </row>
    <row r="821">
      <c r="A821" s="151"/>
      <c r="B821" s="151"/>
    </row>
    <row r="822">
      <c r="A822" s="151"/>
      <c r="B822" s="151"/>
    </row>
    <row r="823">
      <c r="A823" s="151"/>
      <c r="B823" s="151"/>
    </row>
    <row r="824">
      <c r="A824" s="151"/>
      <c r="B824" s="151"/>
    </row>
    <row r="825">
      <c r="A825" s="151"/>
      <c r="B825" s="151"/>
    </row>
    <row r="826">
      <c r="A826" s="151"/>
      <c r="B826" s="151"/>
    </row>
    <row r="827">
      <c r="A827" s="151"/>
      <c r="B827" s="151"/>
    </row>
    <row r="828">
      <c r="A828" s="151"/>
      <c r="B828" s="151"/>
    </row>
    <row r="829">
      <c r="A829" s="151"/>
      <c r="B829" s="151"/>
    </row>
    <row r="830">
      <c r="A830" s="151"/>
      <c r="B830" s="151"/>
    </row>
    <row r="831">
      <c r="A831" s="151"/>
      <c r="B831" s="151"/>
    </row>
    <row r="832">
      <c r="A832" s="151"/>
      <c r="B832" s="151"/>
    </row>
    <row r="833">
      <c r="A833" s="151"/>
      <c r="B833" s="151"/>
    </row>
    <row r="834">
      <c r="A834" s="151"/>
      <c r="B834" s="151"/>
    </row>
    <row r="835">
      <c r="A835" s="151"/>
      <c r="B835" s="151"/>
    </row>
    <row r="836">
      <c r="A836" s="151"/>
      <c r="B836" s="151"/>
    </row>
    <row r="837">
      <c r="A837" s="151"/>
      <c r="B837" s="151"/>
    </row>
    <row r="838">
      <c r="A838" s="151"/>
      <c r="B838" s="151"/>
    </row>
    <row r="839">
      <c r="A839" s="151"/>
      <c r="B839" s="151"/>
    </row>
    <row r="840">
      <c r="A840" s="151"/>
      <c r="B840" s="151"/>
    </row>
    <row r="841">
      <c r="A841" s="151"/>
      <c r="B841" s="151"/>
    </row>
    <row r="842">
      <c r="A842" s="151"/>
      <c r="B842" s="151"/>
    </row>
    <row r="843">
      <c r="A843" s="151"/>
      <c r="B843" s="151"/>
    </row>
    <row r="844">
      <c r="A844" s="151"/>
      <c r="B844" s="151"/>
    </row>
    <row r="845">
      <c r="A845" s="151"/>
      <c r="B845" s="151"/>
    </row>
    <row r="846">
      <c r="A846" s="151"/>
      <c r="B846" s="151"/>
    </row>
    <row r="847">
      <c r="A847" s="151"/>
      <c r="B847" s="151"/>
    </row>
    <row r="848">
      <c r="A848" s="151"/>
      <c r="B848" s="151"/>
    </row>
    <row r="849">
      <c r="A849" s="151"/>
      <c r="B849" s="151"/>
    </row>
    <row r="850">
      <c r="A850" s="151"/>
      <c r="B850" s="151"/>
    </row>
    <row r="851">
      <c r="A851" s="151"/>
      <c r="B851" s="151"/>
    </row>
    <row r="852">
      <c r="A852" s="151"/>
      <c r="B852" s="151"/>
    </row>
    <row r="853">
      <c r="A853" s="151"/>
      <c r="B853" s="151"/>
    </row>
    <row r="854">
      <c r="A854" s="151"/>
      <c r="B854" s="151"/>
    </row>
    <row r="855">
      <c r="A855" s="151"/>
      <c r="B855" s="151"/>
    </row>
    <row r="856">
      <c r="A856" s="151"/>
      <c r="B856" s="151"/>
    </row>
    <row r="857">
      <c r="A857" s="151"/>
      <c r="B857" s="151"/>
    </row>
    <row r="858">
      <c r="A858" s="151"/>
      <c r="B858" s="151"/>
    </row>
    <row r="859">
      <c r="A859" s="151"/>
      <c r="B859" s="151"/>
    </row>
    <row r="860">
      <c r="A860" s="151"/>
      <c r="B860" s="151"/>
    </row>
    <row r="861">
      <c r="A861" s="151"/>
      <c r="B861" s="151"/>
    </row>
    <row r="862">
      <c r="A862" s="151"/>
      <c r="B862" s="151"/>
    </row>
    <row r="863">
      <c r="A863" s="151"/>
      <c r="B863" s="151"/>
    </row>
    <row r="864">
      <c r="A864" s="151"/>
      <c r="B864" s="151"/>
    </row>
    <row r="865">
      <c r="A865" s="151"/>
      <c r="B865" s="151"/>
    </row>
    <row r="866">
      <c r="A866" s="151"/>
      <c r="B866" s="151"/>
    </row>
    <row r="867">
      <c r="A867" s="151"/>
      <c r="B867" s="151"/>
    </row>
    <row r="868">
      <c r="A868" s="151"/>
      <c r="B868" s="151"/>
    </row>
    <row r="869">
      <c r="A869" s="151"/>
      <c r="B869" s="151"/>
    </row>
    <row r="870">
      <c r="A870" s="151"/>
      <c r="B870" s="151"/>
    </row>
    <row r="871">
      <c r="A871" s="151"/>
      <c r="B871" s="151"/>
    </row>
    <row r="872">
      <c r="A872" s="151"/>
      <c r="B872" s="151"/>
    </row>
    <row r="873">
      <c r="A873" s="151"/>
      <c r="B873" s="151"/>
    </row>
    <row r="874">
      <c r="A874" s="151"/>
      <c r="B874" s="151"/>
    </row>
    <row r="875">
      <c r="A875" s="151"/>
      <c r="B875" s="151"/>
    </row>
    <row r="876">
      <c r="A876" s="151"/>
      <c r="B876" s="151"/>
    </row>
    <row r="877">
      <c r="A877" s="151"/>
      <c r="B877" s="151"/>
    </row>
    <row r="878">
      <c r="A878" s="151"/>
      <c r="B878" s="151"/>
    </row>
    <row r="879">
      <c r="A879" s="151"/>
      <c r="B879" s="151"/>
    </row>
    <row r="880">
      <c r="A880" s="151"/>
      <c r="B880" s="151"/>
    </row>
    <row r="881">
      <c r="A881" s="151"/>
      <c r="B881" s="151"/>
    </row>
    <row r="882">
      <c r="A882" s="151"/>
      <c r="B882" s="151"/>
    </row>
    <row r="883">
      <c r="A883" s="151"/>
      <c r="B883" s="151"/>
    </row>
    <row r="884">
      <c r="A884" s="151"/>
      <c r="B884" s="151"/>
    </row>
    <row r="885">
      <c r="A885" s="151"/>
      <c r="B885" s="151"/>
    </row>
    <row r="886">
      <c r="A886" s="151"/>
      <c r="B886" s="151"/>
    </row>
    <row r="887">
      <c r="A887" s="151"/>
      <c r="B887" s="151"/>
    </row>
    <row r="888">
      <c r="A888" s="151"/>
      <c r="B888" s="151"/>
    </row>
    <row r="889">
      <c r="A889" s="151"/>
      <c r="B889" s="151"/>
    </row>
    <row r="890">
      <c r="A890" s="151"/>
      <c r="B890" s="151"/>
    </row>
    <row r="891">
      <c r="A891" s="151"/>
      <c r="B891" s="151"/>
    </row>
    <row r="892">
      <c r="A892" s="151"/>
      <c r="B892" s="151"/>
    </row>
    <row r="893">
      <c r="A893" s="151"/>
      <c r="B893" s="151"/>
    </row>
    <row r="894">
      <c r="A894" s="151"/>
      <c r="B894" s="151"/>
    </row>
    <row r="895">
      <c r="A895" s="151"/>
      <c r="B895" s="151"/>
    </row>
    <row r="896">
      <c r="A896" s="151"/>
      <c r="B896" s="151"/>
    </row>
    <row r="897">
      <c r="A897" s="151"/>
      <c r="B897" s="151"/>
    </row>
    <row r="898">
      <c r="A898" s="151"/>
      <c r="B898" s="151"/>
    </row>
    <row r="899">
      <c r="A899" s="151"/>
      <c r="B899" s="151"/>
    </row>
    <row r="900">
      <c r="A900" s="151"/>
      <c r="B900" s="151"/>
    </row>
    <row r="901">
      <c r="A901" s="151"/>
      <c r="B901" s="151"/>
    </row>
    <row r="902">
      <c r="A902" s="151"/>
      <c r="B902" s="151"/>
    </row>
    <row r="903">
      <c r="A903" s="151"/>
      <c r="B903" s="151"/>
    </row>
    <row r="904">
      <c r="A904" s="151"/>
      <c r="B904" s="151"/>
    </row>
    <row r="905">
      <c r="A905" s="151"/>
      <c r="B905" s="151"/>
    </row>
    <row r="906">
      <c r="A906" s="151"/>
      <c r="B906" s="151"/>
    </row>
    <row r="907">
      <c r="A907" s="151"/>
      <c r="B907" s="151"/>
    </row>
    <row r="908">
      <c r="A908" s="151"/>
      <c r="B908" s="151"/>
    </row>
    <row r="909">
      <c r="A909" s="151"/>
      <c r="B909" s="151"/>
    </row>
    <row r="910">
      <c r="A910" s="151"/>
      <c r="B910" s="151"/>
    </row>
    <row r="911">
      <c r="A911" s="151"/>
      <c r="B911" s="151"/>
    </row>
    <row r="912">
      <c r="A912" s="151"/>
      <c r="B912" s="151"/>
    </row>
    <row r="913">
      <c r="A913" s="151"/>
      <c r="B913" s="151"/>
    </row>
    <row r="914">
      <c r="A914" s="151"/>
      <c r="B914" s="151"/>
    </row>
    <row r="915">
      <c r="A915" s="151"/>
      <c r="B915" s="151"/>
    </row>
    <row r="916">
      <c r="A916" s="151"/>
      <c r="B916" s="151"/>
    </row>
    <row r="917">
      <c r="A917" s="151"/>
      <c r="B917" s="151"/>
    </row>
    <row r="918">
      <c r="A918" s="151"/>
      <c r="B918" s="151"/>
    </row>
    <row r="919">
      <c r="A919" s="151"/>
      <c r="B919" s="151"/>
    </row>
    <row r="920">
      <c r="A920" s="151"/>
      <c r="B920" s="151"/>
    </row>
    <row r="921">
      <c r="A921" s="151"/>
      <c r="B921" s="151"/>
    </row>
    <row r="922">
      <c r="A922" s="151"/>
      <c r="B922" s="151"/>
    </row>
    <row r="923">
      <c r="A923" s="151"/>
      <c r="B923" s="151"/>
    </row>
    <row r="924">
      <c r="A924" s="151"/>
      <c r="B924" s="151"/>
    </row>
    <row r="925">
      <c r="A925" s="151"/>
      <c r="B925" s="151"/>
    </row>
    <row r="926">
      <c r="A926" s="151"/>
      <c r="B926" s="151"/>
    </row>
    <row r="927">
      <c r="A927" s="151"/>
      <c r="B927" s="151"/>
    </row>
    <row r="928">
      <c r="A928" s="151"/>
      <c r="B928" s="151"/>
    </row>
    <row r="929">
      <c r="A929" s="151"/>
      <c r="B929" s="151"/>
    </row>
    <row r="930">
      <c r="A930" s="151"/>
      <c r="B930" s="151"/>
    </row>
    <row r="931">
      <c r="A931" s="151"/>
      <c r="B931" s="151"/>
    </row>
    <row r="932">
      <c r="A932" s="151"/>
      <c r="B932" s="151"/>
    </row>
    <row r="933">
      <c r="A933" s="151"/>
      <c r="B933" s="151"/>
    </row>
    <row r="934">
      <c r="A934" s="151"/>
      <c r="B934" s="151"/>
    </row>
    <row r="935">
      <c r="A935" s="151"/>
      <c r="B935" s="151"/>
    </row>
    <row r="936">
      <c r="A936" s="151"/>
      <c r="B936" s="151"/>
    </row>
    <row r="937">
      <c r="A937" s="151"/>
      <c r="B937" s="151"/>
    </row>
    <row r="938">
      <c r="A938" s="151"/>
      <c r="B938" s="151"/>
    </row>
    <row r="939">
      <c r="A939" s="151"/>
      <c r="B939" s="151"/>
    </row>
    <row r="940">
      <c r="A940" s="151"/>
      <c r="B940" s="151"/>
    </row>
    <row r="941">
      <c r="A941" s="151"/>
      <c r="B941" s="151"/>
    </row>
    <row r="942">
      <c r="A942" s="151"/>
      <c r="B942" s="151"/>
    </row>
    <row r="943">
      <c r="A943" s="151"/>
      <c r="B943" s="151"/>
    </row>
    <row r="944">
      <c r="A944" s="151"/>
      <c r="B944" s="151"/>
    </row>
    <row r="945">
      <c r="A945" s="151"/>
      <c r="B945" s="151"/>
    </row>
    <row r="946">
      <c r="A946" s="151"/>
      <c r="B946" s="151"/>
    </row>
    <row r="947">
      <c r="A947" s="151"/>
      <c r="B947" s="151"/>
    </row>
    <row r="948">
      <c r="A948" s="151"/>
      <c r="B948" s="151"/>
    </row>
    <row r="949">
      <c r="A949" s="151"/>
      <c r="B949" s="151"/>
    </row>
    <row r="950">
      <c r="A950" s="151"/>
      <c r="B950" s="151"/>
    </row>
    <row r="951">
      <c r="A951" s="151"/>
      <c r="B951" s="151"/>
    </row>
    <row r="952">
      <c r="A952" s="151"/>
      <c r="B952" s="151"/>
    </row>
    <row r="953">
      <c r="A953" s="151"/>
      <c r="B953" s="151"/>
    </row>
    <row r="954">
      <c r="A954" s="151"/>
      <c r="B954" s="151"/>
    </row>
    <row r="955">
      <c r="A955" s="151"/>
      <c r="B955" s="151"/>
    </row>
    <row r="956">
      <c r="A956" s="151"/>
      <c r="B956" s="151"/>
    </row>
    <row r="957">
      <c r="A957" s="151"/>
      <c r="B957" s="151"/>
    </row>
    <row r="958">
      <c r="A958" s="151"/>
      <c r="B958" s="151"/>
    </row>
    <row r="959">
      <c r="A959" s="151"/>
      <c r="B959" s="151"/>
    </row>
    <row r="960">
      <c r="A960" s="151"/>
      <c r="B960" s="151"/>
    </row>
    <row r="961">
      <c r="A961" s="151"/>
      <c r="B961" s="151"/>
    </row>
    <row r="962">
      <c r="A962" s="151"/>
      <c r="B962" s="151"/>
    </row>
    <row r="963">
      <c r="A963" s="151"/>
      <c r="B963" s="151"/>
    </row>
    <row r="964">
      <c r="A964" s="151"/>
      <c r="B964" s="151"/>
    </row>
    <row r="965">
      <c r="A965" s="151"/>
      <c r="B965" s="151"/>
    </row>
    <row r="966">
      <c r="A966" s="151"/>
      <c r="B966" s="151"/>
    </row>
    <row r="967">
      <c r="A967" s="151"/>
      <c r="B967" s="151"/>
    </row>
    <row r="968">
      <c r="A968" s="151"/>
      <c r="B968" s="151"/>
    </row>
    <row r="969">
      <c r="A969" s="151"/>
      <c r="B969" s="151"/>
    </row>
    <row r="970">
      <c r="A970" s="151"/>
      <c r="B970" s="151"/>
    </row>
    <row r="971">
      <c r="A971" s="151"/>
      <c r="B971" s="151"/>
    </row>
    <row r="972">
      <c r="A972" s="151"/>
      <c r="B972" s="151"/>
    </row>
    <row r="973">
      <c r="A973" s="151"/>
      <c r="B973" s="151"/>
    </row>
    <row r="974">
      <c r="A974" s="151"/>
      <c r="B974" s="151"/>
    </row>
    <row r="975">
      <c r="A975" s="151"/>
      <c r="B975" s="151"/>
    </row>
    <row r="976">
      <c r="A976" s="151"/>
      <c r="B976" s="151"/>
    </row>
    <row r="977">
      <c r="A977" s="151"/>
      <c r="B977" s="151"/>
    </row>
    <row r="978">
      <c r="A978" s="151"/>
      <c r="B978" s="151"/>
    </row>
    <row r="979">
      <c r="A979" s="151"/>
      <c r="B979" s="151"/>
    </row>
    <row r="980">
      <c r="A980" s="151"/>
      <c r="B980" s="151"/>
    </row>
    <row r="981">
      <c r="A981" s="151"/>
      <c r="B981" s="151"/>
    </row>
    <row r="982">
      <c r="A982" s="151"/>
      <c r="B982" s="151"/>
    </row>
    <row r="983">
      <c r="A983" s="151"/>
      <c r="B983" s="151"/>
    </row>
    <row r="984">
      <c r="A984" s="151"/>
      <c r="B984" s="151"/>
    </row>
    <row r="985">
      <c r="A985" s="151"/>
      <c r="B985" s="151"/>
    </row>
    <row r="986">
      <c r="A986" s="151"/>
      <c r="B986" s="151"/>
    </row>
    <row r="987">
      <c r="A987" s="151"/>
      <c r="B987" s="151"/>
    </row>
    <row r="988">
      <c r="A988" s="151"/>
      <c r="B988" s="151"/>
    </row>
    <row r="989">
      <c r="A989" s="151"/>
      <c r="B989" s="151"/>
    </row>
    <row r="990">
      <c r="A990" s="151"/>
      <c r="B990" s="151"/>
    </row>
    <row r="991">
      <c r="A991" s="151"/>
      <c r="B991" s="151"/>
    </row>
    <row r="992">
      <c r="A992" s="151"/>
      <c r="B992" s="151"/>
    </row>
    <row r="993">
      <c r="A993" s="151"/>
      <c r="B993" s="151"/>
    </row>
    <row r="994">
      <c r="A994" s="151"/>
      <c r="B994" s="151"/>
    </row>
    <row r="995">
      <c r="A995" s="151"/>
      <c r="B995" s="151"/>
    </row>
    <row r="996">
      <c r="A996" s="151"/>
      <c r="B996" s="151"/>
    </row>
    <row r="997">
      <c r="A997" s="151"/>
      <c r="B997" s="151"/>
    </row>
    <row r="998">
      <c r="A998" s="151"/>
      <c r="B998" s="151"/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</hyperlinks>
  <drawing r:id="rId13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6" width="18.88"/>
  </cols>
  <sheetData>
    <row r="1">
      <c r="A1" s="281" t="s">
        <v>2855</v>
      </c>
      <c r="B1" s="287" t="s">
        <v>378</v>
      </c>
      <c r="C1" s="288" t="s">
        <v>380</v>
      </c>
      <c r="D1" s="288" t="s">
        <v>381</v>
      </c>
      <c r="E1" s="288" t="s">
        <v>508</v>
      </c>
      <c r="F1" s="282" t="s">
        <v>2856</v>
      </c>
      <c r="G1" s="288" t="s">
        <v>510</v>
      </c>
      <c r="H1" s="288" t="s">
        <v>690</v>
      </c>
      <c r="I1" s="288" t="s">
        <v>691</v>
      </c>
      <c r="J1" s="288" t="s">
        <v>511</v>
      </c>
      <c r="K1" s="288" t="s">
        <v>967</v>
      </c>
      <c r="L1" s="282" t="s">
        <v>2857</v>
      </c>
      <c r="M1" s="282" t="s">
        <v>2858</v>
      </c>
      <c r="N1" s="282" t="s">
        <v>2859</v>
      </c>
      <c r="O1" s="282" t="s">
        <v>2860</v>
      </c>
      <c r="P1" s="282" t="s">
        <v>2861</v>
      </c>
      <c r="Q1" s="282" t="s">
        <v>2862</v>
      </c>
      <c r="R1" s="282" t="s">
        <v>2863</v>
      </c>
      <c r="S1" s="282" t="s">
        <v>2864</v>
      </c>
      <c r="T1" s="282" t="s">
        <v>2865</v>
      </c>
      <c r="U1" s="282" t="s">
        <v>2866</v>
      </c>
      <c r="V1" s="289" t="s">
        <v>379</v>
      </c>
      <c r="W1" s="148" t="s">
        <v>2</v>
      </c>
      <c r="X1" s="148" t="s">
        <v>3</v>
      </c>
      <c r="Y1" s="148" t="s">
        <v>4</v>
      </c>
      <c r="Z1" s="148" t="s">
        <v>5</v>
      </c>
    </row>
    <row r="2">
      <c r="A2" s="149">
        <v>45526.0</v>
      </c>
      <c r="B2" s="149">
        <v>45513.0</v>
      </c>
      <c r="C2" s="17" t="s">
        <v>2867</v>
      </c>
      <c r="D2" s="17">
        <v>909.0</v>
      </c>
      <c r="E2" s="17" t="s">
        <v>2868</v>
      </c>
      <c r="F2" s="17" t="s">
        <v>2869</v>
      </c>
      <c r="G2" s="17" t="s">
        <v>2870</v>
      </c>
      <c r="H2" s="17" t="s">
        <v>2871</v>
      </c>
      <c r="I2" s="17" t="s">
        <v>2872</v>
      </c>
      <c r="J2" s="17" t="s">
        <v>2873</v>
      </c>
      <c r="K2" s="17">
        <v>1.0</v>
      </c>
      <c r="L2" s="141">
        <v>2500.0</v>
      </c>
      <c r="M2" s="17">
        <v>15.0</v>
      </c>
      <c r="N2" s="171">
        <f>10*K2</f>
        <v>10</v>
      </c>
      <c r="O2" s="171">
        <f>5*K2</f>
        <v>5</v>
      </c>
      <c r="P2" s="17">
        <v>5.0</v>
      </c>
      <c r="Q2" s="171">
        <f>SUM(M2:P2)</f>
        <v>35</v>
      </c>
      <c r="W2" s="17" t="s">
        <v>2874</v>
      </c>
      <c r="X2" s="133" t="s">
        <v>2875</v>
      </c>
      <c r="Y2" s="134" t="str">
        <f>HYPERLINK("https://drive.google.com/file/d/1YFRi3MDbKRVakPcw_tE9vYr2FuqdjKmb/view?usp=drivesdk","TLC")</f>
        <v>TLC</v>
      </c>
      <c r="Z2" s="17" t="s">
        <v>2876</v>
      </c>
    </row>
    <row r="3">
      <c r="A3" s="149">
        <v>45831.0</v>
      </c>
      <c r="B3" s="149" t="s">
        <v>2877</v>
      </c>
      <c r="C3" s="17">
        <v>432.0</v>
      </c>
      <c r="D3" s="17" t="s">
        <v>2158</v>
      </c>
      <c r="E3" s="17" t="s">
        <v>2159</v>
      </c>
      <c r="F3" s="17" t="s">
        <v>2036</v>
      </c>
      <c r="G3" s="17" t="s">
        <v>621</v>
      </c>
      <c r="H3" s="17" t="s">
        <v>2878</v>
      </c>
      <c r="I3" s="17" t="s">
        <v>2105</v>
      </c>
      <c r="J3" s="17">
        <v>8.0</v>
      </c>
      <c r="K3" s="17">
        <v>1.0</v>
      </c>
      <c r="L3" s="17">
        <v>100000.0</v>
      </c>
      <c r="M3" s="17">
        <v>0.0</v>
      </c>
      <c r="N3" s="17">
        <v>0.0</v>
      </c>
      <c r="O3" s="17">
        <v>0.0</v>
      </c>
      <c r="P3" s="17">
        <v>5.0</v>
      </c>
      <c r="Q3" s="17">
        <v>5.0</v>
      </c>
      <c r="R3" s="171">
        <f>5*J3</f>
        <v>40</v>
      </c>
      <c r="S3" s="171">
        <f>2.5*J3</f>
        <v>20</v>
      </c>
      <c r="T3" s="17">
        <v>5.0</v>
      </c>
      <c r="U3" s="171">
        <f>SUM(O3:T3)</f>
        <v>75</v>
      </c>
      <c r="V3" s="17" t="s">
        <v>453</v>
      </c>
      <c r="W3" s="17" t="s">
        <v>2879</v>
      </c>
      <c r="X3" s="133" t="s">
        <v>2880</v>
      </c>
      <c r="Y3" s="134" t="str">
        <f>HYPERLINK("https://drive.google.com/file/d/1aNhbqqmnF8GSOVyh1-2qEt0mxvjNPX8E/view?usp=drivesdk","TLC")</f>
        <v>TLC</v>
      </c>
      <c r="Z3" s="17" t="s">
        <v>2876</v>
      </c>
    </row>
    <row r="4">
      <c r="A4" s="151"/>
      <c r="B4" s="151"/>
    </row>
    <row r="5">
      <c r="A5" s="151"/>
      <c r="B5" s="151"/>
    </row>
    <row r="6">
      <c r="A6" s="151"/>
      <c r="B6" s="151"/>
    </row>
    <row r="7">
      <c r="A7" s="151"/>
      <c r="B7" s="151"/>
    </row>
    <row r="8">
      <c r="A8" s="151"/>
      <c r="B8" s="151"/>
    </row>
    <row r="9">
      <c r="A9" s="151"/>
      <c r="B9" s="151"/>
    </row>
    <row r="10">
      <c r="A10" s="151"/>
      <c r="B10" s="151"/>
    </row>
    <row r="11">
      <c r="A11" s="151"/>
      <c r="B11" s="151"/>
    </row>
    <row r="12">
      <c r="A12" s="151"/>
      <c r="B12" s="151"/>
    </row>
    <row r="13">
      <c r="A13" s="151"/>
      <c r="B13" s="151"/>
    </row>
    <row r="14">
      <c r="A14" s="151"/>
      <c r="B14" s="151"/>
    </row>
    <row r="15">
      <c r="A15" s="151"/>
      <c r="B15" s="151"/>
    </row>
    <row r="16">
      <c r="A16" s="151"/>
      <c r="B16" s="151"/>
    </row>
    <row r="17">
      <c r="A17" s="151"/>
      <c r="B17" s="151"/>
    </row>
    <row r="18">
      <c r="A18" s="151"/>
      <c r="B18" s="151"/>
    </row>
    <row r="19">
      <c r="A19" s="151"/>
      <c r="B19" s="151"/>
    </row>
    <row r="20">
      <c r="A20" s="151"/>
      <c r="B20" s="151"/>
    </row>
    <row r="21">
      <c r="A21" s="151"/>
      <c r="B21" s="151"/>
    </row>
    <row r="22">
      <c r="A22" s="151"/>
      <c r="B22" s="151"/>
    </row>
    <row r="23">
      <c r="A23" s="151"/>
      <c r="B23" s="151"/>
    </row>
    <row r="24">
      <c r="A24" s="151"/>
      <c r="B24" s="151"/>
    </row>
    <row r="25">
      <c r="A25" s="151"/>
      <c r="B25" s="151"/>
    </row>
    <row r="26">
      <c r="A26" s="151"/>
      <c r="B26" s="151"/>
    </row>
    <row r="27">
      <c r="A27" s="151"/>
      <c r="B27" s="151"/>
    </row>
    <row r="28">
      <c r="A28" s="151"/>
      <c r="B28" s="151"/>
    </row>
    <row r="29">
      <c r="A29" s="151"/>
      <c r="B29" s="151"/>
    </row>
    <row r="30">
      <c r="A30" s="151"/>
      <c r="B30" s="151"/>
    </row>
    <row r="31">
      <c r="A31" s="151"/>
      <c r="B31" s="151"/>
    </row>
    <row r="32">
      <c r="A32" s="151"/>
      <c r="B32" s="151"/>
    </row>
    <row r="33">
      <c r="A33" s="151"/>
      <c r="B33" s="151"/>
    </row>
    <row r="34">
      <c r="A34" s="151"/>
      <c r="B34" s="151"/>
    </row>
    <row r="35">
      <c r="A35" s="151"/>
      <c r="B35" s="151"/>
    </row>
    <row r="36">
      <c r="A36" s="151"/>
      <c r="B36" s="151"/>
    </row>
    <row r="37">
      <c r="A37" s="151"/>
      <c r="B37" s="151"/>
    </row>
    <row r="38">
      <c r="A38" s="151"/>
      <c r="B38" s="151"/>
    </row>
    <row r="39">
      <c r="A39" s="151"/>
      <c r="B39" s="151"/>
    </row>
    <row r="40">
      <c r="A40" s="151"/>
      <c r="B40" s="151"/>
    </row>
    <row r="41">
      <c r="A41" s="151"/>
      <c r="B41" s="151"/>
    </row>
    <row r="42">
      <c r="A42" s="151"/>
      <c r="B42" s="151"/>
    </row>
    <row r="43">
      <c r="A43" s="151"/>
      <c r="B43" s="151"/>
    </row>
    <row r="44">
      <c r="A44" s="151"/>
      <c r="B44" s="151"/>
    </row>
    <row r="45">
      <c r="A45" s="151"/>
      <c r="B45" s="151"/>
    </row>
    <row r="46">
      <c r="A46" s="151"/>
      <c r="B46" s="151"/>
    </row>
    <row r="47">
      <c r="A47" s="151"/>
      <c r="B47" s="151"/>
    </row>
    <row r="48">
      <c r="A48" s="151"/>
      <c r="B48" s="151"/>
    </row>
    <row r="49">
      <c r="A49" s="151"/>
      <c r="B49" s="151"/>
    </row>
    <row r="50">
      <c r="A50" s="151"/>
      <c r="B50" s="151"/>
    </row>
    <row r="51">
      <c r="A51" s="151"/>
      <c r="B51" s="151"/>
    </row>
    <row r="52">
      <c r="A52" s="151"/>
      <c r="B52" s="151"/>
    </row>
    <row r="53">
      <c r="A53" s="151"/>
      <c r="B53" s="151"/>
    </row>
    <row r="54">
      <c r="A54" s="151"/>
      <c r="B54" s="151"/>
    </row>
    <row r="55">
      <c r="A55" s="151"/>
      <c r="B55" s="151"/>
    </row>
    <row r="56">
      <c r="A56" s="151"/>
      <c r="B56" s="151"/>
    </row>
    <row r="57">
      <c r="A57" s="151"/>
      <c r="B57" s="151"/>
    </row>
    <row r="58">
      <c r="A58" s="151"/>
      <c r="B58" s="151"/>
    </row>
    <row r="59">
      <c r="A59" s="151"/>
      <c r="B59" s="151"/>
    </row>
    <row r="60">
      <c r="A60" s="151"/>
      <c r="B60" s="151"/>
    </row>
    <row r="61">
      <c r="A61" s="151"/>
      <c r="B61" s="151"/>
    </row>
    <row r="62">
      <c r="A62" s="151"/>
      <c r="B62" s="151"/>
    </row>
    <row r="63">
      <c r="A63" s="151"/>
      <c r="B63" s="151"/>
    </row>
    <row r="64">
      <c r="A64" s="151"/>
      <c r="B64" s="151"/>
    </row>
    <row r="65">
      <c r="A65" s="151"/>
      <c r="B65" s="151"/>
    </row>
    <row r="66">
      <c r="A66" s="151"/>
      <c r="B66" s="151"/>
    </row>
    <row r="67">
      <c r="A67" s="151"/>
      <c r="B67" s="151"/>
    </row>
    <row r="68">
      <c r="A68" s="151"/>
      <c r="B68" s="151"/>
    </row>
    <row r="69">
      <c r="A69" s="151"/>
      <c r="B69" s="151"/>
    </row>
    <row r="70">
      <c r="A70" s="151"/>
      <c r="B70" s="151"/>
    </row>
    <row r="71">
      <c r="A71" s="151"/>
      <c r="B71" s="151"/>
    </row>
    <row r="72">
      <c r="A72" s="151"/>
      <c r="B72" s="151"/>
    </row>
    <row r="73">
      <c r="A73" s="151"/>
      <c r="B73" s="151"/>
    </row>
    <row r="74">
      <c r="A74" s="151"/>
      <c r="B74" s="151"/>
    </row>
    <row r="75">
      <c r="A75" s="151"/>
      <c r="B75" s="151"/>
    </row>
    <row r="76">
      <c r="A76" s="151"/>
      <c r="B76" s="151"/>
    </row>
    <row r="77">
      <c r="A77" s="151"/>
      <c r="B77" s="151"/>
    </row>
    <row r="78">
      <c r="A78" s="151"/>
      <c r="B78" s="151"/>
    </row>
    <row r="79">
      <c r="A79" s="151"/>
      <c r="B79" s="151"/>
    </row>
    <row r="80">
      <c r="A80" s="151"/>
      <c r="B80" s="151"/>
    </row>
    <row r="81">
      <c r="A81" s="151"/>
      <c r="B81" s="151"/>
    </row>
    <row r="82">
      <c r="A82" s="151"/>
      <c r="B82" s="151"/>
    </row>
    <row r="83">
      <c r="A83" s="151"/>
      <c r="B83" s="151"/>
    </row>
    <row r="84">
      <c r="A84" s="151"/>
      <c r="B84" s="151"/>
    </row>
    <row r="85">
      <c r="A85" s="151"/>
      <c r="B85" s="151"/>
    </row>
    <row r="86">
      <c r="A86" s="151"/>
      <c r="B86" s="151"/>
    </row>
    <row r="87">
      <c r="A87" s="151"/>
      <c r="B87" s="151"/>
    </row>
    <row r="88">
      <c r="A88" s="151"/>
      <c r="B88" s="151"/>
    </row>
    <row r="89">
      <c r="A89" s="151"/>
      <c r="B89" s="151"/>
    </row>
    <row r="90">
      <c r="A90" s="151"/>
      <c r="B90" s="151"/>
    </row>
    <row r="91">
      <c r="A91" s="151"/>
      <c r="B91" s="151"/>
    </row>
    <row r="92">
      <c r="A92" s="151"/>
      <c r="B92" s="151"/>
    </row>
    <row r="93">
      <c r="A93" s="151"/>
      <c r="B93" s="151"/>
    </row>
    <row r="94">
      <c r="A94" s="151"/>
      <c r="B94" s="151"/>
    </row>
    <row r="95">
      <c r="A95" s="151"/>
      <c r="B95" s="151"/>
    </row>
    <row r="96">
      <c r="A96" s="151"/>
      <c r="B96" s="151"/>
    </row>
    <row r="97">
      <c r="A97" s="151"/>
      <c r="B97" s="151"/>
    </row>
    <row r="98">
      <c r="A98" s="151"/>
      <c r="B98" s="151"/>
    </row>
    <row r="99">
      <c r="A99" s="151"/>
      <c r="B99" s="151"/>
    </row>
    <row r="100">
      <c r="A100" s="151"/>
      <c r="B100" s="151"/>
    </row>
    <row r="101">
      <c r="A101" s="151"/>
      <c r="B101" s="151"/>
    </row>
    <row r="102">
      <c r="A102" s="151"/>
      <c r="B102" s="151"/>
    </row>
    <row r="103">
      <c r="A103" s="151"/>
      <c r="B103" s="151"/>
    </row>
    <row r="104">
      <c r="A104" s="151"/>
      <c r="B104" s="151"/>
    </row>
    <row r="105">
      <c r="A105" s="151"/>
      <c r="B105" s="151"/>
    </row>
    <row r="106">
      <c r="A106" s="151"/>
      <c r="B106" s="151"/>
    </row>
    <row r="107">
      <c r="A107" s="151"/>
      <c r="B107" s="151"/>
    </row>
    <row r="108">
      <c r="A108" s="151"/>
      <c r="B108" s="151"/>
    </row>
    <row r="109">
      <c r="A109" s="151"/>
      <c r="B109" s="151"/>
    </row>
    <row r="110">
      <c r="A110" s="151"/>
      <c r="B110" s="151"/>
    </row>
    <row r="111">
      <c r="A111" s="151"/>
      <c r="B111" s="151"/>
    </row>
    <row r="112">
      <c r="A112" s="151"/>
      <c r="B112" s="151"/>
    </row>
    <row r="113">
      <c r="A113" s="151"/>
      <c r="B113" s="151"/>
    </row>
    <row r="114">
      <c r="A114" s="151"/>
      <c r="B114" s="151"/>
    </row>
    <row r="115">
      <c r="A115" s="151"/>
      <c r="B115" s="151"/>
    </row>
    <row r="116">
      <c r="A116" s="151"/>
      <c r="B116" s="151"/>
    </row>
    <row r="117">
      <c r="A117" s="151"/>
      <c r="B117" s="151"/>
    </row>
    <row r="118">
      <c r="A118" s="151"/>
      <c r="B118" s="151"/>
    </row>
    <row r="119">
      <c r="A119" s="151"/>
      <c r="B119" s="151"/>
    </row>
    <row r="120">
      <c r="A120" s="151"/>
      <c r="B120" s="151"/>
    </row>
    <row r="121">
      <c r="A121" s="151"/>
      <c r="B121" s="151"/>
    </row>
    <row r="122">
      <c r="A122" s="151"/>
      <c r="B122" s="151"/>
    </row>
    <row r="123">
      <c r="A123" s="151"/>
      <c r="B123" s="151"/>
    </row>
    <row r="124">
      <c r="A124" s="151"/>
      <c r="B124" s="151"/>
    </row>
    <row r="125">
      <c r="A125" s="151"/>
      <c r="B125" s="151"/>
    </row>
    <row r="126">
      <c r="A126" s="151"/>
      <c r="B126" s="151"/>
    </row>
    <row r="127">
      <c r="A127" s="151"/>
      <c r="B127" s="151"/>
    </row>
    <row r="128">
      <c r="A128" s="151"/>
      <c r="B128" s="151"/>
    </row>
    <row r="129">
      <c r="A129" s="151"/>
      <c r="B129" s="151"/>
    </row>
    <row r="130">
      <c r="A130" s="151"/>
      <c r="B130" s="151"/>
    </row>
    <row r="131">
      <c r="A131" s="151"/>
      <c r="B131" s="151"/>
    </row>
    <row r="132">
      <c r="A132" s="151"/>
      <c r="B132" s="151"/>
    </row>
    <row r="133">
      <c r="A133" s="151"/>
      <c r="B133" s="151"/>
    </row>
    <row r="134">
      <c r="A134" s="151"/>
      <c r="B134" s="151"/>
    </row>
    <row r="135">
      <c r="A135" s="151"/>
      <c r="B135" s="151"/>
    </row>
    <row r="136">
      <c r="A136" s="151"/>
      <c r="B136" s="151"/>
    </row>
    <row r="137">
      <c r="A137" s="151"/>
      <c r="B137" s="151"/>
    </row>
    <row r="138">
      <c r="A138" s="151"/>
      <c r="B138" s="151"/>
    </row>
    <row r="139">
      <c r="A139" s="151"/>
      <c r="B139" s="151"/>
    </row>
    <row r="140">
      <c r="A140" s="151"/>
      <c r="B140" s="151"/>
    </row>
    <row r="141">
      <c r="A141" s="151"/>
      <c r="B141" s="151"/>
    </row>
    <row r="142">
      <c r="A142" s="151"/>
      <c r="B142" s="151"/>
    </row>
    <row r="143">
      <c r="A143" s="151"/>
      <c r="B143" s="151"/>
    </row>
    <row r="144">
      <c r="A144" s="151"/>
      <c r="B144" s="151"/>
    </row>
    <row r="145">
      <c r="A145" s="151"/>
      <c r="B145" s="151"/>
    </row>
    <row r="146">
      <c r="A146" s="151"/>
      <c r="B146" s="151"/>
    </row>
    <row r="147">
      <c r="A147" s="151"/>
      <c r="B147" s="151"/>
    </row>
    <row r="148">
      <c r="A148" s="151"/>
      <c r="B148" s="151"/>
    </row>
    <row r="149">
      <c r="A149" s="151"/>
      <c r="B149" s="151"/>
    </row>
    <row r="150">
      <c r="A150" s="151"/>
      <c r="B150" s="151"/>
    </row>
    <row r="151">
      <c r="A151" s="151"/>
      <c r="B151" s="151"/>
    </row>
    <row r="152">
      <c r="A152" s="151"/>
      <c r="B152" s="151"/>
    </row>
    <row r="153">
      <c r="A153" s="151"/>
      <c r="B153" s="151"/>
    </row>
    <row r="154">
      <c r="A154" s="151"/>
      <c r="B154" s="151"/>
    </row>
    <row r="155">
      <c r="A155" s="151"/>
      <c r="B155" s="151"/>
    </row>
    <row r="156">
      <c r="A156" s="151"/>
      <c r="B156" s="151"/>
    </row>
    <row r="157">
      <c r="A157" s="151"/>
      <c r="B157" s="151"/>
    </row>
    <row r="158">
      <c r="A158" s="151"/>
      <c r="B158" s="151"/>
    </row>
    <row r="159">
      <c r="A159" s="151"/>
      <c r="B159" s="151"/>
    </row>
    <row r="160">
      <c r="A160" s="151"/>
      <c r="B160" s="151"/>
    </row>
    <row r="161">
      <c r="A161" s="151"/>
      <c r="B161" s="151"/>
    </row>
    <row r="162">
      <c r="A162" s="151"/>
      <c r="B162" s="151"/>
    </row>
    <row r="163">
      <c r="A163" s="151"/>
      <c r="B163" s="151"/>
    </row>
    <row r="164">
      <c r="A164" s="151"/>
      <c r="B164" s="151"/>
    </row>
    <row r="165">
      <c r="A165" s="151"/>
      <c r="B165" s="151"/>
    </row>
    <row r="166">
      <c r="A166" s="151"/>
      <c r="B166" s="151"/>
    </row>
    <row r="167">
      <c r="A167" s="151"/>
      <c r="B167" s="151"/>
    </row>
    <row r="168">
      <c r="A168" s="151"/>
      <c r="B168" s="151"/>
    </row>
    <row r="169">
      <c r="A169" s="151"/>
      <c r="B169" s="151"/>
    </row>
    <row r="170">
      <c r="A170" s="151"/>
      <c r="B170" s="151"/>
    </row>
    <row r="171">
      <c r="A171" s="151"/>
      <c r="B171" s="151"/>
    </row>
    <row r="172">
      <c r="A172" s="151"/>
      <c r="B172" s="151"/>
    </row>
    <row r="173">
      <c r="A173" s="151"/>
      <c r="B173" s="151"/>
    </row>
    <row r="174">
      <c r="A174" s="151"/>
      <c r="B174" s="151"/>
    </row>
    <row r="175">
      <c r="A175" s="151"/>
      <c r="B175" s="151"/>
    </row>
    <row r="176">
      <c r="A176" s="151"/>
      <c r="B176" s="151"/>
    </row>
    <row r="177">
      <c r="A177" s="151"/>
      <c r="B177" s="151"/>
    </row>
    <row r="178">
      <c r="A178" s="151"/>
      <c r="B178" s="151"/>
    </row>
    <row r="179">
      <c r="A179" s="151"/>
      <c r="B179" s="151"/>
    </row>
    <row r="180">
      <c r="A180" s="151"/>
      <c r="B180" s="151"/>
    </row>
    <row r="181">
      <c r="A181" s="151"/>
      <c r="B181" s="151"/>
    </row>
    <row r="182">
      <c r="A182" s="151"/>
      <c r="B182" s="151"/>
    </row>
    <row r="183">
      <c r="A183" s="151"/>
      <c r="B183" s="151"/>
    </row>
    <row r="184">
      <c r="A184" s="151"/>
      <c r="B184" s="151"/>
    </row>
    <row r="185">
      <c r="A185" s="151"/>
      <c r="B185" s="151"/>
    </row>
    <row r="186">
      <c r="A186" s="151"/>
      <c r="B186" s="151"/>
    </row>
    <row r="187">
      <c r="A187" s="151"/>
      <c r="B187" s="151"/>
    </row>
    <row r="188">
      <c r="A188" s="151"/>
      <c r="B188" s="151"/>
    </row>
    <row r="189">
      <c r="A189" s="151"/>
      <c r="B189" s="151"/>
    </row>
    <row r="190">
      <c r="A190" s="151"/>
      <c r="B190" s="151"/>
    </row>
    <row r="191">
      <c r="A191" s="151"/>
      <c r="B191" s="151"/>
    </row>
    <row r="192">
      <c r="A192" s="151"/>
      <c r="B192" s="151"/>
    </row>
    <row r="193">
      <c r="A193" s="151"/>
      <c r="B193" s="151"/>
    </row>
    <row r="194">
      <c r="A194" s="151"/>
      <c r="B194" s="151"/>
    </row>
    <row r="195">
      <c r="A195" s="151"/>
      <c r="B195" s="151"/>
    </row>
    <row r="196">
      <c r="A196" s="151"/>
      <c r="B196" s="151"/>
    </row>
    <row r="197">
      <c r="A197" s="151"/>
      <c r="B197" s="151"/>
    </row>
    <row r="198">
      <c r="A198" s="151"/>
      <c r="B198" s="151"/>
    </row>
    <row r="199">
      <c r="A199" s="151"/>
      <c r="B199" s="151"/>
    </row>
    <row r="200">
      <c r="A200" s="151"/>
      <c r="B200" s="151"/>
    </row>
    <row r="201">
      <c r="A201" s="151"/>
      <c r="B201" s="151"/>
    </row>
    <row r="202">
      <c r="A202" s="151"/>
      <c r="B202" s="151"/>
    </row>
    <row r="203">
      <c r="A203" s="151"/>
      <c r="B203" s="151"/>
    </row>
    <row r="204">
      <c r="A204" s="151"/>
      <c r="B204" s="151"/>
    </row>
    <row r="205">
      <c r="A205" s="151"/>
      <c r="B205" s="151"/>
    </row>
    <row r="206">
      <c r="A206" s="151"/>
      <c r="B206" s="151"/>
    </row>
    <row r="207">
      <c r="A207" s="151"/>
      <c r="B207" s="151"/>
    </row>
    <row r="208">
      <c r="A208" s="151"/>
      <c r="B208" s="151"/>
    </row>
    <row r="209">
      <c r="A209" s="151"/>
      <c r="B209" s="151"/>
    </row>
    <row r="210">
      <c r="A210" s="151"/>
      <c r="B210" s="151"/>
    </row>
    <row r="211">
      <c r="A211" s="151"/>
      <c r="B211" s="151"/>
    </row>
    <row r="212">
      <c r="A212" s="151"/>
      <c r="B212" s="151"/>
    </row>
    <row r="213">
      <c r="A213" s="151"/>
      <c r="B213" s="151"/>
    </row>
    <row r="214">
      <c r="A214" s="151"/>
      <c r="B214" s="151"/>
    </row>
    <row r="215">
      <c r="A215" s="151"/>
      <c r="B215" s="151"/>
    </row>
    <row r="216">
      <c r="A216" s="151"/>
      <c r="B216" s="151"/>
    </row>
    <row r="217">
      <c r="A217" s="151"/>
      <c r="B217" s="151"/>
    </row>
    <row r="218">
      <c r="A218" s="151"/>
      <c r="B218" s="151"/>
    </row>
    <row r="219">
      <c r="A219" s="151"/>
      <c r="B219" s="151"/>
    </row>
    <row r="220">
      <c r="A220" s="151"/>
      <c r="B220" s="151"/>
    </row>
    <row r="221">
      <c r="A221" s="151"/>
      <c r="B221" s="151"/>
    </row>
    <row r="222">
      <c r="A222" s="151"/>
      <c r="B222" s="151"/>
    </row>
    <row r="223">
      <c r="A223" s="151"/>
      <c r="B223" s="151"/>
    </row>
    <row r="224">
      <c r="A224" s="151"/>
      <c r="B224" s="151"/>
    </row>
    <row r="225">
      <c r="A225" s="151"/>
      <c r="B225" s="151"/>
    </row>
    <row r="226">
      <c r="A226" s="151"/>
      <c r="B226" s="151"/>
    </row>
    <row r="227">
      <c r="A227" s="151"/>
      <c r="B227" s="151"/>
    </row>
    <row r="228">
      <c r="A228" s="151"/>
      <c r="B228" s="151"/>
    </row>
    <row r="229">
      <c r="A229" s="151"/>
      <c r="B229" s="151"/>
    </row>
    <row r="230">
      <c r="A230" s="151"/>
      <c r="B230" s="151"/>
    </row>
    <row r="231">
      <c r="A231" s="151"/>
      <c r="B231" s="151"/>
    </row>
    <row r="232">
      <c r="A232" s="151"/>
      <c r="B232" s="151"/>
    </row>
    <row r="233">
      <c r="A233" s="151"/>
      <c r="B233" s="151"/>
    </row>
    <row r="234">
      <c r="A234" s="151"/>
      <c r="B234" s="151"/>
    </row>
    <row r="235">
      <c r="A235" s="151"/>
      <c r="B235" s="151"/>
    </row>
    <row r="236">
      <c r="A236" s="151"/>
      <c r="B236" s="151"/>
    </row>
    <row r="237">
      <c r="A237" s="151"/>
      <c r="B237" s="151"/>
    </row>
    <row r="238">
      <c r="A238" s="151"/>
      <c r="B238" s="151"/>
    </row>
    <row r="239">
      <c r="A239" s="151"/>
      <c r="B239" s="151"/>
    </row>
    <row r="240">
      <c r="A240" s="151"/>
      <c r="B240" s="151"/>
    </row>
    <row r="241">
      <c r="A241" s="151"/>
      <c r="B241" s="151"/>
    </row>
    <row r="242">
      <c r="A242" s="151"/>
      <c r="B242" s="151"/>
    </row>
    <row r="243">
      <c r="A243" s="151"/>
      <c r="B243" s="151"/>
    </row>
    <row r="244">
      <c r="A244" s="151"/>
      <c r="B244" s="151"/>
    </row>
    <row r="245">
      <c r="A245" s="151"/>
      <c r="B245" s="151"/>
    </row>
    <row r="246">
      <c r="A246" s="151"/>
      <c r="B246" s="151"/>
    </row>
    <row r="247">
      <c r="A247" s="151"/>
      <c r="B247" s="151"/>
    </row>
    <row r="248">
      <c r="A248" s="151"/>
      <c r="B248" s="151"/>
    </row>
    <row r="249">
      <c r="A249" s="151"/>
      <c r="B249" s="151"/>
    </row>
    <row r="250">
      <c r="A250" s="151"/>
      <c r="B250" s="151"/>
    </row>
    <row r="251">
      <c r="A251" s="151"/>
      <c r="B251" s="151"/>
    </row>
    <row r="252">
      <c r="A252" s="151"/>
      <c r="B252" s="151"/>
    </row>
    <row r="253">
      <c r="A253" s="151"/>
      <c r="B253" s="151"/>
    </row>
    <row r="254">
      <c r="A254" s="151"/>
      <c r="B254" s="151"/>
    </row>
    <row r="255">
      <c r="A255" s="151"/>
      <c r="B255" s="151"/>
    </row>
    <row r="256">
      <c r="A256" s="151"/>
      <c r="B256" s="151"/>
    </row>
    <row r="257">
      <c r="A257" s="151"/>
      <c r="B257" s="151"/>
    </row>
    <row r="258">
      <c r="A258" s="151"/>
      <c r="B258" s="151"/>
    </row>
    <row r="259">
      <c r="A259" s="151"/>
      <c r="B259" s="151"/>
    </row>
    <row r="260">
      <c r="A260" s="151"/>
      <c r="B260" s="151"/>
    </row>
    <row r="261">
      <c r="A261" s="151"/>
      <c r="B261" s="151"/>
    </row>
    <row r="262">
      <c r="A262" s="151"/>
      <c r="B262" s="151"/>
    </row>
    <row r="263">
      <c r="A263" s="151"/>
      <c r="B263" s="151"/>
    </row>
    <row r="264">
      <c r="A264" s="151"/>
      <c r="B264" s="151"/>
    </row>
    <row r="265">
      <c r="A265" s="151"/>
      <c r="B265" s="151"/>
    </row>
    <row r="266">
      <c r="A266" s="151"/>
      <c r="B266" s="151"/>
    </row>
    <row r="267">
      <c r="A267" s="151"/>
      <c r="B267" s="151"/>
    </row>
    <row r="268">
      <c r="A268" s="151"/>
      <c r="B268" s="151"/>
    </row>
    <row r="269">
      <c r="A269" s="151"/>
      <c r="B269" s="151"/>
    </row>
    <row r="270">
      <c r="A270" s="151"/>
      <c r="B270" s="151"/>
    </row>
    <row r="271">
      <c r="A271" s="151"/>
      <c r="B271" s="151"/>
    </row>
    <row r="272">
      <c r="A272" s="151"/>
      <c r="B272" s="151"/>
    </row>
    <row r="273">
      <c r="A273" s="151"/>
      <c r="B273" s="151"/>
    </row>
    <row r="274">
      <c r="A274" s="151"/>
      <c r="B274" s="151"/>
    </row>
    <row r="275">
      <c r="A275" s="151"/>
      <c r="B275" s="151"/>
    </row>
    <row r="276">
      <c r="A276" s="151"/>
      <c r="B276" s="151"/>
    </row>
    <row r="277">
      <c r="A277" s="151"/>
      <c r="B277" s="151"/>
    </row>
    <row r="278">
      <c r="A278" s="151"/>
      <c r="B278" s="151"/>
    </row>
    <row r="279">
      <c r="A279" s="151"/>
      <c r="B279" s="151"/>
    </row>
    <row r="280">
      <c r="A280" s="151"/>
      <c r="B280" s="151"/>
    </row>
    <row r="281">
      <c r="A281" s="151"/>
      <c r="B281" s="151"/>
    </row>
    <row r="282">
      <c r="A282" s="151"/>
      <c r="B282" s="151"/>
    </row>
    <row r="283">
      <c r="A283" s="151"/>
      <c r="B283" s="151"/>
    </row>
    <row r="284">
      <c r="A284" s="151"/>
      <c r="B284" s="151"/>
    </row>
    <row r="285">
      <c r="A285" s="151"/>
      <c r="B285" s="151"/>
    </row>
    <row r="286">
      <c r="A286" s="151"/>
      <c r="B286" s="151"/>
    </row>
    <row r="287">
      <c r="A287" s="151"/>
      <c r="B287" s="151"/>
    </row>
    <row r="288">
      <c r="A288" s="151"/>
      <c r="B288" s="151"/>
    </row>
    <row r="289">
      <c r="A289" s="151"/>
      <c r="B289" s="151"/>
    </row>
    <row r="290">
      <c r="A290" s="151"/>
      <c r="B290" s="151"/>
    </row>
    <row r="291">
      <c r="A291" s="151"/>
      <c r="B291" s="151"/>
    </row>
    <row r="292">
      <c r="A292" s="151"/>
      <c r="B292" s="151"/>
    </row>
    <row r="293">
      <c r="A293" s="151"/>
      <c r="B293" s="151"/>
    </row>
    <row r="294">
      <c r="A294" s="151"/>
      <c r="B294" s="151"/>
    </row>
    <row r="295">
      <c r="A295" s="151"/>
      <c r="B295" s="151"/>
    </row>
    <row r="296">
      <c r="A296" s="151"/>
      <c r="B296" s="151"/>
    </row>
    <row r="297">
      <c r="A297" s="151"/>
      <c r="B297" s="151"/>
    </row>
    <row r="298">
      <c r="A298" s="151"/>
      <c r="B298" s="151"/>
    </row>
    <row r="299">
      <c r="A299" s="151"/>
      <c r="B299" s="151"/>
    </row>
    <row r="300">
      <c r="A300" s="151"/>
      <c r="B300" s="151"/>
    </row>
    <row r="301">
      <c r="A301" s="151"/>
      <c r="B301" s="151"/>
    </row>
    <row r="302">
      <c r="A302" s="151"/>
      <c r="B302" s="151"/>
    </row>
    <row r="303">
      <c r="A303" s="151"/>
      <c r="B303" s="151"/>
    </row>
    <row r="304">
      <c r="A304" s="151"/>
      <c r="B304" s="151"/>
    </row>
    <row r="305">
      <c r="A305" s="151"/>
      <c r="B305" s="151"/>
    </row>
    <row r="306">
      <c r="A306" s="151"/>
      <c r="B306" s="151"/>
    </row>
    <row r="307">
      <c r="A307" s="151"/>
      <c r="B307" s="151"/>
    </row>
    <row r="308">
      <c r="A308" s="151"/>
      <c r="B308" s="151"/>
    </row>
    <row r="309">
      <c r="A309" s="151"/>
      <c r="B309" s="151"/>
    </row>
    <row r="310">
      <c r="A310" s="151"/>
      <c r="B310" s="151"/>
    </row>
    <row r="311">
      <c r="A311" s="151"/>
      <c r="B311" s="151"/>
    </row>
    <row r="312">
      <c r="A312" s="151"/>
      <c r="B312" s="151"/>
    </row>
    <row r="313">
      <c r="A313" s="151"/>
      <c r="B313" s="151"/>
    </row>
    <row r="314">
      <c r="A314" s="151"/>
      <c r="B314" s="151"/>
    </row>
    <row r="315">
      <c r="A315" s="151"/>
      <c r="B315" s="151"/>
    </row>
    <row r="316">
      <c r="A316" s="151"/>
      <c r="B316" s="151"/>
    </row>
    <row r="317">
      <c r="A317" s="151"/>
      <c r="B317" s="151"/>
    </row>
    <row r="318">
      <c r="A318" s="151"/>
      <c r="B318" s="151"/>
    </row>
    <row r="319">
      <c r="A319" s="151"/>
      <c r="B319" s="151"/>
    </row>
    <row r="320">
      <c r="A320" s="151"/>
      <c r="B320" s="151"/>
    </row>
    <row r="321">
      <c r="A321" s="151"/>
      <c r="B321" s="151"/>
    </row>
    <row r="322">
      <c r="A322" s="151"/>
      <c r="B322" s="151"/>
    </row>
    <row r="323">
      <c r="A323" s="151"/>
      <c r="B323" s="151"/>
    </row>
    <row r="324">
      <c r="A324" s="151"/>
      <c r="B324" s="151"/>
    </row>
    <row r="325">
      <c r="A325" s="151"/>
      <c r="B325" s="151"/>
    </row>
    <row r="326">
      <c r="A326" s="151"/>
      <c r="B326" s="151"/>
    </row>
    <row r="327">
      <c r="A327" s="151"/>
      <c r="B327" s="151"/>
    </row>
    <row r="328">
      <c r="A328" s="151"/>
      <c r="B328" s="151"/>
    </row>
    <row r="329">
      <c r="A329" s="151"/>
      <c r="B329" s="151"/>
    </row>
    <row r="330">
      <c r="A330" s="151"/>
      <c r="B330" s="151"/>
    </row>
    <row r="331">
      <c r="A331" s="151"/>
      <c r="B331" s="151"/>
    </row>
    <row r="332">
      <c r="A332" s="151"/>
      <c r="B332" s="151"/>
    </row>
    <row r="333">
      <c r="A333" s="151"/>
      <c r="B333" s="151"/>
    </row>
    <row r="334">
      <c r="A334" s="151"/>
      <c r="B334" s="151"/>
    </row>
    <row r="335">
      <c r="A335" s="151"/>
      <c r="B335" s="151"/>
    </row>
    <row r="336">
      <c r="A336" s="151"/>
      <c r="B336" s="151"/>
    </row>
    <row r="337">
      <c r="A337" s="151"/>
      <c r="B337" s="151"/>
    </row>
    <row r="338">
      <c r="A338" s="151"/>
      <c r="B338" s="151"/>
    </row>
    <row r="339">
      <c r="A339" s="151"/>
      <c r="B339" s="151"/>
    </row>
    <row r="340">
      <c r="A340" s="151"/>
      <c r="B340" s="151"/>
    </row>
    <row r="341">
      <c r="A341" s="151"/>
      <c r="B341" s="151"/>
    </row>
    <row r="342">
      <c r="A342" s="151"/>
      <c r="B342" s="151"/>
    </row>
    <row r="343">
      <c r="A343" s="151"/>
      <c r="B343" s="151"/>
    </row>
    <row r="344">
      <c r="A344" s="151"/>
      <c r="B344" s="151"/>
    </row>
    <row r="345">
      <c r="A345" s="151"/>
      <c r="B345" s="151"/>
    </row>
    <row r="346">
      <c r="A346" s="151"/>
      <c r="B346" s="151"/>
    </row>
    <row r="347">
      <c r="A347" s="151"/>
      <c r="B347" s="151"/>
    </row>
    <row r="348">
      <c r="A348" s="151"/>
      <c r="B348" s="151"/>
    </row>
    <row r="349">
      <c r="A349" s="151"/>
      <c r="B349" s="151"/>
    </row>
    <row r="350">
      <c r="A350" s="151"/>
      <c r="B350" s="151"/>
    </row>
    <row r="351">
      <c r="A351" s="151"/>
      <c r="B351" s="151"/>
    </row>
    <row r="352">
      <c r="A352" s="151"/>
      <c r="B352" s="151"/>
    </row>
    <row r="353">
      <c r="A353" s="151"/>
      <c r="B353" s="151"/>
    </row>
    <row r="354">
      <c r="A354" s="151"/>
      <c r="B354" s="151"/>
    </row>
    <row r="355">
      <c r="A355" s="151"/>
      <c r="B355" s="151"/>
    </row>
    <row r="356">
      <c r="A356" s="151"/>
      <c r="B356" s="151"/>
    </row>
    <row r="357">
      <c r="A357" s="151"/>
      <c r="B357" s="151"/>
    </row>
    <row r="358">
      <c r="A358" s="151"/>
      <c r="B358" s="151"/>
    </row>
    <row r="359">
      <c r="A359" s="151"/>
      <c r="B359" s="151"/>
    </row>
    <row r="360">
      <c r="A360" s="151"/>
      <c r="B360" s="151"/>
    </row>
    <row r="361">
      <c r="A361" s="151"/>
      <c r="B361" s="151"/>
    </row>
    <row r="362">
      <c r="A362" s="151"/>
      <c r="B362" s="151"/>
    </row>
    <row r="363">
      <c r="A363" s="151"/>
      <c r="B363" s="151"/>
    </row>
    <row r="364">
      <c r="A364" s="151"/>
      <c r="B364" s="151"/>
    </row>
    <row r="365">
      <c r="A365" s="151"/>
      <c r="B365" s="151"/>
    </row>
    <row r="366">
      <c r="A366" s="151"/>
      <c r="B366" s="151"/>
    </row>
    <row r="367">
      <c r="A367" s="151"/>
      <c r="B367" s="151"/>
    </row>
    <row r="368">
      <c r="A368" s="151"/>
      <c r="B368" s="151"/>
    </row>
    <row r="369">
      <c r="A369" s="151"/>
      <c r="B369" s="151"/>
    </row>
    <row r="370">
      <c r="A370" s="151"/>
      <c r="B370" s="151"/>
    </row>
    <row r="371">
      <c r="A371" s="151"/>
      <c r="B371" s="151"/>
    </row>
    <row r="372">
      <c r="A372" s="151"/>
      <c r="B372" s="151"/>
    </row>
    <row r="373">
      <c r="A373" s="151"/>
      <c r="B373" s="151"/>
    </row>
    <row r="374">
      <c r="A374" s="151"/>
      <c r="B374" s="151"/>
    </row>
    <row r="375">
      <c r="A375" s="151"/>
      <c r="B375" s="151"/>
    </row>
    <row r="376">
      <c r="A376" s="151"/>
      <c r="B376" s="151"/>
    </row>
    <row r="377">
      <c r="A377" s="151"/>
      <c r="B377" s="151"/>
    </row>
    <row r="378">
      <c r="A378" s="151"/>
      <c r="B378" s="151"/>
    </row>
    <row r="379">
      <c r="A379" s="151"/>
      <c r="B379" s="151"/>
    </row>
    <row r="380">
      <c r="A380" s="151"/>
      <c r="B380" s="151"/>
    </row>
    <row r="381">
      <c r="A381" s="151"/>
      <c r="B381" s="151"/>
    </row>
    <row r="382">
      <c r="A382" s="151"/>
      <c r="B382" s="151"/>
    </row>
    <row r="383">
      <c r="A383" s="151"/>
      <c r="B383" s="151"/>
    </row>
    <row r="384">
      <c r="A384" s="151"/>
      <c r="B384" s="151"/>
    </row>
    <row r="385">
      <c r="A385" s="151"/>
      <c r="B385" s="151"/>
    </row>
    <row r="386">
      <c r="A386" s="151"/>
      <c r="B386" s="151"/>
    </row>
    <row r="387">
      <c r="A387" s="151"/>
      <c r="B387" s="151"/>
    </row>
    <row r="388">
      <c r="A388" s="151"/>
      <c r="B388" s="151"/>
    </row>
    <row r="389">
      <c r="A389" s="151"/>
      <c r="B389" s="151"/>
    </row>
    <row r="390">
      <c r="A390" s="151"/>
      <c r="B390" s="151"/>
    </row>
    <row r="391">
      <c r="A391" s="151"/>
      <c r="B391" s="151"/>
    </row>
    <row r="392">
      <c r="A392" s="151"/>
      <c r="B392" s="151"/>
    </row>
    <row r="393">
      <c r="A393" s="151"/>
      <c r="B393" s="151"/>
    </row>
    <row r="394">
      <c r="A394" s="151"/>
      <c r="B394" s="151"/>
    </row>
    <row r="395">
      <c r="A395" s="151"/>
      <c r="B395" s="151"/>
    </row>
    <row r="396">
      <c r="A396" s="151"/>
      <c r="B396" s="151"/>
    </row>
    <row r="397">
      <c r="A397" s="151"/>
      <c r="B397" s="151"/>
    </row>
    <row r="398">
      <c r="A398" s="151"/>
      <c r="B398" s="151"/>
    </row>
    <row r="399">
      <c r="A399" s="151"/>
      <c r="B399" s="151"/>
    </row>
    <row r="400">
      <c r="A400" s="151"/>
      <c r="B400" s="151"/>
    </row>
    <row r="401">
      <c r="A401" s="151"/>
      <c r="B401" s="151"/>
    </row>
    <row r="402">
      <c r="A402" s="151"/>
      <c r="B402" s="151"/>
    </row>
    <row r="403">
      <c r="A403" s="151"/>
      <c r="B403" s="151"/>
    </row>
    <row r="404">
      <c r="A404" s="151"/>
      <c r="B404" s="151"/>
    </row>
    <row r="405">
      <c r="A405" s="151"/>
      <c r="B405" s="151"/>
    </row>
    <row r="406">
      <c r="A406" s="151"/>
      <c r="B406" s="151"/>
    </row>
    <row r="407">
      <c r="A407" s="151"/>
      <c r="B407" s="151"/>
    </row>
    <row r="408">
      <c r="A408" s="151"/>
      <c r="B408" s="151"/>
    </row>
    <row r="409">
      <c r="A409" s="151"/>
      <c r="B409" s="151"/>
    </row>
    <row r="410">
      <c r="A410" s="151"/>
      <c r="B410" s="151"/>
    </row>
    <row r="411">
      <c r="A411" s="151"/>
      <c r="B411" s="151"/>
    </row>
    <row r="412">
      <c r="A412" s="151"/>
      <c r="B412" s="151"/>
    </row>
    <row r="413">
      <c r="A413" s="151"/>
      <c r="B413" s="151"/>
    </row>
    <row r="414">
      <c r="A414" s="151"/>
      <c r="B414" s="151"/>
    </row>
    <row r="415">
      <c r="A415" s="151"/>
      <c r="B415" s="151"/>
    </row>
    <row r="416">
      <c r="A416" s="151"/>
      <c r="B416" s="151"/>
    </row>
    <row r="417">
      <c r="A417" s="151"/>
      <c r="B417" s="151"/>
    </row>
    <row r="418">
      <c r="A418" s="151"/>
      <c r="B418" s="151"/>
    </row>
    <row r="419">
      <c r="A419" s="151"/>
      <c r="B419" s="151"/>
    </row>
    <row r="420">
      <c r="A420" s="151"/>
      <c r="B420" s="151"/>
    </row>
    <row r="421">
      <c r="A421" s="151"/>
      <c r="B421" s="151"/>
    </row>
    <row r="422">
      <c r="A422" s="151"/>
      <c r="B422" s="151"/>
    </row>
    <row r="423">
      <c r="A423" s="151"/>
      <c r="B423" s="151"/>
    </row>
    <row r="424">
      <c r="A424" s="151"/>
      <c r="B424" s="151"/>
    </row>
    <row r="425">
      <c r="A425" s="151"/>
      <c r="B425" s="151"/>
    </row>
    <row r="426">
      <c r="A426" s="151"/>
      <c r="B426" s="151"/>
    </row>
    <row r="427">
      <c r="A427" s="151"/>
      <c r="B427" s="151"/>
    </row>
    <row r="428">
      <c r="A428" s="151"/>
      <c r="B428" s="151"/>
    </row>
    <row r="429">
      <c r="A429" s="151"/>
      <c r="B429" s="151"/>
    </row>
    <row r="430">
      <c r="A430" s="151"/>
      <c r="B430" s="151"/>
    </row>
    <row r="431">
      <c r="A431" s="151"/>
      <c r="B431" s="151"/>
    </row>
    <row r="432">
      <c r="A432" s="151"/>
      <c r="B432" s="151"/>
    </row>
    <row r="433">
      <c r="A433" s="151"/>
      <c r="B433" s="151"/>
    </row>
    <row r="434">
      <c r="A434" s="151"/>
      <c r="B434" s="151"/>
    </row>
    <row r="435">
      <c r="A435" s="151"/>
      <c r="B435" s="151"/>
    </row>
    <row r="436">
      <c r="A436" s="151"/>
      <c r="B436" s="151"/>
    </row>
    <row r="437">
      <c r="A437" s="151"/>
      <c r="B437" s="151"/>
    </row>
    <row r="438">
      <c r="A438" s="151"/>
      <c r="B438" s="151"/>
    </row>
    <row r="439">
      <c r="A439" s="151"/>
      <c r="B439" s="151"/>
    </row>
    <row r="440">
      <c r="A440" s="151"/>
      <c r="B440" s="151"/>
    </row>
    <row r="441">
      <c r="A441" s="151"/>
      <c r="B441" s="151"/>
    </row>
    <row r="442">
      <c r="A442" s="151"/>
      <c r="B442" s="151"/>
    </row>
    <row r="443">
      <c r="A443" s="151"/>
      <c r="B443" s="151"/>
    </row>
    <row r="444">
      <c r="A444" s="151"/>
      <c r="B444" s="151"/>
    </row>
    <row r="445">
      <c r="A445" s="151"/>
      <c r="B445" s="151"/>
    </row>
    <row r="446">
      <c r="A446" s="151"/>
      <c r="B446" s="151"/>
    </row>
    <row r="447">
      <c r="A447" s="151"/>
      <c r="B447" s="151"/>
    </row>
    <row r="448">
      <c r="A448" s="151"/>
      <c r="B448" s="151"/>
    </row>
    <row r="449">
      <c r="A449" s="151"/>
      <c r="B449" s="151"/>
    </row>
    <row r="450">
      <c r="A450" s="151"/>
      <c r="B450" s="151"/>
    </row>
    <row r="451">
      <c r="A451" s="151"/>
      <c r="B451" s="151"/>
    </row>
    <row r="452">
      <c r="A452" s="151"/>
      <c r="B452" s="151"/>
    </row>
    <row r="453">
      <c r="A453" s="151"/>
      <c r="B453" s="151"/>
    </row>
    <row r="454">
      <c r="A454" s="151"/>
      <c r="B454" s="151"/>
    </row>
    <row r="455">
      <c r="A455" s="151"/>
      <c r="B455" s="151"/>
    </row>
    <row r="456">
      <c r="A456" s="151"/>
      <c r="B456" s="151"/>
    </row>
    <row r="457">
      <c r="A457" s="151"/>
      <c r="B457" s="151"/>
    </row>
    <row r="458">
      <c r="A458" s="151"/>
      <c r="B458" s="151"/>
    </row>
    <row r="459">
      <c r="A459" s="151"/>
      <c r="B459" s="151"/>
    </row>
    <row r="460">
      <c r="A460" s="151"/>
      <c r="B460" s="151"/>
    </row>
    <row r="461">
      <c r="A461" s="151"/>
      <c r="B461" s="151"/>
    </row>
    <row r="462">
      <c r="A462" s="151"/>
      <c r="B462" s="151"/>
    </row>
    <row r="463">
      <c r="A463" s="151"/>
      <c r="B463" s="151"/>
    </row>
    <row r="464">
      <c r="A464" s="151"/>
      <c r="B464" s="151"/>
    </row>
    <row r="465">
      <c r="A465" s="151"/>
      <c r="B465" s="151"/>
    </row>
    <row r="466">
      <c r="A466" s="151"/>
      <c r="B466" s="151"/>
    </row>
    <row r="467">
      <c r="A467" s="151"/>
      <c r="B467" s="151"/>
    </row>
    <row r="468">
      <c r="A468" s="151"/>
      <c r="B468" s="151"/>
    </row>
    <row r="469">
      <c r="A469" s="151"/>
      <c r="B469" s="151"/>
    </row>
    <row r="470">
      <c r="A470" s="151"/>
      <c r="B470" s="151"/>
    </row>
    <row r="471">
      <c r="A471" s="151"/>
      <c r="B471" s="151"/>
    </row>
    <row r="472">
      <c r="A472" s="151"/>
      <c r="B472" s="151"/>
    </row>
    <row r="473">
      <c r="A473" s="151"/>
      <c r="B473" s="151"/>
    </row>
    <row r="474">
      <c r="A474" s="151"/>
      <c r="B474" s="151"/>
    </row>
    <row r="475">
      <c r="A475" s="151"/>
      <c r="B475" s="151"/>
    </row>
    <row r="476">
      <c r="A476" s="151"/>
      <c r="B476" s="151"/>
    </row>
    <row r="477">
      <c r="A477" s="151"/>
      <c r="B477" s="151"/>
    </row>
    <row r="478">
      <c r="A478" s="151"/>
      <c r="B478" s="151"/>
    </row>
    <row r="479">
      <c r="A479" s="151"/>
      <c r="B479" s="151"/>
    </row>
    <row r="480">
      <c r="A480" s="151"/>
      <c r="B480" s="151"/>
    </row>
    <row r="481">
      <c r="A481" s="151"/>
      <c r="B481" s="151"/>
    </row>
    <row r="482">
      <c r="A482" s="151"/>
      <c r="B482" s="151"/>
    </row>
    <row r="483">
      <c r="A483" s="151"/>
      <c r="B483" s="151"/>
    </row>
    <row r="484">
      <c r="A484" s="151"/>
      <c r="B484" s="151"/>
    </row>
    <row r="485">
      <c r="A485" s="151"/>
      <c r="B485" s="151"/>
    </row>
    <row r="486">
      <c r="A486" s="151"/>
      <c r="B486" s="151"/>
    </row>
    <row r="487">
      <c r="A487" s="151"/>
      <c r="B487" s="151"/>
    </row>
    <row r="488">
      <c r="A488" s="151"/>
      <c r="B488" s="151"/>
    </row>
    <row r="489">
      <c r="A489" s="151"/>
      <c r="B489" s="151"/>
    </row>
    <row r="490">
      <c r="A490" s="151"/>
      <c r="B490" s="151"/>
    </row>
    <row r="491">
      <c r="A491" s="151"/>
      <c r="B491" s="151"/>
    </row>
    <row r="492">
      <c r="A492" s="151"/>
      <c r="B492" s="151"/>
    </row>
    <row r="493">
      <c r="A493" s="151"/>
      <c r="B493" s="151"/>
    </row>
    <row r="494">
      <c r="A494" s="151"/>
      <c r="B494" s="151"/>
    </row>
    <row r="495">
      <c r="A495" s="151"/>
      <c r="B495" s="151"/>
    </row>
    <row r="496">
      <c r="A496" s="151"/>
      <c r="B496" s="151"/>
    </row>
    <row r="497">
      <c r="A497" s="151"/>
      <c r="B497" s="151"/>
    </row>
    <row r="498">
      <c r="A498" s="151"/>
      <c r="B498" s="151"/>
    </row>
    <row r="499">
      <c r="A499" s="151"/>
      <c r="B499" s="151"/>
    </row>
    <row r="500">
      <c r="A500" s="151"/>
      <c r="B500" s="151"/>
    </row>
    <row r="501">
      <c r="A501" s="151"/>
      <c r="B501" s="151"/>
    </row>
    <row r="502">
      <c r="A502" s="151"/>
      <c r="B502" s="151"/>
    </row>
    <row r="503">
      <c r="A503" s="151"/>
      <c r="B503" s="151"/>
    </row>
    <row r="504">
      <c r="A504" s="151"/>
      <c r="B504" s="151"/>
    </row>
    <row r="505">
      <c r="A505" s="151"/>
      <c r="B505" s="151"/>
    </row>
    <row r="506">
      <c r="A506" s="151"/>
      <c r="B506" s="151"/>
    </row>
    <row r="507">
      <c r="A507" s="151"/>
      <c r="B507" s="151"/>
    </row>
    <row r="508">
      <c r="A508" s="151"/>
      <c r="B508" s="151"/>
    </row>
    <row r="509">
      <c r="A509" s="151"/>
      <c r="B509" s="151"/>
    </row>
    <row r="510">
      <c r="A510" s="151"/>
      <c r="B510" s="151"/>
    </row>
    <row r="511">
      <c r="A511" s="151"/>
      <c r="B511" s="151"/>
    </row>
    <row r="512">
      <c r="A512" s="151"/>
      <c r="B512" s="151"/>
    </row>
    <row r="513">
      <c r="A513" s="151"/>
      <c r="B513" s="151"/>
    </row>
    <row r="514">
      <c r="A514" s="151"/>
      <c r="B514" s="151"/>
    </row>
    <row r="515">
      <c r="A515" s="151"/>
      <c r="B515" s="151"/>
    </row>
    <row r="516">
      <c r="A516" s="151"/>
      <c r="B516" s="151"/>
    </row>
    <row r="517">
      <c r="A517" s="151"/>
      <c r="B517" s="151"/>
    </row>
    <row r="518">
      <c r="A518" s="151"/>
      <c r="B518" s="151"/>
    </row>
    <row r="519">
      <c r="A519" s="151"/>
      <c r="B519" s="151"/>
    </row>
    <row r="520">
      <c r="A520" s="151"/>
      <c r="B520" s="151"/>
    </row>
    <row r="521">
      <c r="A521" s="151"/>
      <c r="B521" s="151"/>
    </row>
    <row r="522">
      <c r="A522" s="151"/>
      <c r="B522" s="151"/>
    </row>
    <row r="523">
      <c r="A523" s="151"/>
      <c r="B523" s="151"/>
    </row>
    <row r="524">
      <c r="A524" s="151"/>
      <c r="B524" s="151"/>
    </row>
    <row r="525">
      <c r="A525" s="151"/>
      <c r="B525" s="151"/>
    </row>
    <row r="526">
      <c r="A526" s="151"/>
      <c r="B526" s="151"/>
    </row>
    <row r="527">
      <c r="A527" s="151"/>
      <c r="B527" s="151"/>
    </row>
    <row r="528">
      <c r="A528" s="151"/>
      <c r="B528" s="151"/>
    </row>
    <row r="529">
      <c r="A529" s="151"/>
      <c r="B529" s="151"/>
    </row>
    <row r="530">
      <c r="A530" s="151"/>
      <c r="B530" s="151"/>
    </row>
    <row r="531">
      <c r="A531" s="151"/>
      <c r="B531" s="151"/>
    </row>
    <row r="532">
      <c r="A532" s="151"/>
      <c r="B532" s="151"/>
    </row>
    <row r="533">
      <c r="A533" s="151"/>
      <c r="B533" s="151"/>
    </row>
    <row r="534">
      <c r="A534" s="151"/>
      <c r="B534" s="151"/>
    </row>
    <row r="535">
      <c r="A535" s="151"/>
      <c r="B535" s="151"/>
    </row>
    <row r="536">
      <c r="A536" s="151"/>
      <c r="B536" s="151"/>
    </row>
    <row r="537">
      <c r="A537" s="151"/>
      <c r="B537" s="151"/>
    </row>
    <row r="538">
      <c r="A538" s="151"/>
      <c r="B538" s="151"/>
    </row>
    <row r="539">
      <c r="A539" s="151"/>
      <c r="B539" s="151"/>
    </row>
    <row r="540">
      <c r="A540" s="151"/>
      <c r="B540" s="151"/>
    </row>
    <row r="541">
      <c r="A541" s="151"/>
      <c r="B541" s="151"/>
    </row>
    <row r="542">
      <c r="A542" s="151"/>
      <c r="B542" s="151"/>
    </row>
    <row r="543">
      <c r="A543" s="151"/>
      <c r="B543" s="151"/>
    </row>
    <row r="544">
      <c r="A544" s="151"/>
      <c r="B544" s="151"/>
    </row>
    <row r="545">
      <c r="A545" s="151"/>
      <c r="B545" s="151"/>
    </row>
    <row r="546">
      <c r="A546" s="151"/>
      <c r="B546" s="151"/>
    </row>
    <row r="547">
      <c r="A547" s="151"/>
      <c r="B547" s="151"/>
    </row>
    <row r="548">
      <c r="A548" s="151"/>
      <c r="B548" s="151"/>
    </row>
    <row r="549">
      <c r="A549" s="151"/>
      <c r="B549" s="151"/>
    </row>
    <row r="550">
      <c r="A550" s="151"/>
      <c r="B550" s="151"/>
    </row>
    <row r="551">
      <c r="A551" s="151"/>
      <c r="B551" s="151"/>
    </row>
    <row r="552">
      <c r="A552" s="151"/>
      <c r="B552" s="151"/>
    </row>
    <row r="553">
      <c r="A553" s="151"/>
      <c r="B553" s="151"/>
    </row>
    <row r="554">
      <c r="A554" s="151"/>
      <c r="B554" s="151"/>
    </row>
    <row r="555">
      <c r="A555" s="151"/>
      <c r="B555" s="151"/>
    </row>
    <row r="556">
      <c r="A556" s="151"/>
      <c r="B556" s="151"/>
    </row>
    <row r="557">
      <c r="A557" s="151"/>
      <c r="B557" s="151"/>
    </row>
    <row r="558">
      <c r="A558" s="151"/>
      <c r="B558" s="151"/>
    </row>
    <row r="559">
      <c r="A559" s="151"/>
      <c r="B559" s="151"/>
    </row>
    <row r="560">
      <c r="A560" s="151"/>
      <c r="B560" s="151"/>
    </row>
    <row r="561">
      <c r="A561" s="151"/>
      <c r="B561" s="151"/>
    </row>
    <row r="562">
      <c r="A562" s="151"/>
      <c r="B562" s="151"/>
    </row>
    <row r="563">
      <c r="A563" s="151"/>
      <c r="B563" s="151"/>
    </row>
    <row r="564">
      <c r="A564" s="151"/>
      <c r="B564" s="151"/>
    </row>
    <row r="565">
      <c r="A565" s="151"/>
      <c r="B565" s="151"/>
    </row>
    <row r="566">
      <c r="A566" s="151"/>
      <c r="B566" s="151"/>
    </row>
    <row r="567">
      <c r="A567" s="151"/>
      <c r="B567" s="151"/>
    </row>
    <row r="568">
      <c r="A568" s="151"/>
      <c r="B568" s="151"/>
    </row>
    <row r="569">
      <c r="A569" s="151"/>
      <c r="B569" s="151"/>
    </row>
    <row r="570">
      <c r="A570" s="151"/>
      <c r="B570" s="151"/>
    </row>
    <row r="571">
      <c r="A571" s="151"/>
      <c r="B571" s="151"/>
    </row>
    <row r="572">
      <c r="A572" s="151"/>
      <c r="B572" s="151"/>
    </row>
    <row r="573">
      <c r="A573" s="151"/>
      <c r="B573" s="151"/>
    </row>
    <row r="574">
      <c r="A574" s="151"/>
      <c r="B574" s="151"/>
    </row>
    <row r="575">
      <c r="A575" s="151"/>
      <c r="B575" s="151"/>
    </row>
    <row r="576">
      <c r="A576" s="151"/>
      <c r="B576" s="151"/>
    </row>
    <row r="577">
      <c r="A577" s="151"/>
      <c r="B577" s="151"/>
    </row>
    <row r="578">
      <c r="A578" s="151"/>
      <c r="B578" s="151"/>
    </row>
    <row r="579">
      <c r="A579" s="151"/>
      <c r="B579" s="151"/>
    </row>
    <row r="580">
      <c r="A580" s="151"/>
      <c r="B580" s="151"/>
    </row>
    <row r="581">
      <c r="A581" s="151"/>
      <c r="B581" s="151"/>
    </row>
    <row r="582">
      <c r="A582" s="151"/>
      <c r="B582" s="151"/>
    </row>
    <row r="583">
      <c r="A583" s="151"/>
      <c r="B583" s="151"/>
    </row>
    <row r="584">
      <c r="A584" s="151"/>
      <c r="B584" s="151"/>
    </row>
    <row r="585">
      <c r="A585" s="151"/>
      <c r="B585" s="151"/>
    </row>
    <row r="586">
      <c r="A586" s="151"/>
      <c r="B586" s="151"/>
    </row>
    <row r="587">
      <c r="A587" s="151"/>
      <c r="B587" s="151"/>
    </row>
    <row r="588">
      <c r="A588" s="151"/>
      <c r="B588" s="151"/>
    </row>
    <row r="589">
      <c r="A589" s="151"/>
      <c r="B589" s="151"/>
    </row>
    <row r="590">
      <c r="A590" s="151"/>
      <c r="B590" s="151"/>
    </row>
    <row r="591">
      <c r="A591" s="151"/>
      <c r="B591" s="151"/>
    </row>
    <row r="592">
      <c r="A592" s="151"/>
      <c r="B592" s="151"/>
    </row>
    <row r="593">
      <c r="A593" s="151"/>
      <c r="B593" s="151"/>
    </row>
    <row r="594">
      <c r="A594" s="151"/>
      <c r="B594" s="151"/>
    </row>
    <row r="595">
      <c r="A595" s="151"/>
      <c r="B595" s="151"/>
    </row>
    <row r="596">
      <c r="A596" s="151"/>
      <c r="B596" s="151"/>
    </row>
    <row r="597">
      <c r="A597" s="151"/>
      <c r="B597" s="151"/>
    </row>
    <row r="598">
      <c r="A598" s="151"/>
      <c r="B598" s="151"/>
    </row>
    <row r="599">
      <c r="A599" s="151"/>
      <c r="B599" s="151"/>
    </row>
    <row r="600">
      <c r="A600" s="151"/>
      <c r="B600" s="151"/>
    </row>
    <row r="601">
      <c r="A601" s="151"/>
      <c r="B601" s="151"/>
    </row>
    <row r="602">
      <c r="A602" s="151"/>
      <c r="B602" s="151"/>
    </row>
    <row r="603">
      <c r="A603" s="151"/>
      <c r="B603" s="151"/>
    </row>
    <row r="604">
      <c r="A604" s="151"/>
      <c r="B604" s="151"/>
    </row>
    <row r="605">
      <c r="A605" s="151"/>
      <c r="B605" s="151"/>
    </row>
    <row r="606">
      <c r="A606" s="151"/>
      <c r="B606" s="151"/>
    </row>
    <row r="607">
      <c r="A607" s="151"/>
      <c r="B607" s="151"/>
    </row>
    <row r="608">
      <c r="A608" s="151"/>
      <c r="B608" s="151"/>
    </row>
    <row r="609">
      <c r="A609" s="151"/>
      <c r="B609" s="151"/>
    </row>
    <row r="610">
      <c r="A610" s="151"/>
      <c r="B610" s="151"/>
    </row>
    <row r="611">
      <c r="A611" s="151"/>
      <c r="B611" s="151"/>
    </row>
    <row r="612">
      <c r="A612" s="151"/>
      <c r="B612" s="151"/>
    </row>
    <row r="613">
      <c r="A613" s="151"/>
      <c r="B613" s="151"/>
    </row>
    <row r="614">
      <c r="A614" s="151"/>
      <c r="B614" s="151"/>
    </row>
    <row r="615">
      <c r="A615" s="151"/>
      <c r="B615" s="151"/>
    </row>
    <row r="616">
      <c r="A616" s="151"/>
      <c r="B616" s="151"/>
    </row>
    <row r="617">
      <c r="A617" s="151"/>
      <c r="B617" s="151"/>
    </row>
    <row r="618">
      <c r="A618" s="151"/>
      <c r="B618" s="151"/>
    </row>
    <row r="619">
      <c r="A619" s="151"/>
      <c r="B619" s="151"/>
    </row>
    <row r="620">
      <c r="A620" s="151"/>
      <c r="B620" s="151"/>
    </row>
    <row r="621">
      <c r="A621" s="151"/>
      <c r="B621" s="151"/>
    </row>
    <row r="622">
      <c r="A622" s="151"/>
      <c r="B622" s="151"/>
    </row>
    <row r="623">
      <c r="A623" s="151"/>
      <c r="B623" s="151"/>
    </row>
    <row r="624">
      <c r="A624" s="151"/>
      <c r="B624" s="151"/>
    </row>
    <row r="625">
      <c r="A625" s="151"/>
      <c r="B625" s="151"/>
    </row>
    <row r="626">
      <c r="A626" s="151"/>
      <c r="B626" s="151"/>
    </row>
    <row r="627">
      <c r="A627" s="151"/>
      <c r="B627" s="151"/>
    </row>
    <row r="628">
      <c r="A628" s="151"/>
      <c r="B628" s="151"/>
    </row>
    <row r="629">
      <c r="A629" s="151"/>
      <c r="B629" s="151"/>
    </row>
    <row r="630">
      <c r="A630" s="151"/>
      <c r="B630" s="151"/>
    </row>
    <row r="631">
      <c r="A631" s="151"/>
      <c r="B631" s="151"/>
    </row>
    <row r="632">
      <c r="A632" s="151"/>
      <c r="B632" s="151"/>
    </row>
    <row r="633">
      <c r="A633" s="151"/>
      <c r="B633" s="151"/>
    </row>
    <row r="634">
      <c r="A634" s="151"/>
      <c r="B634" s="151"/>
    </row>
    <row r="635">
      <c r="A635" s="151"/>
      <c r="B635" s="151"/>
    </row>
    <row r="636">
      <c r="A636" s="151"/>
      <c r="B636" s="151"/>
    </row>
    <row r="637">
      <c r="A637" s="151"/>
      <c r="B637" s="151"/>
    </row>
    <row r="638">
      <c r="A638" s="151"/>
      <c r="B638" s="151"/>
    </row>
    <row r="639">
      <c r="A639" s="151"/>
      <c r="B639" s="151"/>
    </row>
    <row r="640">
      <c r="A640" s="151"/>
      <c r="B640" s="151"/>
    </row>
    <row r="641">
      <c r="A641" s="151"/>
      <c r="B641" s="151"/>
    </row>
    <row r="642">
      <c r="A642" s="151"/>
      <c r="B642" s="151"/>
    </row>
    <row r="643">
      <c r="A643" s="151"/>
      <c r="B643" s="151"/>
    </row>
    <row r="644">
      <c r="A644" s="151"/>
      <c r="B644" s="151"/>
    </row>
    <row r="645">
      <c r="A645" s="151"/>
      <c r="B645" s="151"/>
    </row>
    <row r="646">
      <c r="A646" s="151"/>
      <c r="B646" s="151"/>
    </row>
    <row r="647">
      <c r="A647" s="151"/>
      <c r="B647" s="151"/>
    </row>
    <row r="648">
      <c r="A648" s="151"/>
      <c r="B648" s="151"/>
    </row>
    <row r="649">
      <c r="A649" s="151"/>
      <c r="B649" s="151"/>
    </row>
    <row r="650">
      <c r="A650" s="151"/>
      <c r="B650" s="151"/>
    </row>
    <row r="651">
      <c r="A651" s="151"/>
      <c r="B651" s="151"/>
    </row>
    <row r="652">
      <c r="A652" s="151"/>
      <c r="B652" s="151"/>
    </row>
    <row r="653">
      <c r="A653" s="151"/>
      <c r="B653" s="151"/>
    </row>
    <row r="654">
      <c r="A654" s="151"/>
      <c r="B654" s="151"/>
    </row>
    <row r="655">
      <c r="A655" s="151"/>
      <c r="B655" s="151"/>
    </row>
    <row r="656">
      <c r="A656" s="151"/>
      <c r="B656" s="151"/>
    </row>
    <row r="657">
      <c r="A657" s="151"/>
      <c r="B657" s="151"/>
    </row>
    <row r="658">
      <c r="A658" s="151"/>
      <c r="B658" s="151"/>
    </row>
    <row r="659">
      <c r="A659" s="151"/>
      <c r="B659" s="151"/>
    </row>
    <row r="660">
      <c r="A660" s="151"/>
      <c r="B660" s="151"/>
    </row>
    <row r="661">
      <c r="A661" s="151"/>
      <c r="B661" s="151"/>
    </row>
    <row r="662">
      <c r="A662" s="151"/>
      <c r="B662" s="151"/>
    </row>
    <row r="663">
      <c r="A663" s="151"/>
      <c r="B663" s="151"/>
    </row>
    <row r="664">
      <c r="A664" s="151"/>
      <c r="B664" s="151"/>
    </row>
    <row r="665">
      <c r="A665" s="151"/>
      <c r="B665" s="151"/>
    </row>
    <row r="666">
      <c r="A666" s="151"/>
      <c r="B666" s="151"/>
    </row>
    <row r="667">
      <c r="A667" s="151"/>
      <c r="B667" s="151"/>
    </row>
    <row r="668">
      <c r="A668" s="151"/>
      <c r="B668" s="151"/>
    </row>
    <row r="669">
      <c r="A669" s="151"/>
      <c r="B669" s="151"/>
    </row>
    <row r="670">
      <c r="A670" s="151"/>
      <c r="B670" s="151"/>
    </row>
    <row r="671">
      <c r="A671" s="151"/>
      <c r="B671" s="151"/>
    </row>
    <row r="672">
      <c r="A672" s="151"/>
      <c r="B672" s="151"/>
    </row>
    <row r="673">
      <c r="A673" s="151"/>
      <c r="B673" s="151"/>
    </row>
    <row r="674">
      <c r="A674" s="151"/>
      <c r="B674" s="151"/>
    </row>
    <row r="675">
      <c r="A675" s="151"/>
      <c r="B675" s="151"/>
    </row>
    <row r="676">
      <c r="A676" s="151"/>
      <c r="B676" s="151"/>
    </row>
    <row r="677">
      <c r="A677" s="151"/>
      <c r="B677" s="151"/>
    </row>
    <row r="678">
      <c r="A678" s="151"/>
      <c r="B678" s="151"/>
    </row>
    <row r="679">
      <c r="A679" s="151"/>
      <c r="B679" s="151"/>
    </row>
    <row r="680">
      <c r="A680" s="151"/>
      <c r="B680" s="151"/>
    </row>
    <row r="681">
      <c r="A681" s="151"/>
      <c r="B681" s="151"/>
    </row>
    <row r="682">
      <c r="A682" s="151"/>
      <c r="B682" s="151"/>
    </row>
    <row r="683">
      <c r="A683" s="151"/>
      <c r="B683" s="151"/>
    </row>
    <row r="684">
      <c r="A684" s="151"/>
      <c r="B684" s="151"/>
    </row>
    <row r="685">
      <c r="A685" s="151"/>
      <c r="B685" s="151"/>
    </row>
    <row r="686">
      <c r="A686" s="151"/>
      <c r="B686" s="151"/>
    </row>
    <row r="687">
      <c r="A687" s="151"/>
      <c r="B687" s="151"/>
    </row>
    <row r="688">
      <c r="A688" s="151"/>
      <c r="B688" s="151"/>
    </row>
    <row r="689">
      <c r="A689" s="151"/>
      <c r="B689" s="151"/>
    </row>
    <row r="690">
      <c r="A690" s="151"/>
      <c r="B690" s="151"/>
    </row>
    <row r="691">
      <c r="A691" s="151"/>
      <c r="B691" s="151"/>
    </row>
    <row r="692">
      <c r="A692" s="151"/>
      <c r="B692" s="151"/>
    </row>
    <row r="693">
      <c r="A693" s="151"/>
      <c r="B693" s="151"/>
    </row>
    <row r="694">
      <c r="A694" s="151"/>
      <c r="B694" s="151"/>
    </row>
    <row r="695">
      <c r="A695" s="151"/>
      <c r="B695" s="151"/>
    </row>
    <row r="696">
      <c r="A696" s="151"/>
      <c r="B696" s="151"/>
    </row>
    <row r="697">
      <c r="A697" s="151"/>
      <c r="B697" s="151"/>
    </row>
    <row r="698">
      <c r="A698" s="151"/>
      <c r="B698" s="151"/>
    </row>
    <row r="699">
      <c r="A699" s="151"/>
      <c r="B699" s="151"/>
    </row>
    <row r="700">
      <c r="A700" s="151"/>
      <c r="B700" s="151"/>
    </row>
    <row r="701">
      <c r="A701" s="151"/>
      <c r="B701" s="151"/>
    </row>
    <row r="702">
      <c r="A702" s="151"/>
      <c r="B702" s="151"/>
    </row>
    <row r="703">
      <c r="A703" s="151"/>
      <c r="B703" s="151"/>
    </row>
    <row r="704">
      <c r="A704" s="151"/>
      <c r="B704" s="151"/>
    </row>
    <row r="705">
      <c r="A705" s="151"/>
      <c r="B705" s="151"/>
    </row>
    <row r="706">
      <c r="A706" s="151"/>
      <c r="B706" s="151"/>
    </row>
    <row r="707">
      <c r="A707" s="151"/>
      <c r="B707" s="151"/>
    </row>
    <row r="708">
      <c r="A708" s="151"/>
      <c r="B708" s="151"/>
    </row>
    <row r="709">
      <c r="A709" s="151"/>
      <c r="B709" s="151"/>
    </row>
    <row r="710">
      <c r="A710" s="151"/>
      <c r="B710" s="151"/>
    </row>
    <row r="711">
      <c r="A711" s="151"/>
      <c r="B711" s="151"/>
    </row>
    <row r="712">
      <c r="A712" s="151"/>
      <c r="B712" s="151"/>
    </row>
    <row r="713">
      <c r="A713" s="151"/>
      <c r="B713" s="151"/>
    </row>
    <row r="714">
      <c r="A714" s="151"/>
      <c r="B714" s="151"/>
    </row>
    <row r="715">
      <c r="A715" s="151"/>
      <c r="B715" s="151"/>
    </row>
    <row r="716">
      <c r="A716" s="151"/>
      <c r="B716" s="151"/>
    </row>
    <row r="717">
      <c r="A717" s="151"/>
      <c r="B717" s="151"/>
    </row>
    <row r="718">
      <c r="A718" s="151"/>
      <c r="B718" s="151"/>
    </row>
    <row r="719">
      <c r="A719" s="151"/>
      <c r="B719" s="151"/>
    </row>
    <row r="720">
      <c r="A720" s="151"/>
      <c r="B720" s="151"/>
    </row>
    <row r="721">
      <c r="A721" s="151"/>
      <c r="B721" s="151"/>
    </row>
    <row r="722">
      <c r="A722" s="151"/>
      <c r="B722" s="151"/>
    </row>
    <row r="723">
      <c r="A723" s="151"/>
      <c r="B723" s="151"/>
    </row>
    <row r="724">
      <c r="A724" s="151"/>
      <c r="B724" s="151"/>
    </row>
    <row r="725">
      <c r="A725" s="151"/>
      <c r="B725" s="151"/>
    </row>
    <row r="726">
      <c r="A726" s="151"/>
      <c r="B726" s="151"/>
    </row>
    <row r="727">
      <c r="A727" s="151"/>
      <c r="B727" s="151"/>
    </row>
    <row r="728">
      <c r="A728" s="151"/>
      <c r="B728" s="151"/>
    </row>
    <row r="729">
      <c r="A729" s="151"/>
      <c r="B729" s="151"/>
    </row>
    <row r="730">
      <c r="A730" s="151"/>
      <c r="B730" s="151"/>
    </row>
    <row r="731">
      <c r="A731" s="151"/>
      <c r="B731" s="151"/>
    </row>
    <row r="732">
      <c r="A732" s="151"/>
      <c r="B732" s="151"/>
    </row>
    <row r="733">
      <c r="A733" s="151"/>
      <c r="B733" s="151"/>
    </row>
    <row r="734">
      <c r="A734" s="151"/>
      <c r="B734" s="151"/>
    </row>
    <row r="735">
      <c r="A735" s="151"/>
      <c r="B735" s="151"/>
    </row>
    <row r="736">
      <c r="A736" s="151"/>
      <c r="B736" s="151"/>
    </row>
    <row r="737">
      <c r="A737" s="151"/>
      <c r="B737" s="151"/>
    </row>
    <row r="738">
      <c r="A738" s="151"/>
      <c r="B738" s="151"/>
    </row>
    <row r="739">
      <c r="A739" s="151"/>
      <c r="B739" s="151"/>
    </row>
    <row r="740">
      <c r="A740" s="151"/>
      <c r="B740" s="151"/>
    </row>
    <row r="741">
      <c r="A741" s="151"/>
      <c r="B741" s="151"/>
    </row>
    <row r="742">
      <c r="A742" s="151"/>
      <c r="B742" s="151"/>
    </row>
    <row r="743">
      <c r="A743" s="151"/>
      <c r="B743" s="151"/>
    </row>
    <row r="744">
      <c r="A744" s="151"/>
      <c r="B744" s="151"/>
    </row>
    <row r="745">
      <c r="A745" s="151"/>
      <c r="B745" s="151"/>
    </row>
    <row r="746">
      <c r="A746" s="151"/>
      <c r="B746" s="151"/>
    </row>
    <row r="747">
      <c r="A747" s="151"/>
      <c r="B747" s="151"/>
    </row>
    <row r="748">
      <c r="A748" s="151"/>
      <c r="B748" s="151"/>
    </row>
    <row r="749">
      <c r="A749" s="151"/>
      <c r="B749" s="151"/>
    </row>
    <row r="750">
      <c r="A750" s="151"/>
      <c r="B750" s="151"/>
    </row>
    <row r="751">
      <c r="A751" s="151"/>
      <c r="B751" s="151"/>
    </row>
    <row r="752">
      <c r="A752" s="151"/>
      <c r="B752" s="151"/>
    </row>
    <row r="753">
      <c r="A753" s="151"/>
      <c r="B753" s="151"/>
    </row>
    <row r="754">
      <c r="A754" s="151"/>
      <c r="B754" s="151"/>
    </row>
    <row r="755">
      <c r="A755" s="151"/>
      <c r="B755" s="151"/>
    </row>
    <row r="756">
      <c r="A756" s="151"/>
      <c r="B756" s="151"/>
    </row>
    <row r="757">
      <c r="A757" s="151"/>
      <c r="B757" s="151"/>
    </row>
    <row r="758">
      <c r="A758" s="151"/>
      <c r="B758" s="151"/>
    </row>
    <row r="759">
      <c r="A759" s="151"/>
      <c r="B759" s="151"/>
    </row>
    <row r="760">
      <c r="A760" s="151"/>
      <c r="B760" s="151"/>
    </row>
    <row r="761">
      <c r="A761" s="151"/>
      <c r="B761" s="151"/>
    </row>
    <row r="762">
      <c r="A762" s="151"/>
      <c r="B762" s="151"/>
    </row>
    <row r="763">
      <c r="A763" s="151"/>
      <c r="B763" s="151"/>
    </row>
    <row r="764">
      <c r="A764" s="151"/>
      <c r="B764" s="151"/>
    </row>
    <row r="765">
      <c r="A765" s="151"/>
      <c r="B765" s="151"/>
    </row>
    <row r="766">
      <c r="A766" s="151"/>
      <c r="B766" s="151"/>
    </row>
    <row r="767">
      <c r="A767" s="151"/>
      <c r="B767" s="151"/>
    </row>
    <row r="768">
      <c r="A768" s="151"/>
      <c r="B768" s="151"/>
    </row>
    <row r="769">
      <c r="A769" s="151"/>
      <c r="B769" s="151"/>
    </row>
    <row r="770">
      <c r="A770" s="151"/>
      <c r="B770" s="151"/>
    </row>
    <row r="771">
      <c r="A771" s="151"/>
      <c r="B771" s="151"/>
    </row>
    <row r="772">
      <c r="A772" s="151"/>
      <c r="B772" s="151"/>
    </row>
    <row r="773">
      <c r="A773" s="151"/>
      <c r="B773" s="151"/>
    </row>
    <row r="774">
      <c r="A774" s="151"/>
      <c r="B774" s="151"/>
    </row>
    <row r="775">
      <c r="A775" s="151"/>
      <c r="B775" s="151"/>
    </row>
    <row r="776">
      <c r="A776" s="151"/>
      <c r="B776" s="151"/>
    </row>
    <row r="777">
      <c r="A777" s="151"/>
      <c r="B777" s="151"/>
    </row>
    <row r="778">
      <c r="A778" s="151"/>
      <c r="B778" s="151"/>
    </row>
    <row r="779">
      <c r="A779" s="151"/>
      <c r="B779" s="151"/>
    </row>
    <row r="780">
      <c r="A780" s="151"/>
      <c r="B780" s="151"/>
    </row>
    <row r="781">
      <c r="A781" s="151"/>
      <c r="B781" s="151"/>
    </row>
    <row r="782">
      <c r="A782" s="151"/>
      <c r="B782" s="151"/>
    </row>
    <row r="783">
      <c r="A783" s="151"/>
      <c r="B783" s="151"/>
    </row>
    <row r="784">
      <c r="A784" s="151"/>
      <c r="B784" s="151"/>
    </row>
    <row r="785">
      <c r="A785" s="151"/>
      <c r="B785" s="151"/>
    </row>
    <row r="786">
      <c r="A786" s="151"/>
      <c r="B786" s="151"/>
    </row>
    <row r="787">
      <c r="A787" s="151"/>
      <c r="B787" s="151"/>
    </row>
    <row r="788">
      <c r="A788" s="151"/>
      <c r="B788" s="151"/>
    </row>
    <row r="789">
      <c r="A789" s="151"/>
      <c r="B789" s="151"/>
    </row>
    <row r="790">
      <c r="A790" s="151"/>
      <c r="B790" s="151"/>
    </row>
    <row r="791">
      <c r="A791" s="151"/>
      <c r="B791" s="151"/>
    </row>
    <row r="792">
      <c r="A792" s="151"/>
      <c r="B792" s="151"/>
    </row>
    <row r="793">
      <c r="A793" s="151"/>
      <c r="B793" s="151"/>
    </row>
    <row r="794">
      <c r="A794" s="151"/>
      <c r="B794" s="151"/>
    </row>
    <row r="795">
      <c r="A795" s="151"/>
      <c r="B795" s="151"/>
    </row>
    <row r="796">
      <c r="A796" s="151"/>
      <c r="B796" s="151"/>
    </row>
    <row r="797">
      <c r="A797" s="151"/>
      <c r="B797" s="151"/>
    </row>
    <row r="798">
      <c r="A798" s="151"/>
      <c r="B798" s="151"/>
    </row>
    <row r="799">
      <c r="A799" s="151"/>
      <c r="B799" s="151"/>
    </row>
    <row r="800">
      <c r="A800" s="151"/>
      <c r="B800" s="151"/>
    </row>
    <row r="801">
      <c r="A801" s="151"/>
      <c r="B801" s="151"/>
    </row>
    <row r="802">
      <c r="A802" s="151"/>
      <c r="B802" s="151"/>
    </row>
    <row r="803">
      <c r="A803" s="151"/>
      <c r="B803" s="151"/>
    </row>
    <row r="804">
      <c r="A804" s="151"/>
      <c r="B804" s="151"/>
    </row>
    <row r="805">
      <c r="A805" s="151"/>
      <c r="B805" s="151"/>
    </row>
    <row r="806">
      <c r="A806" s="151"/>
      <c r="B806" s="151"/>
    </row>
    <row r="807">
      <c r="A807" s="151"/>
      <c r="B807" s="151"/>
    </row>
    <row r="808">
      <c r="A808" s="151"/>
      <c r="B808" s="151"/>
    </row>
    <row r="809">
      <c r="A809" s="151"/>
      <c r="B809" s="151"/>
    </row>
    <row r="810">
      <c r="A810" s="151"/>
      <c r="B810" s="151"/>
    </row>
    <row r="811">
      <c r="A811" s="151"/>
      <c r="B811" s="151"/>
    </row>
    <row r="812">
      <c r="A812" s="151"/>
      <c r="B812" s="151"/>
    </row>
    <row r="813">
      <c r="A813" s="151"/>
      <c r="B813" s="151"/>
    </row>
    <row r="814">
      <c r="A814" s="151"/>
      <c r="B814" s="151"/>
    </row>
    <row r="815">
      <c r="A815" s="151"/>
      <c r="B815" s="151"/>
    </row>
    <row r="816">
      <c r="A816" s="151"/>
      <c r="B816" s="151"/>
    </row>
    <row r="817">
      <c r="A817" s="151"/>
      <c r="B817" s="151"/>
    </row>
    <row r="818">
      <c r="A818" s="151"/>
      <c r="B818" s="151"/>
    </row>
    <row r="819">
      <c r="A819" s="151"/>
      <c r="B819" s="151"/>
    </row>
    <row r="820">
      <c r="A820" s="151"/>
      <c r="B820" s="151"/>
    </row>
    <row r="821">
      <c r="A821" s="151"/>
      <c r="B821" s="151"/>
    </row>
    <row r="822">
      <c r="A822" s="151"/>
      <c r="B822" s="151"/>
    </row>
    <row r="823">
      <c r="A823" s="151"/>
      <c r="B823" s="151"/>
    </row>
    <row r="824">
      <c r="A824" s="151"/>
      <c r="B824" s="151"/>
    </row>
    <row r="825">
      <c r="A825" s="151"/>
      <c r="B825" s="151"/>
    </row>
    <row r="826">
      <c r="A826" s="151"/>
      <c r="B826" s="151"/>
    </row>
    <row r="827">
      <c r="A827" s="151"/>
      <c r="B827" s="151"/>
    </row>
    <row r="828">
      <c r="A828" s="151"/>
      <c r="B828" s="151"/>
    </row>
    <row r="829">
      <c r="A829" s="151"/>
      <c r="B829" s="151"/>
    </row>
    <row r="830">
      <c r="A830" s="151"/>
      <c r="B830" s="151"/>
    </row>
    <row r="831">
      <c r="A831" s="151"/>
      <c r="B831" s="151"/>
    </row>
    <row r="832">
      <c r="A832" s="151"/>
      <c r="B832" s="151"/>
    </row>
    <row r="833">
      <c r="A833" s="151"/>
      <c r="B833" s="151"/>
    </row>
    <row r="834">
      <c r="A834" s="151"/>
      <c r="B834" s="151"/>
    </row>
    <row r="835">
      <c r="A835" s="151"/>
      <c r="B835" s="151"/>
    </row>
    <row r="836">
      <c r="A836" s="151"/>
      <c r="B836" s="151"/>
    </row>
    <row r="837">
      <c r="A837" s="151"/>
      <c r="B837" s="151"/>
    </row>
    <row r="838">
      <c r="A838" s="151"/>
      <c r="B838" s="151"/>
    </row>
    <row r="839">
      <c r="A839" s="151"/>
      <c r="B839" s="151"/>
    </row>
    <row r="840">
      <c r="A840" s="151"/>
      <c r="B840" s="151"/>
    </row>
    <row r="841">
      <c r="A841" s="151"/>
      <c r="B841" s="151"/>
    </row>
    <row r="842">
      <c r="A842" s="151"/>
      <c r="B842" s="151"/>
    </row>
    <row r="843">
      <c r="A843" s="151"/>
      <c r="B843" s="151"/>
    </row>
    <row r="844">
      <c r="A844" s="151"/>
      <c r="B844" s="151"/>
    </row>
    <row r="845">
      <c r="A845" s="151"/>
      <c r="B845" s="151"/>
    </row>
    <row r="846">
      <c r="A846" s="151"/>
      <c r="B846" s="151"/>
    </row>
    <row r="847">
      <c r="A847" s="151"/>
      <c r="B847" s="151"/>
    </row>
    <row r="848">
      <c r="A848" s="151"/>
      <c r="B848" s="151"/>
    </row>
    <row r="849">
      <c r="A849" s="151"/>
      <c r="B849" s="151"/>
    </row>
    <row r="850">
      <c r="A850" s="151"/>
      <c r="B850" s="151"/>
    </row>
    <row r="851">
      <c r="A851" s="151"/>
      <c r="B851" s="151"/>
    </row>
    <row r="852">
      <c r="A852" s="151"/>
      <c r="B852" s="151"/>
    </row>
    <row r="853">
      <c r="A853" s="151"/>
      <c r="B853" s="151"/>
    </row>
    <row r="854">
      <c r="A854" s="151"/>
      <c r="B854" s="151"/>
    </row>
    <row r="855">
      <c r="A855" s="151"/>
      <c r="B855" s="151"/>
    </row>
    <row r="856">
      <c r="A856" s="151"/>
      <c r="B856" s="151"/>
    </row>
    <row r="857">
      <c r="A857" s="151"/>
      <c r="B857" s="151"/>
    </row>
    <row r="858">
      <c r="A858" s="151"/>
      <c r="B858" s="151"/>
    </row>
    <row r="859">
      <c r="A859" s="151"/>
      <c r="B859" s="151"/>
    </row>
    <row r="860">
      <c r="A860" s="151"/>
      <c r="B860" s="151"/>
    </row>
    <row r="861">
      <c r="A861" s="151"/>
      <c r="B861" s="151"/>
    </row>
    <row r="862">
      <c r="A862" s="151"/>
      <c r="B862" s="151"/>
    </row>
    <row r="863">
      <c r="A863" s="151"/>
      <c r="B863" s="151"/>
    </row>
    <row r="864">
      <c r="A864" s="151"/>
      <c r="B864" s="151"/>
    </row>
    <row r="865">
      <c r="A865" s="151"/>
      <c r="B865" s="151"/>
    </row>
    <row r="866">
      <c r="A866" s="151"/>
      <c r="B866" s="151"/>
    </row>
    <row r="867">
      <c r="A867" s="151"/>
      <c r="B867" s="151"/>
    </row>
    <row r="868">
      <c r="A868" s="151"/>
      <c r="B868" s="151"/>
    </row>
    <row r="869">
      <c r="A869" s="151"/>
      <c r="B869" s="151"/>
    </row>
    <row r="870">
      <c r="A870" s="151"/>
      <c r="B870" s="151"/>
    </row>
    <row r="871">
      <c r="A871" s="151"/>
      <c r="B871" s="151"/>
    </row>
    <row r="872">
      <c r="A872" s="151"/>
      <c r="B872" s="151"/>
    </row>
    <row r="873">
      <c r="A873" s="151"/>
      <c r="B873" s="151"/>
    </row>
    <row r="874">
      <c r="A874" s="151"/>
      <c r="B874" s="151"/>
    </row>
    <row r="875">
      <c r="A875" s="151"/>
      <c r="B875" s="151"/>
    </row>
    <row r="876">
      <c r="A876" s="151"/>
      <c r="B876" s="151"/>
    </row>
    <row r="877">
      <c r="A877" s="151"/>
      <c r="B877" s="151"/>
    </row>
    <row r="878">
      <c r="A878" s="151"/>
      <c r="B878" s="151"/>
    </row>
    <row r="879">
      <c r="A879" s="151"/>
      <c r="B879" s="151"/>
    </row>
    <row r="880">
      <c r="A880" s="151"/>
      <c r="B880" s="151"/>
    </row>
    <row r="881">
      <c r="A881" s="151"/>
      <c r="B881" s="151"/>
    </row>
    <row r="882">
      <c r="A882" s="151"/>
      <c r="B882" s="151"/>
    </row>
    <row r="883">
      <c r="A883" s="151"/>
      <c r="B883" s="151"/>
    </row>
    <row r="884">
      <c r="A884" s="151"/>
      <c r="B884" s="151"/>
    </row>
    <row r="885">
      <c r="A885" s="151"/>
      <c r="B885" s="151"/>
    </row>
    <row r="886">
      <c r="A886" s="151"/>
      <c r="B886" s="151"/>
    </row>
    <row r="887">
      <c r="A887" s="151"/>
      <c r="B887" s="151"/>
    </row>
    <row r="888">
      <c r="A888" s="151"/>
      <c r="B888" s="151"/>
    </row>
    <row r="889">
      <c r="A889" s="151"/>
      <c r="B889" s="151"/>
    </row>
    <row r="890">
      <c r="A890" s="151"/>
      <c r="B890" s="151"/>
    </row>
    <row r="891">
      <c r="A891" s="151"/>
      <c r="B891" s="151"/>
    </row>
    <row r="892">
      <c r="A892" s="151"/>
      <c r="B892" s="151"/>
    </row>
    <row r="893">
      <c r="A893" s="151"/>
      <c r="B893" s="151"/>
    </row>
    <row r="894">
      <c r="A894" s="151"/>
      <c r="B894" s="151"/>
    </row>
    <row r="895">
      <c r="A895" s="151"/>
      <c r="B895" s="151"/>
    </row>
    <row r="896">
      <c r="A896" s="151"/>
      <c r="B896" s="151"/>
    </row>
    <row r="897">
      <c r="A897" s="151"/>
      <c r="B897" s="151"/>
    </row>
    <row r="898">
      <c r="A898" s="151"/>
      <c r="B898" s="151"/>
    </row>
    <row r="899">
      <c r="A899" s="151"/>
      <c r="B899" s="151"/>
    </row>
    <row r="900">
      <c r="A900" s="151"/>
      <c r="B900" s="151"/>
    </row>
    <row r="901">
      <c r="A901" s="151"/>
      <c r="B901" s="151"/>
    </row>
    <row r="902">
      <c r="A902" s="151"/>
      <c r="B902" s="151"/>
    </row>
    <row r="903">
      <c r="A903" s="151"/>
      <c r="B903" s="151"/>
    </row>
    <row r="904">
      <c r="A904" s="151"/>
      <c r="B904" s="151"/>
    </row>
    <row r="905">
      <c r="A905" s="151"/>
      <c r="B905" s="151"/>
    </row>
    <row r="906">
      <c r="A906" s="151"/>
      <c r="B906" s="151"/>
    </row>
    <row r="907">
      <c r="A907" s="151"/>
      <c r="B907" s="151"/>
    </row>
    <row r="908">
      <c r="A908" s="151"/>
      <c r="B908" s="151"/>
    </row>
    <row r="909">
      <c r="A909" s="151"/>
      <c r="B909" s="151"/>
    </row>
    <row r="910">
      <c r="A910" s="151"/>
      <c r="B910" s="151"/>
    </row>
    <row r="911">
      <c r="A911" s="151"/>
      <c r="B911" s="151"/>
    </row>
    <row r="912">
      <c r="A912" s="151"/>
      <c r="B912" s="151"/>
    </row>
    <row r="913">
      <c r="A913" s="151"/>
      <c r="B913" s="151"/>
    </row>
    <row r="914">
      <c r="A914" s="151"/>
      <c r="B914" s="151"/>
    </row>
    <row r="915">
      <c r="A915" s="151"/>
      <c r="B915" s="151"/>
    </row>
    <row r="916">
      <c r="A916" s="151"/>
      <c r="B916" s="151"/>
    </row>
    <row r="917">
      <c r="A917" s="151"/>
      <c r="B917" s="151"/>
    </row>
    <row r="918">
      <c r="A918" s="151"/>
      <c r="B918" s="151"/>
    </row>
    <row r="919">
      <c r="A919" s="151"/>
      <c r="B919" s="151"/>
    </row>
    <row r="920">
      <c r="A920" s="151"/>
      <c r="B920" s="151"/>
    </row>
    <row r="921">
      <c r="A921" s="151"/>
      <c r="B921" s="151"/>
    </row>
    <row r="922">
      <c r="A922" s="151"/>
      <c r="B922" s="151"/>
    </row>
    <row r="923">
      <c r="A923" s="151"/>
      <c r="B923" s="151"/>
    </row>
    <row r="924">
      <c r="A924" s="151"/>
      <c r="B924" s="151"/>
    </row>
    <row r="925">
      <c r="A925" s="151"/>
      <c r="B925" s="151"/>
    </row>
    <row r="926">
      <c r="A926" s="151"/>
      <c r="B926" s="151"/>
    </row>
    <row r="927">
      <c r="A927" s="151"/>
      <c r="B927" s="151"/>
    </row>
    <row r="928">
      <c r="A928" s="151"/>
      <c r="B928" s="151"/>
    </row>
    <row r="929">
      <c r="A929" s="151"/>
      <c r="B929" s="151"/>
    </row>
    <row r="930">
      <c r="A930" s="151"/>
      <c r="B930" s="151"/>
    </row>
    <row r="931">
      <c r="A931" s="151"/>
      <c r="B931" s="151"/>
    </row>
    <row r="932">
      <c r="A932" s="151"/>
      <c r="B932" s="151"/>
    </row>
    <row r="933">
      <c r="A933" s="151"/>
      <c r="B933" s="151"/>
    </row>
    <row r="934">
      <c r="A934" s="151"/>
      <c r="B934" s="151"/>
    </row>
    <row r="935">
      <c r="A935" s="151"/>
      <c r="B935" s="151"/>
    </row>
    <row r="936">
      <c r="A936" s="151"/>
      <c r="B936" s="151"/>
    </row>
    <row r="937">
      <c r="A937" s="151"/>
      <c r="B937" s="151"/>
    </row>
    <row r="938">
      <c r="A938" s="151"/>
      <c r="B938" s="151"/>
    </row>
    <row r="939">
      <c r="A939" s="151"/>
      <c r="B939" s="151"/>
    </row>
    <row r="940">
      <c r="A940" s="151"/>
      <c r="B940" s="151"/>
    </row>
    <row r="941">
      <c r="A941" s="151"/>
      <c r="B941" s="151"/>
    </row>
    <row r="942">
      <c r="A942" s="151"/>
      <c r="B942" s="151"/>
    </row>
    <row r="943">
      <c r="A943" s="151"/>
      <c r="B943" s="151"/>
    </row>
    <row r="944">
      <c r="A944" s="151"/>
      <c r="B944" s="151"/>
    </row>
    <row r="945">
      <c r="A945" s="151"/>
      <c r="B945" s="151"/>
    </row>
    <row r="946">
      <c r="A946" s="151"/>
      <c r="B946" s="151"/>
    </row>
    <row r="947">
      <c r="A947" s="151"/>
      <c r="B947" s="151"/>
    </row>
    <row r="948">
      <c r="A948" s="151"/>
      <c r="B948" s="151"/>
    </row>
    <row r="949">
      <c r="A949" s="151"/>
      <c r="B949" s="151"/>
    </row>
    <row r="950">
      <c r="A950" s="151"/>
      <c r="B950" s="151"/>
    </row>
    <row r="951">
      <c r="A951" s="151"/>
      <c r="B951" s="151"/>
    </row>
    <row r="952">
      <c r="A952" s="151"/>
      <c r="B952" s="151"/>
    </row>
    <row r="953">
      <c r="A953" s="151"/>
      <c r="B953" s="151"/>
    </row>
    <row r="954">
      <c r="A954" s="151"/>
      <c r="B954" s="151"/>
    </row>
    <row r="955">
      <c r="A955" s="151"/>
      <c r="B955" s="151"/>
    </row>
    <row r="956">
      <c r="A956" s="151"/>
      <c r="B956" s="151"/>
    </row>
    <row r="957">
      <c r="A957" s="151"/>
      <c r="B957" s="151"/>
    </row>
    <row r="958">
      <c r="A958" s="151"/>
      <c r="B958" s="151"/>
    </row>
    <row r="959">
      <c r="A959" s="151"/>
      <c r="B959" s="151"/>
    </row>
    <row r="960">
      <c r="A960" s="151"/>
      <c r="B960" s="151"/>
    </row>
    <row r="961">
      <c r="A961" s="151"/>
      <c r="B961" s="151"/>
    </row>
    <row r="962">
      <c r="A962" s="151"/>
      <c r="B962" s="151"/>
    </row>
    <row r="963">
      <c r="A963" s="151"/>
      <c r="B963" s="151"/>
    </row>
    <row r="964">
      <c r="A964" s="151"/>
      <c r="B964" s="151"/>
    </row>
    <row r="965">
      <c r="A965" s="151"/>
      <c r="B965" s="151"/>
    </row>
    <row r="966">
      <c r="A966" s="151"/>
      <c r="B966" s="151"/>
    </row>
    <row r="967">
      <c r="A967" s="151"/>
      <c r="B967" s="151"/>
    </row>
    <row r="968">
      <c r="A968" s="151"/>
      <c r="B968" s="151"/>
    </row>
    <row r="969">
      <c r="A969" s="151"/>
      <c r="B969" s="151"/>
    </row>
    <row r="970">
      <c r="A970" s="151"/>
      <c r="B970" s="151"/>
    </row>
    <row r="971">
      <c r="A971" s="151"/>
      <c r="B971" s="151"/>
    </row>
    <row r="972">
      <c r="A972" s="151"/>
      <c r="B972" s="151"/>
    </row>
    <row r="973">
      <c r="A973" s="151"/>
      <c r="B973" s="151"/>
    </row>
    <row r="974">
      <c r="A974" s="151"/>
      <c r="B974" s="151"/>
    </row>
    <row r="975">
      <c r="A975" s="151"/>
      <c r="B975" s="151"/>
    </row>
    <row r="976">
      <c r="A976" s="151"/>
      <c r="B976" s="151"/>
    </row>
    <row r="977">
      <c r="A977" s="151"/>
      <c r="B977" s="151"/>
    </row>
    <row r="978">
      <c r="A978" s="151"/>
      <c r="B978" s="151"/>
    </row>
    <row r="979">
      <c r="A979" s="151"/>
      <c r="B979" s="151"/>
    </row>
    <row r="980">
      <c r="A980" s="151"/>
      <c r="B980" s="151"/>
    </row>
    <row r="981">
      <c r="A981" s="151"/>
      <c r="B981" s="151"/>
    </row>
    <row r="982">
      <c r="A982" s="151"/>
      <c r="B982" s="151"/>
    </row>
    <row r="983">
      <c r="A983" s="151"/>
      <c r="B983" s="151"/>
    </row>
    <row r="984">
      <c r="A984" s="151"/>
      <c r="B984" s="151"/>
    </row>
    <row r="985">
      <c r="A985" s="151"/>
      <c r="B985" s="151"/>
    </row>
    <row r="986">
      <c r="A986" s="151"/>
      <c r="B986" s="151"/>
    </row>
    <row r="987">
      <c r="A987" s="151"/>
      <c r="B987" s="151"/>
    </row>
    <row r="988">
      <c r="A988" s="151"/>
      <c r="B988" s="151"/>
    </row>
    <row r="989">
      <c r="A989" s="151"/>
      <c r="B989" s="151"/>
    </row>
    <row r="990">
      <c r="A990" s="151"/>
      <c r="B990" s="151"/>
    </row>
    <row r="991">
      <c r="A991" s="151"/>
      <c r="B991" s="151"/>
    </row>
    <row r="992">
      <c r="A992" s="151"/>
      <c r="B992" s="151"/>
    </row>
    <row r="993">
      <c r="A993" s="151"/>
      <c r="B993" s="151"/>
    </row>
    <row r="994">
      <c r="A994" s="151"/>
      <c r="B994" s="151"/>
    </row>
    <row r="995">
      <c r="A995" s="151"/>
      <c r="B995" s="151"/>
    </row>
    <row r="996">
      <c r="A996" s="151"/>
      <c r="B996" s="151"/>
    </row>
    <row r="997">
      <c r="A997" s="151"/>
      <c r="B997" s="151"/>
    </row>
    <row r="998">
      <c r="A998" s="151"/>
      <c r="B998" s="151"/>
    </row>
    <row r="999">
      <c r="A999" s="151"/>
      <c r="B999" s="151"/>
    </row>
    <row r="1000">
      <c r="A1000" s="151"/>
      <c r="B1000" s="151"/>
    </row>
  </sheetData>
  <hyperlinks>
    <hyperlink r:id="rId1" ref="X2"/>
    <hyperlink r:id="rId2" ref="X3"/>
  </hyperlink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2.25"/>
    <col customWidth="1" min="5" max="5" width="21.88"/>
    <col customWidth="1" min="7" max="7" width="24.88"/>
    <col customWidth="1" min="8" max="8" width="13.13"/>
    <col customWidth="1" min="9" max="9" width="27.63"/>
    <col customWidth="1" min="10" max="10" width="26.75"/>
    <col customWidth="1" min="19" max="20" width="18.88"/>
    <col customWidth="1" min="21" max="21" width="24.38"/>
    <col customWidth="1" min="22" max="22" width="18.88"/>
  </cols>
  <sheetData>
    <row r="1">
      <c r="A1" s="290" t="s">
        <v>2881</v>
      </c>
      <c r="B1" s="291" t="s">
        <v>2882</v>
      </c>
      <c r="C1" s="290" t="s">
        <v>2883</v>
      </c>
      <c r="D1" s="290" t="s">
        <v>2884</v>
      </c>
      <c r="E1" s="290" t="s">
        <v>2885</v>
      </c>
      <c r="F1" s="290" t="s">
        <v>2886</v>
      </c>
      <c r="G1" s="290" t="s">
        <v>2887</v>
      </c>
      <c r="H1" s="290" t="s">
        <v>2888</v>
      </c>
      <c r="I1" s="290" t="s">
        <v>2889</v>
      </c>
      <c r="J1" s="290" t="s">
        <v>691</v>
      </c>
      <c r="K1" s="290" t="s">
        <v>2890</v>
      </c>
      <c r="L1" s="290" t="s">
        <v>2891</v>
      </c>
      <c r="M1" s="292" t="s">
        <v>2892</v>
      </c>
      <c r="N1" s="290" t="s">
        <v>2893</v>
      </c>
      <c r="O1" s="290" t="s">
        <v>2894</v>
      </c>
      <c r="P1" s="290" t="s">
        <v>2895</v>
      </c>
      <c r="Q1" s="290" t="s">
        <v>2896</v>
      </c>
      <c r="R1" s="290" t="s">
        <v>2897</v>
      </c>
      <c r="S1" s="293" t="s">
        <v>2898</v>
      </c>
      <c r="T1" s="293" t="s">
        <v>2899</v>
      </c>
      <c r="U1" s="293" t="s">
        <v>2900</v>
      </c>
      <c r="V1" s="293" t="s">
        <v>2901</v>
      </c>
      <c r="W1" s="294"/>
      <c r="X1" s="294"/>
      <c r="Y1" s="294"/>
      <c r="Z1" s="294"/>
      <c r="AA1" s="294"/>
    </row>
    <row r="2">
      <c r="A2" s="295">
        <v>45527.0</v>
      </c>
      <c r="B2" s="295">
        <v>45533.0</v>
      </c>
      <c r="C2" s="121" t="s">
        <v>2902</v>
      </c>
      <c r="D2" s="121">
        <v>730.0</v>
      </c>
      <c r="E2" s="121" t="s">
        <v>2903</v>
      </c>
      <c r="F2" s="121" t="s">
        <v>2904</v>
      </c>
      <c r="G2" s="121" t="s">
        <v>1132</v>
      </c>
      <c r="H2" s="121" t="s">
        <v>621</v>
      </c>
      <c r="I2" s="121" t="s">
        <v>2905</v>
      </c>
      <c r="J2" s="121" t="s">
        <v>2903</v>
      </c>
      <c r="K2" s="296" t="s">
        <v>2906</v>
      </c>
      <c r="L2" s="121">
        <v>1.0</v>
      </c>
      <c r="M2" s="296">
        <v>5000.0</v>
      </c>
      <c r="N2" s="121">
        <v>15.0</v>
      </c>
      <c r="O2" s="18">
        <f t="shared" ref="O2:O116" si="1">10*L2</f>
        <v>10</v>
      </c>
      <c r="P2" s="18">
        <f t="shared" ref="P2:P116" si="2">5*L2</f>
        <v>5</v>
      </c>
      <c r="Q2" s="121">
        <f>5*L2</f>
        <v>5</v>
      </c>
      <c r="R2" s="18">
        <f t="shared" ref="R2:R116" si="3">SUM(N2:Q2)</f>
        <v>35</v>
      </c>
      <c r="S2" s="17" t="s">
        <v>2907</v>
      </c>
      <c r="T2" s="133" t="s">
        <v>2908</v>
      </c>
      <c r="U2" s="134" t="str">
        <f>HYPERLINK("https://drive.google.com/file/d/1ORESQumOwNk2bhUn5oP0fPSW4L-o6SVS/view?usp=drivesdk","Uv-Vis (Udara)_Ndiayu Ajeng Gareta_730")</f>
        <v>Uv-Vis (Udara)_Ndiayu Ajeng Gareta_730</v>
      </c>
      <c r="V2" s="17" t="s">
        <v>2909</v>
      </c>
    </row>
    <row r="3">
      <c r="A3" s="295">
        <v>45530.0</v>
      </c>
      <c r="B3" s="295">
        <v>45533.0</v>
      </c>
      <c r="C3" s="121" t="s">
        <v>2902</v>
      </c>
      <c r="D3" s="121">
        <v>734.0</v>
      </c>
      <c r="E3" s="121" t="s">
        <v>475</v>
      </c>
      <c r="F3" s="121" t="s">
        <v>476</v>
      </c>
      <c r="G3" s="121" t="s">
        <v>2910</v>
      </c>
      <c r="H3" s="121" t="s">
        <v>621</v>
      </c>
      <c r="I3" s="121" t="s">
        <v>2905</v>
      </c>
      <c r="J3" s="121" t="s">
        <v>475</v>
      </c>
      <c r="K3" s="121" t="s">
        <v>155</v>
      </c>
      <c r="L3" s="121">
        <v>10.0</v>
      </c>
      <c r="M3" s="296">
        <v>5000.0</v>
      </c>
      <c r="N3" s="121">
        <v>15.0</v>
      </c>
      <c r="O3" s="18">
        <f t="shared" si="1"/>
        <v>100</v>
      </c>
      <c r="P3" s="18">
        <f t="shared" si="2"/>
        <v>50</v>
      </c>
      <c r="Q3" s="121">
        <v>5.0</v>
      </c>
      <c r="R3" s="18">
        <f t="shared" si="3"/>
        <v>170</v>
      </c>
      <c r="S3" s="17" t="s">
        <v>2911</v>
      </c>
      <c r="T3" s="133" t="s">
        <v>2912</v>
      </c>
      <c r="U3" s="134" t="str">
        <f>HYPERLINK("https://drive.google.com/file/d/1Y9_40cHukfNA69qSE4mv9yqvbeddJBDf/view?usp=drivesdk","Uv-Vis (Udara)_Rahma Isnaini Puji Astuti_734")</f>
        <v>Uv-Vis (Udara)_Rahma Isnaini Puji Astuti_734</v>
      </c>
      <c r="V3" s="17" t="s">
        <v>2909</v>
      </c>
    </row>
    <row r="4">
      <c r="A4" s="295">
        <v>45530.0</v>
      </c>
      <c r="B4" s="295">
        <v>45533.0</v>
      </c>
      <c r="C4" s="121" t="s">
        <v>2902</v>
      </c>
      <c r="D4" s="121">
        <v>735.0</v>
      </c>
      <c r="E4" s="121" t="s">
        <v>2903</v>
      </c>
      <c r="F4" s="121" t="s">
        <v>2904</v>
      </c>
      <c r="G4" s="121" t="s">
        <v>1132</v>
      </c>
      <c r="H4" s="121" t="s">
        <v>621</v>
      </c>
      <c r="I4" s="121" t="s">
        <v>2905</v>
      </c>
      <c r="J4" s="121" t="s">
        <v>2903</v>
      </c>
      <c r="K4" s="121" t="s">
        <v>155</v>
      </c>
      <c r="L4" s="121">
        <v>2.0</v>
      </c>
      <c r="M4" s="296">
        <v>5000.0</v>
      </c>
      <c r="N4" s="121">
        <v>15.0</v>
      </c>
      <c r="O4" s="18">
        <f t="shared" si="1"/>
        <v>20</v>
      </c>
      <c r="P4" s="18">
        <f t="shared" si="2"/>
        <v>10</v>
      </c>
      <c r="Q4" s="121">
        <v>5.0</v>
      </c>
      <c r="R4" s="18">
        <f t="shared" si="3"/>
        <v>50</v>
      </c>
      <c r="S4" s="17" t="s">
        <v>2913</v>
      </c>
      <c r="T4" s="133" t="s">
        <v>2914</v>
      </c>
      <c r="U4" s="134" t="str">
        <f>HYPERLINK("https://drive.google.com/file/d/1SE6HQbDt5OhfjZzrQkGfv8Tm831sNP8w/view?usp=drivesdk","Uv-Vis (Udara)_Ndiayu Ajeng Gareta_735")</f>
        <v>Uv-Vis (Udara)_Ndiayu Ajeng Gareta_735</v>
      </c>
      <c r="V4" s="17" t="s">
        <v>2909</v>
      </c>
    </row>
    <row r="5">
      <c r="A5" s="295">
        <v>45532.0</v>
      </c>
      <c r="B5" s="295">
        <v>45533.0</v>
      </c>
      <c r="C5" s="121" t="s">
        <v>2902</v>
      </c>
      <c r="D5" s="121">
        <v>741.0</v>
      </c>
      <c r="E5" s="121" t="s">
        <v>2915</v>
      </c>
      <c r="F5" s="121" t="s">
        <v>2916</v>
      </c>
      <c r="G5" s="121" t="s">
        <v>2036</v>
      </c>
      <c r="H5" s="121" t="s">
        <v>621</v>
      </c>
      <c r="I5" s="121" t="s">
        <v>2905</v>
      </c>
      <c r="J5" s="121" t="s">
        <v>2917</v>
      </c>
      <c r="K5" s="296" t="s">
        <v>2906</v>
      </c>
      <c r="L5" s="121">
        <v>6.0</v>
      </c>
      <c r="M5" s="296">
        <v>5000.0</v>
      </c>
      <c r="N5" s="121">
        <v>15.0</v>
      </c>
      <c r="O5" s="18">
        <f t="shared" si="1"/>
        <v>60</v>
      </c>
      <c r="P5" s="18">
        <f t="shared" si="2"/>
        <v>30</v>
      </c>
      <c r="Q5" s="121">
        <v>5.0</v>
      </c>
      <c r="R5" s="18">
        <f t="shared" si="3"/>
        <v>110</v>
      </c>
      <c r="S5" s="17" t="s">
        <v>2918</v>
      </c>
      <c r="T5" s="133" t="s">
        <v>2919</v>
      </c>
      <c r="U5" s="134" t="str">
        <f>HYPERLINK("https://drive.google.com/file/d/151aiRYsMfHgK2GAgH7f_nGJwAoChahPN/view?usp=drivesdk","Uv-Vis (Udara)_Yusuf Kurnia Pamungkas_741")</f>
        <v>Uv-Vis (Udara)_Yusuf Kurnia Pamungkas_741</v>
      </c>
      <c r="V5" s="17" t="s">
        <v>2920</v>
      </c>
    </row>
    <row r="6">
      <c r="A6" s="295">
        <v>45533.0</v>
      </c>
      <c r="B6" s="295">
        <v>45533.0</v>
      </c>
      <c r="C6" s="121" t="s">
        <v>2902</v>
      </c>
      <c r="D6" s="121">
        <v>748.0</v>
      </c>
      <c r="E6" s="121" t="s">
        <v>2921</v>
      </c>
      <c r="F6" s="121">
        <v>6.23088704E8</v>
      </c>
      <c r="G6" s="121" t="s">
        <v>2922</v>
      </c>
      <c r="H6" s="121" t="s">
        <v>541</v>
      </c>
      <c r="I6" s="121" t="s">
        <v>2905</v>
      </c>
      <c r="J6" s="121" t="s">
        <v>2923</v>
      </c>
      <c r="K6" s="296" t="s">
        <v>2924</v>
      </c>
      <c r="L6" s="121">
        <v>1.0</v>
      </c>
      <c r="M6" s="296">
        <v>30000.0</v>
      </c>
      <c r="N6" s="121">
        <v>15.0</v>
      </c>
      <c r="O6" s="18">
        <f t="shared" si="1"/>
        <v>10</v>
      </c>
      <c r="P6" s="18">
        <f t="shared" si="2"/>
        <v>5</v>
      </c>
      <c r="Q6" s="121">
        <v>5.0</v>
      </c>
      <c r="R6" s="18">
        <f t="shared" si="3"/>
        <v>35</v>
      </c>
      <c r="S6" s="17" t="s">
        <v>2925</v>
      </c>
      <c r="T6" s="223" t="s">
        <v>2926</v>
      </c>
      <c r="U6" s="134" t="str">
        <f>HYPERLINK("https://drive.google.com/file/d/1TfOU0x-7moyar_eEqB-42tSg7lXpHzJr/view?usp=drivesdk","Uv-Vis (Udara)_Ratna Dewi Eskundari_748")</f>
        <v>Uv-Vis (Udara)_Ratna Dewi Eskundari_748</v>
      </c>
      <c r="V6" s="17" t="s">
        <v>2920</v>
      </c>
    </row>
    <row r="7">
      <c r="A7" s="295">
        <v>45533.0</v>
      </c>
      <c r="B7" s="295">
        <v>45533.0</v>
      </c>
      <c r="C7" s="121" t="s">
        <v>2902</v>
      </c>
      <c r="D7" s="121">
        <v>750.0</v>
      </c>
      <c r="E7" s="121" t="s">
        <v>475</v>
      </c>
      <c r="F7" s="121" t="s">
        <v>476</v>
      </c>
      <c r="G7" s="121" t="s">
        <v>2910</v>
      </c>
      <c r="H7" s="121" t="s">
        <v>621</v>
      </c>
      <c r="I7" s="121" t="s">
        <v>2905</v>
      </c>
      <c r="J7" s="121" t="s">
        <v>475</v>
      </c>
      <c r="K7" s="121" t="s">
        <v>155</v>
      </c>
      <c r="L7" s="121">
        <v>3.0</v>
      </c>
      <c r="M7" s="296">
        <v>5000.0</v>
      </c>
      <c r="N7" s="121">
        <v>15.0</v>
      </c>
      <c r="O7" s="18">
        <f t="shared" si="1"/>
        <v>30</v>
      </c>
      <c r="P7" s="18">
        <f t="shared" si="2"/>
        <v>15</v>
      </c>
      <c r="Q7" s="121">
        <v>5.0</v>
      </c>
      <c r="R7" s="18">
        <f t="shared" si="3"/>
        <v>65</v>
      </c>
      <c r="S7" s="17" t="s">
        <v>2927</v>
      </c>
      <c r="T7" s="133" t="s">
        <v>2928</v>
      </c>
      <c r="U7" s="134" t="str">
        <f>HYPERLINK("https://drive.google.com/file/d/14b1FCa1GsccmOOC-KieSL9Yaj436ooi4/view?usp=drivesdk","Uv-Vis (Udara)_Rahma Isnaini Puji Astuti_750")</f>
        <v>Uv-Vis (Udara)_Rahma Isnaini Puji Astuti_750</v>
      </c>
      <c r="V7" s="17" t="s">
        <v>2920</v>
      </c>
    </row>
    <row r="8">
      <c r="A8" s="295">
        <v>45534.0</v>
      </c>
      <c r="B8" s="295">
        <v>45534.0</v>
      </c>
      <c r="C8" s="121" t="s">
        <v>2902</v>
      </c>
      <c r="D8" s="121">
        <v>753.0</v>
      </c>
      <c r="E8" s="121" t="s">
        <v>2606</v>
      </c>
      <c r="F8" s="121" t="s">
        <v>2607</v>
      </c>
      <c r="G8" s="121" t="s">
        <v>1132</v>
      </c>
      <c r="H8" s="121" t="s">
        <v>621</v>
      </c>
      <c r="I8" s="121" t="s">
        <v>2905</v>
      </c>
      <c r="J8" s="121" t="s">
        <v>2929</v>
      </c>
      <c r="K8" s="296" t="s">
        <v>2906</v>
      </c>
      <c r="L8" s="121">
        <v>2.0</v>
      </c>
      <c r="M8" s="296">
        <v>5000.0</v>
      </c>
      <c r="N8" s="121">
        <v>15.0</v>
      </c>
      <c r="O8" s="18">
        <f t="shared" si="1"/>
        <v>20</v>
      </c>
      <c r="P8" s="18">
        <f t="shared" si="2"/>
        <v>10</v>
      </c>
      <c r="Q8" s="121">
        <v>5.0</v>
      </c>
      <c r="R8" s="18">
        <f t="shared" si="3"/>
        <v>50</v>
      </c>
      <c r="S8" s="17" t="s">
        <v>2930</v>
      </c>
      <c r="T8" s="133" t="s">
        <v>2931</v>
      </c>
      <c r="U8" s="134" t="str">
        <f>HYPERLINK("https://drive.google.com/file/d/19zyOsV7mB579NvxJ74oHNRMr5vxfLQ-a/view?usp=drivesdk","Uv-Vis (Udara)_Izza Laila Nur Rohmah_753")</f>
        <v>Uv-Vis (Udara)_Izza Laila Nur Rohmah_753</v>
      </c>
      <c r="V8" s="17" t="s">
        <v>2932</v>
      </c>
    </row>
    <row r="9">
      <c r="A9" s="295">
        <v>45539.0</v>
      </c>
      <c r="B9" s="295">
        <v>45540.0</v>
      </c>
      <c r="C9" s="121" t="s">
        <v>2902</v>
      </c>
      <c r="D9" s="121">
        <v>755.0</v>
      </c>
      <c r="E9" s="121" t="s">
        <v>2933</v>
      </c>
      <c r="F9" s="121" t="s">
        <v>2934</v>
      </c>
      <c r="G9" s="121" t="s">
        <v>1132</v>
      </c>
      <c r="H9" s="121" t="s">
        <v>621</v>
      </c>
      <c r="I9" s="121" t="s">
        <v>2905</v>
      </c>
      <c r="J9" s="121" t="s">
        <v>2935</v>
      </c>
      <c r="K9" s="296" t="s">
        <v>2906</v>
      </c>
      <c r="L9" s="121">
        <v>7.0</v>
      </c>
      <c r="M9" s="296">
        <v>5000.0</v>
      </c>
      <c r="N9" s="121">
        <v>15.0</v>
      </c>
      <c r="O9" s="18">
        <f t="shared" si="1"/>
        <v>70</v>
      </c>
      <c r="P9" s="18">
        <f t="shared" si="2"/>
        <v>35</v>
      </c>
      <c r="Q9" s="121">
        <v>5.0</v>
      </c>
      <c r="R9" s="18">
        <f t="shared" si="3"/>
        <v>125</v>
      </c>
      <c r="S9" s="17" t="s">
        <v>2936</v>
      </c>
      <c r="T9" s="133" t="s">
        <v>2937</v>
      </c>
      <c r="U9" s="134" t="str">
        <f>HYPERLINK("https://drive.google.com/file/d/12spZ-aE162WNHUc-XrgdAWTdY4e36TwA/view?usp=drivesdk","Uv-Vis (Udara)_Bintang Adhie Perdana_755")</f>
        <v>Uv-Vis (Udara)_Bintang Adhie Perdana_755</v>
      </c>
      <c r="V9" s="17" t="s">
        <v>2938</v>
      </c>
    </row>
    <row r="10">
      <c r="A10" s="295">
        <v>45539.0</v>
      </c>
      <c r="B10" s="295">
        <v>45540.0</v>
      </c>
      <c r="C10" s="121" t="s">
        <v>2902</v>
      </c>
      <c r="D10" s="121">
        <v>760.0</v>
      </c>
      <c r="E10" s="121" t="s">
        <v>2939</v>
      </c>
      <c r="F10" s="121" t="s">
        <v>2940</v>
      </c>
      <c r="G10" s="121" t="s">
        <v>1548</v>
      </c>
      <c r="H10" s="121" t="s">
        <v>621</v>
      </c>
      <c r="I10" s="121" t="s">
        <v>2905</v>
      </c>
      <c r="J10" s="121" t="s">
        <v>2941</v>
      </c>
      <c r="K10" s="296" t="s">
        <v>2906</v>
      </c>
      <c r="L10" s="121">
        <v>7.0</v>
      </c>
      <c r="M10" s="296">
        <v>5000.0</v>
      </c>
      <c r="N10" s="121">
        <v>15.0</v>
      </c>
      <c r="O10" s="18">
        <f t="shared" si="1"/>
        <v>70</v>
      </c>
      <c r="P10" s="18">
        <f t="shared" si="2"/>
        <v>35</v>
      </c>
      <c r="Q10" s="121">
        <v>5.0</v>
      </c>
      <c r="R10" s="18">
        <f t="shared" si="3"/>
        <v>125</v>
      </c>
      <c r="S10" s="17" t="s">
        <v>2942</v>
      </c>
      <c r="T10" s="133" t="s">
        <v>2943</v>
      </c>
      <c r="U10" s="134" t="str">
        <f>HYPERLINK("https://drive.google.com/file/d/1KG55qN4IYofr6YDPOmLUJGrezWvIy9up/view?usp=drivesdk","Uv-Vis (Udara)_Riswanda Puspitasari_760")</f>
        <v>Uv-Vis (Udara)_Riswanda Puspitasari_760</v>
      </c>
      <c r="V10" s="17" t="s">
        <v>2938</v>
      </c>
    </row>
    <row r="11">
      <c r="A11" s="295">
        <v>45540.0</v>
      </c>
      <c r="B11" s="295">
        <v>45540.0</v>
      </c>
      <c r="C11" s="121" t="s">
        <v>2902</v>
      </c>
      <c r="D11" s="121">
        <v>762.0</v>
      </c>
      <c r="E11" s="121" t="s">
        <v>2939</v>
      </c>
      <c r="F11" s="121" t="s">
        <v>2940</v>
      </c>
      <c r="G11" s="121" t="s">
        <v>1548</v>
      </c>
      <c r="H11" s="121" t="s">
        <v>621</v>
      </c>
      <c r="I11" s="121" t="s">
        <v>2905</v>
      </c>
      <c r="J11" s="121" t="s">
        <v>2939</v>
      </c>
      <c r="K11" s="121" t="s">
        <v>155</v>
      </c>
      <c r="L11" s="121">
        <v>7.0</v>
      </c>
      <c r="M11" s="296">
        <v>5000.0</v>
      </c>
      <c r="N11" s="121">
        <v>15.0</v>
      </c>
      <c r="O11" s="18">
        <f t="shared" si="1"/>
        <v>70</v>
      </c>
      <c r="P11" s="18">
        <f t="shared" si="2"/>
        <v>35</v>
      </c>
      <c r="Q11" s="121">
        <v>5.0</v>
      </c>
      <c r="R11" s="18">
        <f t="shared" si="3"/>
        <v>125</v>
      </c>
      <c r="S11" s="17" t="s">
        <v>2944</v>
      </c>
      <c r="T11" s="223" t="s">
        <v>2945</v>
      </c>
      <c r="U11" s="134" t="str">
        <f>HYPERLINK("https://drive.google.com/file/d/1vHtqCD_YJih-vuJMkpf1ChP25fv_TRbs/view?usp=drivesdk","Uv-Vis (Udara)_Riswanda Puspitasari_762")</f>
        <v>Uv-Vis (Udara)_Riswanda Puspitasari_762</v>
      </c>
      <c r="V11" s="17" t="s">
        <v>2946</v>
      </c>
    </row>
    <row r="12">
      <c r="A12" s="295">
        <v>45545.0</v>
      </c>
      <c r="B12" s="295">
        <v>45545.0</v>
      </c>
      <c r="C12" s="121" t="s">
        <v>2902</v>
      </c>
      <c r="D12" s="121">
        <v>767.0</v>
      </c>
      <c r="E12" s="121" t="s">
        <v>2915</v>
      </c>
      <c r="F12" s="121" t="s">
        <v>2916</v>
      </c>
      <c r="G12" s="121" t="s">
        <v>2036</v>
      </c>
      <c r="H12" s="121" t="s">
        <v>621</v>
      </c>
      <c r="I12" s="121" t="s">
        <v>2905</v>
      </c>
      <c r="J12" s="121" t="s">
        <v>2915</v>
      </c>
      <c r="K12" s="121" t="s">
        <v>155</v>
      </c>
      <c r="L12" s="121">
        <v>7.0</v>
      </c>
      <c r="M12" s="296">
        <v>5000.0</v>
      </c>
      <c r="N12" s="121">
        <v>15.0</v>
      </c>
      <c r="O12" s="18">
        <f t="shared" si="1"/>
        <v>70</v>
      </c>
      <c r="P12" s="18">
        <f t="shared" si="2"/>
        <v>35</v>
      </c>
      <c r="Q12" s="121">
        <v>5.0</v>
      </c>
      <c r="R12" s="18">
        <f t="shared" si="3"/>
        <v>125</v>
      </c>
      <c r="S12" s="17" t="s">
        <v>2947</v>
      </c>
      <c r="T12" s="133" t="s">
        <v>2948</v>
      </c>
      <c r="U12" s="134" t="str">
        <f>HYPERLINK("https://drive.google.com/file/d/1tXAiKaikOeqPSBmEhfh4smSUHJJy7G2F/view?usp=drivesdk","Uv-Vis (Udara)_Yusuf Kurnia Pamungkas_767")</f>
        <v>Uv-Vis (Udara)_Yusuf Kurnia Pamungkas_767</v>
      </c>
      <c r="V12" s="17" t="s">
        <v>2949</v>
      </c>
    </row>
    <row r="13">
      <c r="A13" s="295">
        <v>45545.0</v>
      </c>
      <c r="B13" s="295">
        <v>45545.0</v>
      </c>
      <c r="C13" s="121" t="s">
        <v>2902</v>
      </c>
      <c r="D13" s="121">
        <v>771.0</v>
      </c>
      <c r="E13" s="121" t="s">
        <v>2933</v>
      </c>
      <c r="F13" s="121" t="s">
        <v>2934</v>
      </c>
      <c r="G13" s="121" t="s">
        <v>1132</v>
      </c>
      <c r="H13" s="121" t="s">
        <v>621</v>
      </c>
      <c r="I13" s="121" t="s">
        <v>2905</v>
      </c>
      <c r="J13" s="121" t="s">
        <v>2933</v>
      </c>
      <c r="K13" s="121" t="s">
        <v>155</v>
      </c>
      <c r="L13" s="121">
        <v>5.0</v>
      </c>
      <c r="M13" s="296">
        <v>5000.0</v>
      </c>
      <c r="N13" s="121">
        <v>15.0</v>
      </c>
      <c r="O13" s="18">
        <f t="shared" si="1"/>
        <v>50</v>
      </c>
      <c r="P13" s="18">
        <f t="shared" si="2"/>
        <v>25</v>
      </c>
      <c r="Q13" s="121">
        <v>5.0</v>
      </c>
      <c r="R13" s="18">
        <f t="shared" si="3"/>
        <v>95</v>
      </c>
      <c r="S13" s="17" t="s">
        <v>2950</v>
      </c>
      <c r="T13" s="133" t="s">
        <v>2951</v>
      </c>
      <c r="U13" s="134" t="str">
        <f>HYPERLINK("https://drive.google.com/file/d/1SWtpfHdxyk1BMn3LtQb0hxSosFGvlE5-/view?usp=drivesdk","Uv-Vis (Udara)_Bintang Adhie Perdana_771")</f>
        <v>Uv-Vis (Udara)_Bintang Adhie Perdana_771</v>
      </c>
      <c r="V13" s="17" t="s">
        <v>2952</v>
      </c>
    </row>
    <row r="14">
      <c r="A14" s="295">
        <v>45545.0</v>
      </c>
      <c r="B14" s="295">
        <v>45545.0</v>
      </c>
      <c r="C14" s="121" t="s">
        <v>2902</v>
      </c>
      <c r="D14" s="121">
        <v>772.0</v>
      </c>
      <c r="E14" s="121" t="s">
        <v>2953</v>
      </c>
      <c r="F14" s="121" t="s">
        <v>2954</v>
      </c>
      <c r="G14" s="121" t="s">
        <v>1132</v>
      </c>
      <c r="H14" s="121" t="s">
        <v>621</v>
      </c>
      <c r="I14" s="121" t="s">
        <v>2905</v>
      </c>
      <c r="J14" s="121" t="s">
        <v>2955</v>
      </c>
      <c r="K14" s="121" t="s">
        <v>2906</v>
      </c>
      <c r="L14" s="121">
        <v>5.0</v>
      </c>
      <c r="M14" s="296">
        <v>5000.0</v>
      </c>
      <c r="N14" s="121">
        <v>15.0</v>
      </c>
      <c r="O14" s="18">
        <f t="shared" si="1"/>
        <v>50</v>
      </c>
      <c r="P14" s="18">
        <f t="shared" si="2"/>
        <v>25</v>
      </c>
      <c r="Q14" s="121">
        <v>5.0</v>
      </c>
      <c r="R14" s="18">
        <f t="shared" si="3"/>
        <v>95</v>
      </c>
      <c r="S14" s="17" t="s">
        <v>2956</v>
      </c>
      <c r="T14" s="133" t="s">
        <v>2957</v>
      </c>
      <c r="U14" s="134" t="str">
        <f>HYPERLINK("https://drive.google.com/file/d/198JykvlX_JegUtAxoX5bxluxrvHEpCIm/view?usp=drivesdk","Uv-Vis (Udara)_Farras Nibras_772")</f>
        <v>Uv-Vis (Udara)_Farras Nibras_772</v>
      </c>
      <c r="V14" s="17" t="s">
        <v>2952</v>
      </c>
    </row>
    <row r="15">
      <c r="A15" s="295">
        <v>45546.0</v>
      </c>
      <c r="B15" s="295">
        <v>45546.0</v>
      </c>
      <c r="C15" s="121" t="s">
        <v>2902</v>
      </c>
      <c r="D15" s="121">
        <v>773.0</v>
      </c>
      <c r="E15" s="121" t="s">
        <v>2915</v>
      </c>
      <c r="F15" s="121" t="s">
        <v>2916</v>
      </c>
      <c r="G15" s="121" t="s">
        <v>2036</v>
      </c>
      <c r="H15" s="121" t="s">
        <v>621</v>
      </c>
      <c r="I15" s="121" t="s">
        <v>2905</v>
      </c>
      <c r="J15" s="121" t="s">
        <v>2915</v>
      </c>
      <c r="K15" s="121" t="s">
        <v>155</v>
      </c>
      <c r="L15" s="121">
        <v>7.0</v>
      </c>
      <c r="M15" s="296">
        <v>5000.0</v>
      </c>
      <c r="N15" s="121">
        <v>15.0</v>
      </c>
      <c r="O15" s="18">
        <f t="shared" si="1"/>
        <v>70</v>
      </c>
      <c r="P15" s="18">
        <f t="shared" si="2"/>
        <v>35</v>
      </c>
      <c r="Q15" s="121">
        <v>5.0</v>
      </c>
      <c r="R15" s="18">
        <f t="shared" si="3"/>
        <v>125</v>
      </c>
      <c r="S15" s="17" t="s">
        <v>2958</v>
      </c>
      <c r="T15" s="223" t="s">
        <v>2959</v>
      </c>
      <c r="U15" s="134" t="str">
        <f>HYPERLINK("https://drive.google.com/file/d/1mVRtXdC0Kb9Vf2j4hi8TIw_6xMLZUClV/view?usp=drivesdk","Uv-Vis (Udara)_Yusuf Kurnia Pamungkas_773")</f>
        <v>Uv-Vis (Udara)_Yusuf Kurnia Pamungkas_773</v>
      </c>
      <c r="V15" s="17" t="s">
        <v>2960</v>
      </c>
    </row>
    <row r="16">
      <c r="A16" s="295">
        <v>45555.0</v>
      </c>
      <c r="B16" s="295">
        <v>45555.0</v>
      </c>
      <c r="C16" s="121" t="s">
        <v>2902</v>
      </c>
      <c r="D16" s="121">
        <v>788.0</v>
      </c>
      <c r="E16" s="121" t="s">
        <v>2961</v>
      </c>
      <c r="F16" s="121" t="s">
        <v>2962</v>
      </c>
      <c r="G16" s="121" t="s">
        <v>1548</v>
      </c>
      <c r="H16" s="121" t="s">
        <v>621</v>
      </c>
      <c r="I16" s="121" t="s">
        <v>2905</v>
      </c>
      <c r="J16" s="121" t="s">
        <v>2961</v>
      </c>
      <c r="K16" s="121" t="s">
        <v>155</v>
      </c>
      <c r="L16" s="121">
        <v>1.0</v>
      </c>
      <c r="M16" s="296">
        <v>5000.0</v>
      </c>
      <c r="N16" s="121">
        <v>15.0</v>
      </c>
      <c r="O16" s="18">
        <f t="shared" si="1"/>
        <v>10</v>
      </c>
      <c r="P16" s="18">
        <f t="shared" si="2"/>
        <v>5</v>
      </c>
      <c r="Q16" s="121">
        <v>5.0</v>
      </c>
      <c r="R16" s="18">
        <f t="shared" si="3"/>
        <v>35</v>
      </c>
      <c r="S16" s="17" t="s">
        <v>2963</v>
      </c>
      <c r="T16" s="133" t="s">
        <v>2964</v>
      </c>
      <c r="U16" s="134" t="str">
        <f>HYPERLINK("https://drive.google.com/file/d/1vQuhrrqlBWpyhjopkYmy3_-WlXIjIPqC/view?usp=drivesdk","Uv-Vis (Udara)_Amirza Fahma Addiniyyah_788")</f>
        <v>Uv-Vis (Udara)_Amirza Fahma Addiniyyah_788</v>
      </c>
      <c r="V16" s="17" t="s">
        <v>2965</v>
      </c>
    </row>
    <row r="17">
      <c r="A17" s="295">
        <v>45555.0</v>
      </c>
      <c r="B17" s="295">
        <v>45555.0</v>
      </c>
      <c r="C17" s="121" t="s">
        <v>2902</v>
      </c>
      <c r="D17" s="121">
        <v>785.0</v>
      </c>
      <c r="E17" s="121" t="s">
        <v>2915</v>
      </c>
      <c r="F17" s="121" t="s">
        <v>2916</v>
      </c>
      <c r="G17" s="121" t="s">
        <v>2036</v>
      </c>
      <c r="H17" s="121" t="s">
        <v>621</v>
      </c>
      <c r="I17" s="121" t="s">
        <v>2905</v>
      </c>
      <c r="J17" s="121" t="s">
        <v>2915</v>
      </c>
      <c r="K17" s="121" t="s">
        <v>155</v>
      </c>
      <c r="L17" s="121">
        <v>6.0</v>
      </c>
      <c r="M17" s="296">
        <v>5000.0</v>
      </c>
      <c r="N17" s="121">
        <v>15.0</v>
      </c>
      <c r="O17" s="18">
        <f t="shared" si="1"/>
        <v>60</v>
      </c>
      <c r="P17" s="18">
        <f t="shared" si="2"/>
        <v>30</v>
      </c>
      <c r="Q17" s="121">
        <v>5.0</v>
      </c>
      <c r="R17" s="18">
        <f t="shared" si="3"/>
        <v>110</v>
      </c>
      <c r="S17" s="17" t="s">
        <v>2966</v>
      </c>
      <c r="T17" s="133" t="s">
        <v>2967</v>
      </c>
      <c r="U17" s="134" t="str">
        <f>HYPERLINK("https://drive.google.com/file/d/10ImP8jb_CCLVpuj7LB3Zr6gUTJANUtXC/view?usp=drivesdk","Uv-Vis (Udara)_Yusuf Kurnia Pamungkas_785")</f>
        <v>Uv-Vis (Udara)_Yusuf Kurnia Pamungkas_785</v>
      </c>
      <c r="V17" s="17" t="s">
        <v>2968</v>
      </c>
    </row>
    <row r="18">
      <c r="A18" s="295">
        <v>45555.0</v>
      </c>
      <c r="B18" s="295">
        <v>45555.0</v>
      </c>
      <c r="C18" s="121" t="s">
        <v>2902</v>
      </c>
      <c r="D18" s="121">
        <v>791.0</v>
      </c>
      <c r="E18" s="121" t="s">
        <v>2939</v>
      </c>
      <c r="F18" s="121" t="s">
        <v>2940</v>
      </c>
      <c r="G18" s="121" t="s">
        <v>1548</v>
      </c>
      <c r="H18" s="121" t="s">
        <v>621</v>
      </c>
      <c r="I18" s="121" t="s">
        <v>2905</v>
      </c>
      <c r="J18" s="121" t="s">
        <v>2939</v>
      </c>
      <c r="K18" s="121" t="s">
        <v>155</v>
      </c>
      <c r="L18" s="121">
        <v>5.0</v>
      </c>
      <c r="M18" s="296">
        <v>5000.0</v>
      </c>
      <c r="N18" s="121">
        <v>15.0</v>
      </c>
      <c r="O18" s="18">
        <f t="shared" si="1"/>
        <v>50</v>
      </c>
      <c r="P18" s="18">
        <f t="shared" si="2"/>
        <v>25</v>
      </c>
      <c r="Q18" s="121">
        <v>5.0</v>
      </c>
      <c r="R18" s="18">
        <f t="shared" si="3"/>
        <v>95</v>
      </c>
      <c r="S18" s="17" t="s">
        <v>2969</v>
      </c>
      <c r="T18" s="133" t="s">
        <v>2970</v>
      </c>
      <c r="U18" s="134" t="str">
        <f>HYPERLINK("https://drive.google.com/file/d/1-J4hf6V82ybCAxJV07LQDI58smI1eJ23/view?usp=drivesdk","Uv-Vis (Udara)_Riswanda Puspitasari_791")</f>
        <v>Uv-Vis (Udara)_Riswanda Puspitasari_791</v>
      </c>
      <c r="V18" s="17" t="s">
        <v>2968</v>
      </c>
    </row>
    <row r="19">
      <c r="A19" s="295">
        <v>45559.0</v>
      </c>
      <c r="B19" s="295">
        <v>45559.0</v>
      </c>
      <c r="C19" s="121" t="s">
        <v>2902</v>
      </c>
      <c r="D19" s="121">
        <v>794.0</v>
      </c>
      <c r="E19" s="121" t="s">
        <v>2939</v>
      </c>
      <c r="F19" s="121" t="s">
        <v>2940</v>
      </c>
      <c r="G19" s="121" t="s">
        <v>1548</v>
      </c>
      <c r="H19" s="121" t="s">
        <v>621</v>
      </c>
      <c r="I19" s="121" t="s">
        <v>2905</v>
      </c>
      <c r="J19" s="121" t="s">
        <v>2939</v>
      </c>
      <c r="K19" s="121" t="s">
        <v>155</v>
      </c>
      <c r="L19" s="121">
        <v>6.0</v>
      </c>
      <c r="M19" s="296">
        <v>5000.0</v>
      </c>
      <c r="N19" s="121">
        <v>15.0</v>
      </c>
      <c r="O19" s="18">
        <f t="shared" si="1"/>
        <v>60</v>
      </c>
      <c r="P19" s="18">
        <f t="shared" si="2"/>
        <v>30</v>
      </c>
      <c r="Q19" s="121">
        <v>5.0</v>
      </c>
      <c r="R19" s="18">
        <f t="shared" si="3"/>
        <v>110</v>
      </c>
      <c r="S19" s="17" t="s">
        <v>2971</v>
      </c>
      <c r="T19" s="133" t="s">
        <v>2972</v>
      </c>
      <c r="U19" s="134" t="str">
        <f>HYPERLINK("https://drive.google.com/file/d/1QmpOB-6_FnwPMG_kfcLKScl3sQZaY0V5/view?usp=drivesdk","Uv-Vis (Udara)_Riswanda Puspitasari_794")</f>
        <v>Uv-Vis (Udara)_Riswanda Puspitasari_794</v>
      </c>
      <c r="V19" s="17" t="s">
        <v>2973</v>
      </c>
    </row>
    <row r="20">
      <c r="A20" s="295">
        <v>45560.0</v>
      </c>
      <c r="B20" s="295">
        <v>45560.0</v>
      </c>
      <c r="C20" s="121" t="s">
        <v>2902</v>
      </c>
      <c r="D20" s="121">
        <v>800.0</v>
      </c>
      <c r="E20" s="121" t="s">
        <v>2915</v>
      </c>
      <c r="F20" s="121" t="s">
        <v>2916</v>
      </c>
      <c r="G20" s="121" t="s">
        <v>2036</v>
      </c>
      <c r="H20" s="121" t="s">
        <v>621</v>
      </c>
      <c r="I20" s="121" t="s">
        <v>2905</v>
      </c>
      <c r="J20" s="121" t="s">
        <v>2915</v>
      </c>
      <c r="K20" s="121" t="s">
        <v>155</v>
      </c>
      <c r="L20" s="121">
        <v>15.0</v>
      </c>
      <c r="M20" s="296">
        <v>5000.0</v>
      </c>
      <c r="N20" s="121">
        <v>15.0</v>
      </c>
      <c r="O20" s="18">
        <f t="shared" si="1"/>
        <v>150</v>
      </c>
      <c r="P20" s="18">
        <f t="shared" si="2"/>
        <v>75</v>
      </c>
      <c r="Q20" s="121">
        <v>5.0</v>
      </c>
      <c r="R20" s="18">
        <f t="shared" si="3"/>
        <v>245</v>
      </c>
      <c r="S20" s="17" t="s">
        <v>2974</v>
      </c>
      <c r="T20" s="133" t="s">
        <v>2975</v>
      </c>
      <c r="U20" s="134" t="str">
        <f>HYPERLINK("https://drive.google.com/file/d/10vfFQ82squX4WmV5_kT0GXew6X6DIydL/view?usp=drivesdk","Uv-Vis (Udara)_Yusuf Kurnia Pamungkas_800")</f>
        <v>Uv-Vis (Udara)_Yusuf Kurnia Pamungkas_800</v>
      </c>
      <c r="V20" s="17" t="s">
        <v>2976</v>
      </c>
    </row>
    <row r="21">
      <c r="A21" s="295">
        <v>45334.0</v>
      </c>
      <c r="B21" s="295">
        <v>45334.0</v>
      </c>
      <c r="C21" s="121" t="s">
        <v>2902</v>
      </c>
      <c r="D21" s="297">
        <v>148.0</v>
      </c>
      <c r="E21" s="298" t="s">
        <v>2977</v>
      </c>
      <c r="F21" s="298" t="s">
        <v>2978</v>
      </c>
      <c r="G21" s="121" t="s">
        <v>1132</v>
      </c>
      <c r="H21" s="121" t="s">
        <v>621</v>
      </c>
      <c r="I21" s="121" t="s">
        <v>2905</v>
      </c>
      <c r="J21" s="298" t="s">
        <v>2977</v>
      </c>
      <c r="K21" s="121" t="s">
        <v>155</v>
      </c>
      <c r="L21" s="121">
        <v>8.0</v>
      </c>
      <c r="M21" s="296">
        <v>2500.0</v>
      </c>
      <c r="N21" s="121">
        <v>15.0</v>
      </c>
      <c r="O21" s="18">
        <f t="shared" si="1"/>
        <v>80</v>
      </c>
      <c r="P21" s="18">
        <f t="shared" si="2"/>
        <v>40</v>
      </c>
      <c r="Q21" s="121">
        <v>5.0</v>
      </c>
      <c r="R21" s="18">
        <f t="shared" si="3"/>
        <v>140</v>
      </c>
      <c r="S21" s="17" t="s">
        <v>2979</v>
      </c>
      <c r="T21" s="133" t="s">
        <v>2980</v>
      </c>
      <c r="U21" s="134" t="str">
        <f>HYPERLINK("https://drive.google.com/file/d/1G1AYuw5IF6p1gy5FcwlxL4eBf33ry57n/view?usp=drivesdk","Uv-Vis (Udara)_Zulfana Qoulan Syadida_148")</f>
        <v>Uv-Vis (Udara)_Zulfana Qoulan Syadida_148</v>
      </c>
      <c r="V21" s="17" t="s">
        <v>2981</v>
      </c>
    </row>
    <row r="22">
      <c r="A22" s="295">
        <v>45562.0</v>
      </c>
      <c r="B22" s="295">
        <v>45562.0</v>
      </c>
      <c r="C22" s="121" t="s">
        <v>2902</v>
      </c>
      <c r="D22" s="121">
        <v>800.0</v>
      </c>
      <c r="E22" s="121" t="s">
        <v>2915</v>
      </c>
      <c r="F22" s="121" t="s">
        <v>2982</v>
      </c>
      <c r="G22" s="121" t="s">
        <v>2036</v>
      </c>
      <c r="H22" s="121" t="s">
        <v>621</v>
      </c>
      <c r="I22" s="121" t="s">
        <v>2905</v>
      </c>
      <c r="J22" s="298" t="s">
        <v>2977</v>
      </c>
      <c r="K22" s="121" t="s">
        <v>155</v>
      </c>
      <c r="L22" s="121">
        <v>8.0</v>
      </c>
      <c r="M22" s="296">
        <v>5000.0</v>
      </c>
      <c r="N22" s="121">
        <v>15.0</v>
      </c>
      <c r="O22" s="18">
        <f t="shared" si="1"/>
        <v>80</v>
      </c>
      <c r="P22" s="18">
        <f t="shared" si="2"/>
        <v>40</v>
      </c>
      <c r="Q22" s="121">
        <v>5.0</v>
      </c>
      <c r="R22" s="18">
        <f t="shared" si="3"/>
        <v>140</v>
      </c>
      <c r="S22" s="17" t="s">
        <v>2983</v>
      </c>
      <c r="T22" s="133" t="s">
        <v>2984</v>
      </c>
      <c r="U22" s="134" t="str">
        <f>HYPERLINK("https://drive.google.com/file/d/1BzNuRCD-sBmVOTH8LcQJOStxz5suXbus/view?usp=drivesdk","Uv-Vis (Udara)_Yusuf Kurnia Pamungkas_800")</f>
        <v>Uv-Vis (Udara)_Yusuf Kurnia Pamungkas_800</v>
      </c>
      <c r="V22" s="17" t="s">
        <v>2981</v>
      </c>
    </row>
    <row r="23">
      <c r="A23" s="295">
        <v>45565.0</v>
      </c>
      <c r="B23" s="295">
        <v>45565.0</v>
      </c>
      <c r="C23" s="121" t="s">
        <v>2902</v>
      </c>
      <c r="D23" s="121">
        <v>803.0</v>
      </c>
      <c r="E23" s="121" t="s">
        <v>2939</v>
      </c>
      <c r="F23" s="121" t="s">
        <v>2940</v>
      </c>
      <c r="G23" s="121" t="s">
        <v>1548</v>
      </c>
      <c r="H23" s="121" t="s">
        <v>621</v>
      </c>
      <c r="I23" s="121" t="s">
        <v>2905</v>
      </c>
      <c r="J23" s="121" t="s">
        <v>2939</v>
      </c>
      <c r="K23" s="121" t="s">
        <v>155</v>
      </c>
      <c r="L23" s="121">
        <v>6.0</v>
      </c>
      <c r="M23" s="296">
        <v>5000.0</v>
      </c>
      <c r="N23" s="121">
        <v>15.0</v>
      </c>
      <c r="O23" s="18">
        <f t="shared" si="1"/>
        <v>60</v>
      </c>
      <c r="P23" s="18">
        <f t="shared" si="2"/>
        <v>30</v>
      </c>
      <c r="Q23" s="121">
        <v>5.0</v>
      </c>
      <c r="R23" s="18">
        <f t="shared" si="3"/>
        <v>110</v>
      </c>
      <c r="S23" s="17" t="s">
        <v>2985</v>
      </c>
      <c r="T23" s="133" t="s">
        <v>2986</v>
      </c>
      <c r="U23" s="134" t="str">
        <f>HYPERLINK("https://drive.google.com/file/d/1ynp98ygIk88dbCl6fKBGROkO4mP8W_4h/view?usp=drivesdk","Uv-Vis (Udara)_Riswanda Puspitasari_803")</f>
        <v>Uv-Vis (Udara)_Riswanda Puspitasari_803</v>
      </c>
      <c r="V23" s="17" t="s">
        <v>2987</v>
      </c>
    </row>
    <row r="24">
      <c r="A24" s="295">
        <v>45427.0</v>
      </c>
      <c r="B24" s="295">
        <v>45427.0</v>
      </c>
      <c r="C24" s="121" t="s">
        <v>2902</v>
      </c>
      <c r="D24" s="121">
        <v>442.0</v>
      </c>
      <c r="E24" s="121" t="s">
        <v>2988</v>
      </c>
      <c r="F24" s="121" t="s">
        <v>2989</v>
      </c>
      <c r="G24" s="121" t="s">
        <v>1132</v>
      </c>
      <c r="H24" s="121" t="s">
        <v>621</v>
      </c>
      <c r="I24" s="121" t="s">
        <v>2905</v>
      </c>
      <c r="J24" s="121" t="s">
        <v>2988</v>
      </c>
      <c r="K24" s="121" t="s">
        <v>155</v>
      </c>
      <c r="L24" s="121">
        <v>5.0</v>
      </c>
      <c r="M24" s="296">
        <v>5000.0</v>
      </c>
      <c r="N24" s="121">
        <v>15.0</v>
      </c>
      <c r="O24" s="18">
        <f t="shared" si="1"/>
        <v>50</v>
      </c>
      <c r="P24" s="18">
        <f t="shared" si="2"/>
        <v>25</v>
      </c>
      <c r="Q24" s="121">
        <v>5.0</v>
      </c>
      <c r="R24" s="18">
        <f t="shared" si="3"/>
        <v>95</v>
      </c>
      <c r="S24" s="17" t="s">
        <v>2990</v>
      </c>
      <c r="T24" s="133" t="s">
        <v>2991</v>
      </c>
      <c r="U24" s="134" t="str">
        <f>HYPERLINK("https://drive.google.com/file/d/1xG3tHmRSANtBsZenNzltwhIT8oVfUbz6/view?usp=drivesdk","Uv-Vis (Udara)_Karima Majid_442")</f>
        <v>Uv-Vis (Udara)_Karima Majid_442</v>
      </c>
      <c r="V24" s="17" t="s">
        <v>2987</v>
      </c>
    </row>
    <row r="25">
      <c r="A25" s="295">
        <v>45568.0</v>
      </c>
      <c r="B25" s="295">
        <v>45568.0</v>
      </c>
      <c r="C25" s="121" t="s">
        <v>2902</v>
      </c>
      <c r="D25" s="121">
        <v>812.0</v>
      </c>
      <c r="E25" s="121" t="s">
        <v>2992</v>
      </c>
      <c r="F25" s="121">
        <v>8.07128802E8</v>
      </c>
      <c r="G25" s="121" t="s">
        <v>2045</v>
      </c>
      <c r="H25" s="121" t="s">
        <v>541</v>
      </c>
      <c r="I25" s="121" t="s">
        <v>2905</v>
      </c>
      <c r="J25" s="121" t="s">
        <v>2923</v>
      </c>
      <c r="K25" s="296" t="s">
        <v>2924</v>
      </c>
      <c r="L25" s="121">
        <v>8.0</v>
      </c>
      <c r="M25" s="296">
        <v>50000.0</v>
      </c>
      <c r="N25" s="121">
        <v>15.0</v>
      </c>
      <c r="O25" s="18">
        <f t="shared" si="1"/>
        <v>80</v>
      </c>
      <c r="P25" s="18">
        <f t="shared" si="2"/>
        <v>40</v>
      </c>
      <c r="Q25" s="121">
        <v>5.0</v>
      </c>
      <c r="R25" s="18">
        <f t="shared" si="3"/>
        <v>140</v>
      </c>
      <c r="S25" s="17" t="s">
        <v>2993</v>
      </c>
      <c r="T25" s="133" t="s">
        <v>2994</v>
      </c>
      <c r="U25" s="134" t="str">
        <f>HYPERLINK("https://drive.google.com/file/d/1nLoaP04Tq4APHsMpVbFuw5hwgnxox7JV/view?usp=drivesdk","Uv-Vis (Udara)_Hardani_812")</f>
        <v>Uv-Vis (Udara)_Hardani_812</v>
      </c>
      <c r="V25" s="17" t="s">
        <v>2995</v>
      </c>
    </row>
    <row r="26">
      <c r="A26" s="295">
        <v>45586.0</v>
      </c>
      <c r="B26" s="295">
        <v>45586.0</v>
      </c>
      <c r="C26" s="121" t="s">
        <v>2902</v>
      </c>
      <c r="D26" s="121">
        <v>839.0</v>
      </c>
      <c r="E26" s="121" t="s">
        <v>2996</v>
      </c>
      <c r="F26" s="121" t="s">
        <v>2997</v>
      </c>
      <c r="G26" s="121" t="s">
        <v>1548</v>
      </c>
      <c r="H26" s="121" t="s">
        <v>621</v>
      </c>
      <c r="I26" s="121" t="s">
        <v>2905</v>
      </c>
      <c r="J26" s="121" t="s">
        <v>2998</v>
      </c>
      <c r="K26" s="121" t="s">
        <v>2906</v>
      </c>
      <c r="L26" s="121">
        <v>3.0</v>
      </c>
      <c r="M26" s="296">
        <v>5000.0</v>
      </c>
      <c r="N26" s="121">
        <v>15.0</v>
      </c>
      <c r="O26" s="18">
        <f t="shared" si="1"/>
        <v>30</v>
      </c>
      <c r="P26" s="18">
        <f t="shared" si="2"/>
        <v>15</v>
      </c>
      <c r="Q26" s="121">
        <v>5.0</v>
      </c>
      <c r="R26" s="18">
        <f t="shared" si="3"/>
        <v>65</v>
      </c>
      <c r="S26" s="17" t="s">
        <v>2999</v>
      </c>
      <c r="T26" s="133" t="s">
        <v>3000</v>
      </c>
      <c r="U26" s="134" t="str">
        <f>HYPERLINK("https://drive.google.com/file/d/1avLZRqEln5h8MT_-8CKVbPUK30fUfuZr/view?usp=drivesdk","Uv-Vis (Udara)_Shasha Putri Andiyani_839")</f>
        <v>Uv-Vis (Udara)_Shasha Putri Andiyani_839</v>
      </c>
      <c r="V26" s="17" t="s">
        <v>3001</v>
      </c>
    </row>
    <row r="27">
      <c r="A27" s="295">
        <v>45597.0</v>
      </c>
      <c r="B27" s="295">
        <v>45597.0</v>
      </c>
      <c r="C27" s="121" t="s">
        <v>2902</v>
      </c>
      <c r="D27" s="121">
        <v>865.0</v>
      </c>
      <c r="E27" s="121" t="s">
        <v>2915</v>
      </c>
      <c r="F27" s="121" t="s">
        <v>2916</v>
      </c>
      <c r="G27" s="121" t="s">
        <v>2036</v>
      </c>
      <c r="H27" s="121" t="s">
        <v>621</v>
      </c>
      <c r="I27" s="121" t="s">
        <v>2905</v>
      </c>
      <c r="J27" s="121" t="s">
        <v>2915</v>
      </c>
      <c r="K27" s="121" t="s">
        <v>155</v>
      </c>
      <c r="L27" s="121">
        <v>18.0</v>
      </c>
      <c r="M27" s="296">
        <v>5000.0</v>
      </c>
      <c r="N27" s="121">
        <v>15.0</v>
      </c>
      <c r="O27" s="18">
        <f t="shared" si="1"/>
        <v>180</v>
      </c>
      <c r="P27" s="18">
        <f t="shared" si="2"/>
        <v>90</v>
      </c>
      <c r="Q27" s="121">
        <v>5.0</v>
      </c>
      <c r="R27" s="18">
        <f t="shared" si="3"/>
        <v>290</v>
      </c>
      <c r="S27" s="17" t="s">
        <v>3002</v>
      </c>
      <c r="T27" s="133" t="s">
        <v>3003</v>
      </c>
      <c r="U27" s="134" t="str">
        <f>HYPERLINK("https://drive.google.com/file/d/1OaSAWEiyELfDVZh29hBb4XIJxoqEPrh1/view?usp=drivesdk","Uv-Vis (Udara)_Yusuf Kurnia Pamungkas_865")</f>
        <v>Uv-Vis (Udara)_Yusuf Kurnia Pamungkas_865</v>
      </c>
      <c r="V27" s="17" t="s">
        <v>3004</v>
      </c>
    </row>
    <row r="28">
      <c r="A28" s="295">
        <v>45168.0</v>
      </c>
      <c r="B28" s="295">
        <v>45168.0</v>
      </c>
      <c r="C28" s="121" t="s">
        <v>2902</v>
      </c>
      <c r="D28" s="121">
        <v>751.0</v>
      </c>
      <c r="E28" s="121" t="s">
        <v>3005</v>
      </c>
      <c r="F28" s="217" t="s">
        <v>3006</v>
      </c>
      <c r="G28" s="217" t="s">
        <v>1132</v>
      </c>
      <c r="H28" s="121" t="s">
        <v>621</v>
      </c>
      <c r="I28" s="121" t="s">
        <v>2905</v>
      </c>
      <c r="J28" s="121" t="s">
        <v>3005</v>
      </c>
      <c r="K28" s="121" t="s">
        <v>155</v>
      </c>
      <c r="L28" s="121">
        <v>18.0</v>
      </c>
      <c r="M28" s="296">
        <v>2500.0</v>
      </c>
      <c r="N28" s="121">
        <v>15.0</v>
      </c>
      <c r="O28" s="18">
        <f t="shared" si="1"/>
        <v>180</v>
      </c>
      <c r="P28" s="18">
        <f t="shared" si="2"/>
        <v>90</v>
      </c>
      <c r="Q28" s="121">
        <v>5.0</v>
      </c>
      <c r="R28" s="18">
        <f t="shared" si="3"/>
        <v>290</v>
      </c>
      <c r="S28" s="17" t="s">
        <v>3007</v>
      </c>
      <c r="T28" s="133" t="s">
        <v>3008</v>
      </c>
      <c r="U28" s="134" t="str">
        <f>HYPERLINK("https://drive.google.com/file/d/11sQbzYgOvWu94S_qBLJSfiYFCR-85X4o/view?usp=drivesdk","Uv-Vis (Udara)_Salwa Nafisa Karim_751")</f>
        <v>Uv-Vis (Udara)_Salwa Nafisa Karim_751</v>
      </c>
      <c r="V28" s="17" t="s">
        <v>3009</v>
      </c>
    </row>
    <row r="29">
      <c r="A29" s="295">
        <v>45637.0</v>
      </c>
      <c r="B29" s="295">
        <v>45637.0</v>
      </c>
      <c r="C29" s="121" t="s">
        <v>2902</v>
      </c>
      <c r="D29" s="121">
        <v>929.0</v>
      </c>
      <c r="E29" s="121" t="s">
        <v>3010</v>
      </c>
      <c r="F29" s="121" t="s">
        <v>3011</v>
      </c>
      <c r="G29" s="121" t="s">
        <v>1548</v>
      </c>
      <c r="H29" s="121" t="s">
        <v>621</v>
      </c>
      <c r="I29" s="121" t="s">
        <v>2905</v>
      </c>
      <c r="J29" s="121" t="s">
        <v>3012</v>
      </c>
      <c r="K29" s="121" t="s">
        <v>2906</v>
      </c>
      <c r="L29" s="121">
        <v>1.0</v>
      </c>
      <c r="M29" s="296">
        <v>5000.0</v>
      </c>
      <c r="N29" s="121">
        <v>15.0</v>
      </c>
      <c r="O29" s="18">
        <f t="shared" si="1"/>
        <v>10</v>
      </c>
      <c r="P29" s="18">
        <f t="shared" si="2"/>
        <v>5</v>
      </c>
      <c r="Q29" s="121">
        <v>5.0</v>
      </c>
      <c r="R29" s="18">
        <f t="shared" si="3"/>
        <v>35</v>
      </c>
      <c r="S29" s="17" t="s">
        <v>3013</v>
      </c>
      <c r="T29" s="133" t="s">
        <v>3014</v>
      </c>
      <c r="U29" s="134" t="str">
        <f>HYPERLINK("https://drive.google.com/file/d/1SL8ckhNZH4h9CZ1PT-Sdj-rnHexs0BAs/view?usp=drivesdk","Uv-Vis (Udara)_Andika Setya Aspana_929")</f>
        <v>Uv-Vis (Udara)_Andika Setya Aspana_929</v>
      </c>
      <c r="V29" s="17" t="s">
        <v>3015</v>
      </c>
    </row>
    <row r="30">
      <c r="A30" s="295">
        <v>45660.0</v>
      </c>
      <c r="B30" s="295">
        <v>45659.0</v>
      </c>
      <c r="C30" s="121" t="s">
        <v>2902</v>
      </c>
      <c r="D30" s="121">
        <v>971.0</v>
      </c>
      <c r="E30" s="121" t="s">
        <v>2506</v>
      </c>
      <c r="F30" s="121" t="s">
        <v>2507</v>
      </c>
      <c r="G30" s="121" t="s">
        <v>799</v>
      </c>
      <c r="H30" s="121" t="s">
        <v>621</v>
      </c>
      <c r="I30" s="121" t="s">
        <v>2905</v>
      </c>
      <c r="J30" s="121" t="s">
        <v>2506</v>
      </c>
      <c r="K30" s="121" t="s">
        <v>155</v>
      </c>
      <c r="L30" s="121">
        <v>1.0</v>
      </c>
      <c r="M30" s="296">
        <v>5000.0</v>
      </c>
      <c r="N30" s="121">
        <v>15.0</v>
      </c>
      <c r="O30" s="18">
        <f t="shared" si="1"/>
        <v>10</v>
      </c>
      <c r="P30" s="18">
        <f t="shared" si="2"/>
        <v>5</v>
      </c>
      <c r="Q30" s="121">
        <v>5.0</v>
      </c>
      <c r="R30" s="18">
        <f t="shared" si="3"/>
        <v>35</v>
      </c>
      <c r="S30" s="17" t="s">
        <v>3016</v>
      </c>
      <c r="T30" s="133" t="s">
        <v>3017</v>
      </c>
      <c r="U30" s="134" t="str">
        <f>HYPERLINK("https://drive.google.com/file/d/1aLKcbcSclogrxdCVLna5U6Brdg7kXYyF/view?usp=drivesdk","Uv-Vis (Udara)_Abiyoga Nugroho_971")</f>
        <v>Uv-Vis (Udara)_Abiyoga Nugroho_971</v>
      </c>
      <c r="V30" s="17" t="s">
        <v>3018</v>
      </c>
    </row>
    <row r="31">
      <c r="A31" s="295">
        <v>45666.0</v>
      </c>
      <c r="B31" s="295">
        <v>45672.0</v>
      </c>
      <c r="C31" s="121" t="s">
        <v>2902</v>
      </c>
      <c r="D31" s="121">
        <v>8.0</v>
      </c>
      <c r="E31" s="121" t="s">
        <v>3019</v>
      </c>
      <c r="F31" s="121" t="s">
        <v>3020</v>
      </c>
      <c r="G31" s="121" t="s">
        <v>3021</v>
      </c>
      <c r="H31" s="121" t="s">
        <v>541</v>
      </c>
      <c r="I31" s="121" t="s">
        <v>2905</v>
      </c>
      <c r="J31" s="121" t="s">
        <v>2923</v>
      </c>
      <c r="K31" s="121" t="s">
        <v>2924</v>
      </c>
      <c r="L31" s="121">
        <v>12.0</v>
      </c>
      <c r="M31" s="296">
        <v>60000.0</v>
      </c>
      <c r="N31" s="121">
        <v>15.0</v>
      </c>
      <c r="O31" s="18">
        <f t="shared" si="1"/>
        <v>120</v>
      </c>
      <c r="P31" s="18">
        <f t="shared" si="2"/>
        <v>60</v>
      </c>
      <c r="Q31" s="121">
        <v>5.0</v>
      </c>
      <c r="R31" s="18">
        <f t="shared" si="3"/>
        <v>200</v>
      </c>
      <c r="S31" s="17" t="s">
        <v>3022</v>
      </c>
      <c r="T31" s="133" t="s">
        <v>3023</v>
      </c>
      <c r="U31" s="134" t="str">
        <f>HYPERLINK("https://drive.google.com/file/d/1xnlDfn3ipegNWafOIFJqLDnAAyBkOXTT/view?usp=drivesdk","Uv-Vis (Udara)_Putri Elvia Sari_8")</f>
        <v>Uv-Vis (Udara)_Putri Elvia Sari_8</v>
      </c>
      <c r="V31" s="17" t="s">
        <v>3024</v>
      </c>
    </row>
    <row r="32">
      <c r="A32" s="295">
        <v>45673.0</v>
      </c>
      <c r="B32" s="295">
        <v>45673.0</v>
      </c>
      <c r="C32" s="121" t="s">
        <v>2902</v>
      </c>
      <c r="D32" s="157" t="s">
        <v>3025</v>
      </c>
      <c r="E32" s="121" t="s">
        <v>2996</v>
      </c>
      <c r="F32" s="121" t="s">
        <v>2997</v>
      </c>
      <c r="G32" s="121" t="s">
        <v>1598</v>
      </c>
      <c r="H32" s="121" t="s">
        <v>621</v>
      </c>
      <c r="I32" s="121" t="s">
        <v>2905</v>
      </c>
      <c r="J32" s="121" t="s">
        <v>2996</v>
      </c>
      <c r="K32" s="121" t="s">
        <v>155</v>
      </c>
      <c r="L32" s="121">
        <v>3.0</v>
      </c>
      <c r="M32" s="296">
        <v>50000.0</v>
      </c>
      <c r="N32" s="121">
        <v>15.0</v>
      </c>
      <c r="O32" s="18">
        <f t="shared" si="1"/>
        <v>30</v>
      </c>
      <c r="P32" s="18">
        <f t="shared" si="2"/>
        <v>15</v>
      </c>
      <c r="Q32" s="121">
        <v>5.0</v>
      </c>
      <c r="R32" s="18">
        <f t="shared" si="3"/>
        <v>65</v>
      </c>
      <c r="S32" s="17" t="s">
        <v>3026</v>
      </c>
      <c r="T32" s="133" t="s">
        <v>3027</v>
      </c>
      <c r="U32" s="134" t="str">
        <f>HYPERLINK("https://drive.google.com/file/d/13xIkfoYqpcci2zYyJfsJuTPUzc8hQ32f/view?usp=drivesdk","Uv-Vis (Udara)_Shasha Putri Andiyani_024")</f>
        <v>Uv-Vis (Udara)_Shasha Putri Andiyani_024</v>
      </c>
      <c r="V32" s="17" t="s">
        <v>3028</v>
      </c>
    </row>
    <row r="33">
      <c r="A33" s="295">
        <v>45677.0</v>
      </c>
      <c r="B33" s="295">
        <v>45677.0</v>
      </c>
      <c r="C33" s="121" t="s">
        <v>2902</v>
      </c>
      <c r="D33" s="157" t="s">
        <v>3029</v>
      </c>
      <c r="E33" s="121" t="s">
        <v>3010</v>
      </c>
      <c r="F33" s="121" t="s">
        <v>3011</v>
      </c>
      <c r="G33" s="121" t="s">
        <v>1548</v>
      </c>
      <c r="H33" s="121" t="s">
        <v>621</v>
      </c>
      <c r="I33" s="121" t="s">
        <v>3030</v>
      </c>
      <c r="J33" s="121" t="s">
        <v>3010</v>
      </c>
      <c r="K33" s="121" t="s">
        <v>155</v>
      </c>
      <c r="L33" s="121">
        <v>1.0</v>
      </c>
      <c r="M33" s="296">
        <v>50000.0</v>
      </c>
      <c r="N33" s="121">
        <v>15.0</v>
      </c>
      <c r="O33" s="18">
        <f t="shared" si="1"/>
        <v>10</v>
      </c>
      <c r="P33" s="18">
        <f t="shared" si="2"/>
        <v>5</v>
      </c>
      <c r="Q33" s="121">
        <v>5.0</v>
      </c>
      <c r="R33" s="18">
        <f t="shared" si="3"/>
        <v>35</v>
      </c>
      <c r="S33" s="17" t="s">
        <v>3031</v>
      </c>
      <c r="T33" s="223" t="s">
        <v>3032</v>
      </c>
      <c r="U33" s="134" t="str">
        <f>HYPERLINK("https://drive.google.com/file/d/16oc8l9hykRyxnkvImmfeIankqyKYWNc4/view?usp=drivesdk","Uv-Vis (Udara)_Andika Setya Aspana_030")</f>
        <v>Uv-Vis (Udara)_Andika Setya Aspana_030</v>
      </c>
      <c r="V33" s="17" t="s">
        <v>3033</v>
      </c>
    </row>
    <row r="34">
      <c r="A34" s="295">
        <v>45691.0</v>
      </c>
      <c r="B34" s="295">
        <v>45691.0</v>
      </c>
      <c r="C34" s="121" t="s">
        <v>2902</v>
      </c>
      <c r="D34" s="157" t="s">
        <v>3034</v>
      </c>
      <c r="E34" s="121" t="s">
        <v>2731</v>
      </c>
      <c r="F34" s="121" t="s">
        <v>2732</v>
      </c>
      <c r="G34" s="121" t="s">
        <v>1132</v>
      </c>
      <c r="H34" s="121" t="s">
        <v>621</v>
      </c>
      <c r="I34" s="121" t="s">
        <v>3030</v>
      </c>
      <c r="J34" s="121" t="s">
        <v>2731</v>
      </c>
      <c r="K34" s="121" t="s">
        <v>155</v>
      </c>
      <c r="L34" s="121">
        <v>1.0</v>
      </c>
      <c r="M34" s="296">
        <v>50000.0</v>
      </c>
      <c r="N34" s="121">
        <v>15.0</v>
      </c>
      <c r="O34" s="18">
        <f t="shared" si="1"/>
        <v>10</v>
      </c>
      <c r="P34" s="18">
        <f t="shared" si="2"/>
        <v>5</v>
      </c>
      <c r="Q34" s="121">
        <v>5.0</v>
      </c>
      <c r="R34" s="18">
        <f t="shared" si="3"/>
        <v>35</v>
      </c>
      <c r="S34" s="17" t="s">
        <v>3035</v>
      </c>
      <c r="T34" s="133" t="s">
        <v>3036</v>
      </c>
      <c r="U34" s="134" t="str">
        <f>HYPERLINK("https://drive.google.com/file/d/1DWRJG-bDLJ-r1XrYiY-aDw0mxW7YceQF/view?usp=drivesdk","Uv-Vis (Udara)_Muhammad Iqbal Juniardi_070")</f>
        <v>Uv-Vis (Udara)_Muhammad Iqbal Juniardi_070</v>
      </c>
      <c r="V34" s="17" t="s">
        <v>3037</v>
      </c>
    </row>
    <row r="35">
      <c r="A35" s="295">
        <v>45694.0</v>
      </c>
      <c r="B35" s="295">
        <v>45694.0</v>
      </c>
      <c r="C35" s="121" t="s">
        <v>2902</v>
      </c>
      <c r="D35" s="157" t="s">
        <v>3038</v>
      </c>
      <c r="E35" s="121" t="s">
        <v>2915</v>
      </c>
      <c r="F35" s="121" t="s">
        <v>2916</v>
      </c>
      <c r="G35" s="121" t="s">
        <v>3039</v>
      </c>
      <c r="H35" s="121" t="s">
        <v>621</v>
      </c>
      <c r="I35" s="121" t="s">
        <v>2905</v>
      </c>
      <c r="J35" s="121" t="s">
        <v>2915</v>
      </c>
      <c r="K35" s="121" t="s">
        <v>155</v>
      </c>
      <c r="L35" s="121">
        <v>20.0</v>
      </c>
      <c r="M35" s="296">
        <v>5000.0</v>
      </c>
      <c r="N35" s="121">
        <v>15.0</v>
      </c>
      <c r="O35" s="18">
        <f t="shared" si="1"/>
        <v>200</v>
      </c>
      <c r="P35" s="18">
        <f t="shared" si="2"/>
        <v>100</v>
      </c>
      <c r="Q35" s="121">
        <v>5.0</v>
      </c>
      <c r="R35" s="18">
        <f t="shared" si="3"/>
        <v>320</v>
      </c>
      <c r="S35" s="17" t="s">
        <v>3040</v>
      </c>
      <c r="T35" s="133" t="s">
        <v>3041</v>
      </c>
      <c r="U35" s="134" t="str">
        <f>HYPERLINK("https://drive.google.com/file/d/1bDi79oBAIVMUeKr3VlYWfiPI2UKGEM8t/view?usp=drivesdk","Uv-Vis (Udara)_Yusuf Kurnia Pamungkas_080")</f>
        <v>Uv-Vis (Udara)_Yusuf Kurnia Pamungkas_080</v>
      </c>
      <c r="V35" s="17" t="s">
        <v>3042</v>
      </c>
    </row>
    <row r="36">
      <c r="A36" s="295">
        <v>45698.0</v>
      </c>
      <c r="B36" s="295">
        <v>45698.0</v>
      </c>
      <c r="C36" s="121" t="s">
        <v>2902</v>
      </c>
      <c r="D36" s="157" t="s">
        <v>3043</v>
      </c>
      <c r="E36" s="121" t="s">
        <v>2915</v>
      </c>
      <c r="F36" s="121" t="s">
        <v>2916</v>
      </c>
      <c r="G36" s="121" t="s">
        <v>3039</v>
      </c>
      <c r="H36" s="121" t="s">
        <v>621</v>
      </c>
      <c r="I36" s="121" t="s">
        <v>2905</v>
      </c>
      <c r="J36" s="121" t="s">
        <v>2915</v>
      </c>
      <c r="K36" s="121" t="s">
        <v>155</v>
      </c>
      <c r="L36" s="121">
        <v>15.0</v>
      </c>
      <c r="M36" s="296">
        <v>5000.0</v>
      </c>
      <c r="N36" s="121">
        <v>15.0</v>
      </c>
      <c r="O36" s="18">
        <f t="shared" si="1"/>
        <v>150</v>
      </c>
      <c r="P36" s="18">
        <f t="shared" si="2"/>
        <v>75</v>
      </c>
      <c r="Q36" s="121">
        <v>5.0</v>
      </c>
      <c r="R36" s="18">
        <f t="shared" si="3"/>
        <v>245</v>
      </c>
      <c r="S36" s="17" t="s">
        <v>3044</v>
      </c>
      <c r="T36" s="133" t="s">
        <v>3045</v>
      </c>
      <c r="U36" s="134" t="str">
        <f>HYPERLINK("https://drive.google.com/file/d/1lDEk29yh-fqSqoh0M-eKLYVfD3tINzHT/view?usp=drivesdk","Uv-Vis (Udara)_Yusuf Kurnia Pamungkas_085")</f>
        <v>Uv-Vis (Udara)_Yusuf Kurnia Pamungkas_085</v>
      </c>
      <c r="V36" s="17" t="s">
        <v>3046</v>
      </c>
    </row>
    <row r="37">
      <c r="A37" s="295">
        <v>45698.0</v>
      </c>
      <c r="B37" s="295">
        <v>45698.0</v>
      </c>
      <c r="C37" s="121" t="s">
        <v>2902</v>
      </c>
      <c r="D37" s="157" t="s">
        <v>3047</v>
      </c>
      <c r="E37" s="121" t="s">
        <v>3048</v>
      </c>
      <c r="F37" s="121" t="s">
        <v>3049</v>
      </c>
      <c r="G37" s="121" t="s">
        <v>1872</v>
      </c>
      <c r="H37" s="121" t="s">
        <v>621</v>
      </c>
      <c r="I37" s="121" t="s">
        <v>2905</v>
      </c>
      <c r="J37" s="121" t="s">
        <v>3048</v>
      </c>
      <c r="K37" s="121" t="s">
        <v>155</v>
      </c>
      <c r="L37" s="121">
        <v>7.0</v>
      </c>
      <c r="M37" s="296">
        <v>5000.0</v>
      </c>
      <c r="N37" s="121">
        <v>15.0</v>
      </c>
      <c r="O37" s="18">
        <f t="shared" si="1"/>
        <v>70</v>
      </c>
      <c r="P37" s="18">
        <f t="shared" si="2"/>
        <v>35</v>
      </c>
      <c r="Q37" s="121">
        <v>5.0</v>
      </c>
      <c r="R37" s="18">
        <f t="shared" si="3"/>
        <v>125</v>
      </c>
      <c r="S37" s="17" t="s">
        <v>3050</v>
      </c>
      <c r="T37" s="133" t="s">
        <v>3051</v>
      </c>
      <c r="U37" s="134" t="str">
        <f>HYPERLINK("https://drive.google.com/file/d/1TNCDqGCd4K3OyFaBZVDVgP5mWkjN_6Si/view?usp=drivesdk","Uv-Vis (Udara)_Sajdaa' Faatimah_086")</f>
        <v>Uv-Vis (Udara)_Sajdaa' Faatimah_086</v>
      </c>
      <c r="V37" s="17" t="s">
        <v>3052</v>
      </c>
    </row>
    <row r="38">
      <c r="A38" s="295">
        <v>45706.0</v>
      </c>
      <c r="B38" s="295">
        <v>45707.0</v>
      </c>
      <c r="C38" s="121" t="s">
        <v>2902</v>
      </c>
      <c r="D38" s="157" t="s">
        <v>3053</v>
      </c>
      <c r="E38" s="121" t="s">
        <v>2915</v>
      </c>
      <c r="F38" s="121" t="s">
        <v>2916</v>
      </c>
      <c r="G38" s="121" t="s">
        <v>3039</v>
      </c>
      <c r="H38" s="121" t="s">
        <v>621</v>
      </c>
      <c r="I38" s="121" t="s">
        <v>2905</v>
      </c>
      <c r="J38" s="121" t="s">
        <v>2915</v>
      </c>
      <c r="K38" s="121" t="s">
        <v>155</v>
      </c>
      <c r="L38" s="121">
        <v>24.0</v>
      </c>
      <c r="M38" s="296">
        <v>5000.0</v>
      </c>
      <c r="N38" s="121">
        <v>15.0</v>
      </c>
      <c r="O38" s="18">
        <f t="shared" si="1"/>
        <v>240</v>
      </c>
      <c r="P38" s="18">
        <f t="shared" si="2"/>
        <v>120</v>
      </c>
      <c r="Q38" s="121">
        <v>5.0</v>
      </c>
      <c r="R38" s="18">
        <f t="shared" si="3"/>
        <v>380</v>
      </c>
      <c r="S38" s="17" t="s">
        <v>3054</v>
      </c>
      <c r="T38" s="133" t="s">
        <v>3055</v>
      </c>
      <c r="U38" s="134" t="str">
        <f>HYPERLINK("https://drive.google.com/file/d/1h2jIEKBtjONrfyte43YJSuL2pSLUkl_v/view?usp=drivesdk","Uv-Vis (Udara)_Yusuf Kurnia Pamungkas_107")</f>
        <v>Uv-Vis (Udara)_Yusuf Kurnia Pamungkas_107</v>
      </c>
      <c r="V38" s="17" t="s">
        <v>3056</v>
      </c>
    </row>
    <row r="39">
      <c r="A39" s="295">
        <v>45708.0</v>
      </c>
      <c r="B39" s="295">
        <v>45708.0</v>
      </c>
      <c r="C39" s="121" t="s">
        <v>2902</v>
      </c>
      <c r="D39" s="121">
        <v>111.0</v>
      </c>
      <c r="E39" s="121" t="s">
        <v>2548</v>
      </c>
      <c r="F39" s="121" t="s">
        <v>2549</v>
      </c>
      <c r="G39" s="121" t="s">
        <v>3057</v>
      </c>
      <c r="H39" s="121" t="s">
        <v>621</v>
      </c>
      <c r="I39" s="121" t="s">
        <v>2905</v>
      </c>
      <c r="J39" s="121" t="s">
        <v>3058</v>
      </c>
      <c r="K39" s="121" t="s">
        <v>2906</v>
      </c>
      <c r="L39" s="121">
        <v>2.0</v>
      </c>
      <c r="M39" s="296">
        <v>50000.0</v>
      </c>
      <c r="N39" s="121">
        <v>15.0</v>
      </c>
      <c r="O39" s="18">
        <f t="shared" si="1"/>
        <v>20</v>
      </c>
      <c r="P39" s="18">
        <f t="shared" si="2"/>
        <v>10</v>
      </c>
      <c r="Q39" s="121">
        <v>5.0</v>
      </c>
      <c r="R39" s="18">
        <f t="shared" si="3"/>
        <v>50</v>
      </c>
      <c r="S39" s="17" t="s">
        <v>3059</v>
      </c>
      <c r="T39" s="133" t="s">
        <v>3060</v>
      </c>
      <c r="U39" s="134" t="str">
        <f>HYPERLINK("https://drive.google.com/file/d/1lV6_wM59am5ELsOR-j--wGmWuedn9mFI/view?usp=drivesdk","Uv-Vis (Udara)_Dofito Hanifah Kusindarto_111")</f>
        <v>Uv-Vis (Udara)_Dofito Hanifah Kusindarto_111</v>
      </c>
      <c r="V39" s="17" t="s">
        <v>3061</v>
      </c>
    </row>
    <row r="40">
      <c r="A40" s="295">
        <v>45713.0</v>
      </c>
      <c r="B40" s="295">
        <v>45713.0</v>
      </c>
      <c r="C40" s="121" t="s">
        <v>2902</v>
      </c>
      <c r="D40" s="121">
        <v>113.0</v>
      </c>
      <c r="E40" s="121" t="s">
        <v>2548</v>
      </c>
      <c r="F40" s="121" t="s">
        <v>2549</v>
      </c>
      <c r="G40" s="121" t="s">
        <v>3057</v>
      </c>
      <c r="H40" s="121" t="s">
        <v>621</v>
      </c>
      <c r="I40" s="121" t="s">
        <v>2905</v>
      </c>
      <c r="J40" s="121" t="s">
        <v>2548</v>
      </c>
      <c r="K40" s="121" t="s">
        <v>155</v>
      </c>
      <c r="L40" s="121">
        <v>5.0</v>
      </c>
      <c r="M40" s="296">
        <v>5000.0</v>
      </c>
      <c r="N40" s="121">
        <v>15.0</v>
      </c>
      <c r="O40" s="18">
        <f t="shared" si="1"/>
        <v>50</v>
      </c>
      <c r="P40" s="18">
        <f t="shared" si="2"/>
        <v>25</v>
      </c>
      <c r="Q40" s="121">
        <v>5.0</v>
      </c>
      <c r="R40" s="18">
        <f t="shared" si="3"/>
        <v>95</v>
      </c>
      <c r="S40" s="17" t="s">
        <v>3062</v>
      </c>
      <c r="T40" s="133" t="s">
        <v>3063</v>
      </c>
      <c r="U40" s="134" t="str">
        <f>HYPERLINK("https://drive.google.com/file/d/1qhXgfYI5TorvAhTr5ugIQuQHX_SDXUYu/view?usp=drivesdk","Uv-Vis (Udara)_Dofito Hanifah Kusindarto_113")</f>
        <v>Uv-Vis (Udara)_Dofito Hanifah Kusindarto_113</v>
      </c>
      <c r="V40" s="17" t="s">
        <v>3064</v>
      </c>
    </row>
    <row r="41">
      <c r="A41" s="295">
        <v>45713.0</v>
      </c>
      <c r="B41" s="295">
        <v>45713.0</v>
      </c>
      <c r="C41" s="121" t="s">
        <v>2902</v>
      </c>
      <c r="D41" s="121">
        <v>130.0</v>
      </c>
      <c r="E41" s="121" t="s">
        <v>2108</v>
      </c>
      <c r="F41" s="121" t="s">
        <v>2109</v>
      </c>
      <c r="G41" s="121" t="s">
        <v>3057</v>
      </c>
      <c r="H41" s="121" t="s">
        <v>621</v>
      </c>
      <c r="I41" s="121" t="s">
        <v>2905</v>
      </c>
      <c r="J41" s="121" t="s">
        <v>3065</v>
      </c>
      <c r="K41" s="121" t="s">
        <v>155</v>
      </c>
      <c r="L41" s="121">
        <v>1.0</v>
      </c>
      <c r="M41" s="296">
        <v>50000.0</v>
      </c>
      <c r="N41" s="121">
        <v>15.0</v>
      </c>
      <c r="O41" s="18">
        <f t="shared" si="1"/>
        <v>10</v>
      </c>
      <c r="P41" s="18">
        <f t="shared" si="2"/>
        <v>5</v>
      </c>
      <c r="Q41" s="121">
        <v>5.0</v>
      </c>
      <c r="R41" s="18">
        <f t="shared" si="3"/>
        <v>35</v>
      </c>
      <c r="S41" s="17" t="s">
        <v>3066</v>
      </c>
      <c r="T41" s="133" t="s">
        <v>3067</v>
      </c>
      <c r="U41" s="134" t="str">
        <f>HYPERLINK("https://drive.google.com/file/d/1OnXfsH-CenA_ImjwvvnqJg-P0aOaGbHa/view?usp=drivesdk","Uv-Vis (Udara)_Rizqi Apriliyani_130")</f>
        <v>Uv-Vis (Udara)_Rizqi Apriliyani_130</v>
      </c>
      <c r="V41" s="17" t="s">
        <v>3064</v>
      </c>
    </row>
    <row r="42">
      <c r="A42" s="295">
        <v>45713.0</v>
      </c>
      <c r="B42" s="295">
        <v>45713.0</v>
      </c>
      <c r="C42" s="121" t="s">
        <v>2902</v>
      </c>
      <c r="D42" s="121">
        <v>131.0</v>
      </c>
      <c r="E42" s="121" t="s">
        <v>2548</v>
      </c>
      <c r="F42" s="121" t="s">
        <v>775</v>
      </c>
      <c r="G42" s="121" t="s">
        <v>3057</v>
      </c>
      <c r="H42" s="121" t="s">
        <v>621</v>
      </c>
      <c r="I42" s="121" t="s">
        <v>2905</v>
      </c>
      <c r="J42" s="121" t="s">
        <v>2548</v>
      </c>
      <c r="K42" s="121" t="s">
        <v>155</v>
      </c>
      <c r="L42" s="121">
        <v>1.0</v>
      </c>
      <c r="M42" s="296">
        <v>50000.0</v>
      </c>
      <c r="N42" s="121">
        <v>15.0</v>
      </c>
      <c r="O42" s="18">
        <f t="shared" si="1"/>
        <v>10</v>
      </c>
      <c r="P42" s="18">
        <f t="shared" si="2"/>
        <v>5</v>
      </c>
      <c r="Q42" s="121">
        <v>5.0</v>
      </c>
      <c r="R42" s="18">
        <f t="shared" si="3"/>
        <v>35</v>
      </c>
      <c r="S42" s="17" t="s">
        <v>3068</v>
      </c>
      <c r="T42" s="133" t="s">
        <v>3069</v>
      </c>
      <c r="U42" s="134" t="str">
        <f>HYPERLINK("https://drive.google.com/file/d/1AKpG5Bjd_3JmAuyeFECSRssp4v8JdL3c/view?usp=drivesdk","Uv-Vis (Udara)_Dofito Hanifah Kusindarto_131")</f>
        <v>Uv-Vis (Udara)_Dofito Hanifah Kusindarto_131</v>
      </c>
      <c r="V42" s="17" t="s">
        <v>3070</v>
      </c>
    </row>
    <row r="43">
      <c r="A43" s="295">
        <v>45713.0</v>
      </c>
      <c r="B43" s="295">
        <v>45713.0</v>
      </c>
      <c r="C43" s="121" t="s">
        <v>2902</v>
      </c>
      <c r="D43" s="121">
        <v>132.0</v>
      </c>
      <c r="E43" s="121" t="s">
        <v>2108</v>
      </c>
      <c r="F43" s="121" t="s">
        <v>2109</v>
      </c>
      <c r="G43" s="121" t="s">
        <v>3057</v>
      </c>
      <c r="H43" s="121" t="s">
        <v>621</v>
      </c>
      <c r="I43" s="121" t="s">
        <v>2905</v>
      </c>
      <c r="J43" s="121" t="s">
        <v>3071</v>
      </c>
      <c r="K43" s="121" t="s">
        <v>2906</v>
      </c>
      <c r="L43" s="121">
        <v>6.0</v>
      </c>
      <c r="M43" s="296">
        <v>5000.0</v>
      </c>
      <c r="N43" s="121">
        <v>15.0</v>
      </c>
      <c r="O43" s="18">
        <f t="shared" si="1"/>
        <v>60</v>
      </c>
      <c r="P43" s="18">
        <f t="shared" si="2"/>
        <v>30</v>
      </c>
      <c r="Q43" s="121">
        <v>5.0</v>
      </c>
      <c r="R43" s="18">
        <f t="shared" si="3"/>
        <v>110</v>
      </c>
      <c r="S43" s="17" t="s">
        <v>3072</v>
      </c>
      <c r="T43" s="133" t="s">
        <v>3073</v>
      </c>
      <c r="U43" s="134" t="str">
        <f>HYPERLINK("https://drive.google.com/file/d/1s9rvwJ3GG8ubkfuKzYTrWoY3ADTfMeFW/view?usp=drivesdk","Uv-Vis (Udara)_Rizqi Apriliyani_132")</f>
        <v>Uv-Vis (Udara)_Rizqi Apriliyani_132</v>
      </c>
      <c r="V43" s="17" t="s">
        <v>3070</v>
      </c>
    </row>
    <row r="44">
      <c r="A44" s="295">
        <v>45712.0</v>
      </c>
      <c r="B44" s="295">
        <v>45712.0</v>
      </c>
      <c r="C44" s="121" t="s">
        <v>2902</v>
      </c>
      <c r="D44" s="121">
        <v>115.0</v>
      </c>
      <c r="E44" s="121" t="s">
        <v>2915</v>
      </c>
      <c r="F44" s="121" t="s">
        <v>2916</v>
      </c>
      <c r="G44" s="121" t="s">
        <v>3039</v>
      </c>
      <c r="H44" s="121" t="s">
        <v>621</v>
      </c>
      <c r="I44" s="121" t="s">
        <v>2905</v>
      </c>
      <c r="J44" s="121" t="s">
        <v>2915</v>
      </c>
      <c r="K44" s="121" t="s">
        <v>155</v>
      </c>
      <c r="L44" s="121">
        <v>24.0</v>
      </c>
      <c r="M44" s="296">
        <v>5000.0</v>
      </c>
      <c r="N44" s="121">
        <v>15.0</v>
      </c>
      <c r="O44" s="18">
        <f t="shared" si="1"/>
        <v>240</v>
      </c>
      <c r="P44" s="18">
        <f t="shared" si="2"/>
        <v>120</v>
      </c>
      <c r="Q44" s="121">
        <v>5.0</v>
      </c>
      <c r="R44" s="18">
        <f t="shared" si="3"/>
        <v>380</v>
      </c>
      <c r="S44" s="17" t="s">
        <v>3074</v>
      </c>
      <c r="T44" s="133" t="s">
        <v>3075</v>
      </c>
      <c r="U44" s="134" t="str">
        <f>HYPERLINK("https://drive.google.com/file/d/1ceoXSzKSua6QIpJ9EJsEdYMcB37mkXFA/view?usp=drivesdk","Uv-Vis (Udara)_Yusuf Kurnia Pamungkas_115")</f>
        <v>Uv-Vis (Udara)_Yusuf Kurnia Pamungkas_115</v>
      </c>
      <c r="V44" s="17" t="s">
        <v>3076</v>
      </c>
    </row>
    <row r="45">
      <c r="A45" s="295">
        <v>45719.0</v>
      </c>
      <c r="B45" s="295">
        <v>45719.0</v>
      </c>
      <c r="C45" s="121" t="s">
        <v>2902</v>
      </c>
      <c r="D45" s="121">
        <v>143.0</v>
      </c>
      <c r="E45" s="121" t="s">
        <v>3077</v>
      </c>
      <c r="F45" s="121" t="s">
        <v>1492</v>
      </c>
      <c r="G45" s="121" t="s">
        <v>1598</v>
      </c>
      <c r="H45" s="121" t="s">
        <v>621</v>
      </c>
      <c r="I45" s="121" t="s">
        <v>2905</v>
      </c>
      <c r="J45" s="121" t="s">
        <v>3078</v>
      </c>
      <c r="K45" s="121" t="s">
        <v>2906</v>
      </c>
      <c r="L45" s="121">
        <v>3.0</v>
      </c>
      <c r="M45" s="296">
        <v>50000.0</v>
      </c>
      <c r="N45" s="121">
        <v>15.0</v>
      </c>
      <c r="O45" s="18">
        <f t="shared" si="1"/>
        <v>30</v>
      </c>
      <c r="P45" s="18">
        <f t="shared" si="2"/>
        <v>15</v>
      </c>
      <c r="Q45" s="121">
        <v>5.0</v>
      </c>
      <c r="R45" s="18">
        <f t="shared" si="3"/>
        <v>65</v>
      </c>
      <c r="S45" s="17" t="s">
        <v>3079</v>
      </c>
      <c r="T45" s="133" t="s">
        <v>3080</v>
      </c>
      <c r="U45" s="134" t="str">
        <f>HYPERLINK("https://drive.google.com/file/d/1g8JUX3cYykNsMeqGpzu6eEx4jRW2dunM/view?usp=drivesdk","Uv-Vis (Udara)_Alief Almasyah Akbar Mastura_143")</f>
        <v>Uv-Vis (Udara)_Alief Almasyah Akbar Mastura_143</v>
      </c>
      <c r="V45" s="17" t="s">
        <v>3081</v>
      </c>
    </row>
    <row r="46">
      <c r="A46" s="295">
        <v>45721.0</v>
      </c>
      <c r="B46" s="295">
        <v>45721.0</v>
      </c>
      <c r="C46" s="121" t="s">
        <v>2902</v>
      </c>
      <c r="D46" s="121">
        <v>148.0</v>
      </c>
      <c r="E46" s="121" t="s">
        <v>2108</v>
      </c>
      <c r="F46" s="121" t="s">
        <v>2109</v>
      </c>
      <c r="G46" s="121" t="s">
        <v>3057</v>
      </c>
      <c r="H46" s="121" t="s">
        <v>621</v>
      </c>
      <c r="I46" s="121" t="s">
        <v>2905</v>
      </c>
      <c r="J46" s="121" t="s">
        <v>3065</v>
      </c>
      <c r="K46" s="121" t="s">
        <v>155</v>
      </c>
      <c r="L46" s="121">
        <v>9.0</v>
      </c>
      <c r="M46" s="296">
        <v>5000.0</v>
      </c>
      <c r="N46" s="121">
        <v>15.0</v>
      </c>
      <c r="O46" s="18">
        <f t="shared" si="1"/>
        <v>90</v>
      </c>
      <c r="P46" s="18">
        <f t="shared" si="2"/>
        <v>45</v>
      </c>
      <c r="Q46" s="121">
        <v>5.0</v>
      </c>
      <c r="R46" s="18">
        <f t="shared" si="3"/>
        <v>155</v>
      </c>
      <c r="S46" s="17" t="s">
        <v>3082</v>
      </c>
      <c r="T46" s="133" t="s">
        <v>3083</v>
      </c>
      <c r="U46" s="134" t="str">
        <f>HYPERLINK("https://drive.google.com/file/d/1PsJjQRIy8KEBm2v8mLUwidQE6aeBiqhm/view?usp=drivesdk","Uv-Vis (Udara)_Rizqi Apriliyani_148")</f>
        <v>Uv-Vis (Udara)_Rizqi Apriliyani_148</v>
      </c>
      <c r="V46" s="17" t="s">
        <v>3084</v>
      </c>
    </row>
    <row r="47">
      <c r="A47" s="295">
        <v>45722.0</v>
      </c>
      <c r="B47" s="295">
        <v>45722.0</v>
      </c>
      <c r="C47" s="121" t="s">
        <v>2902</v>
      </c>
      <c r="D47" s="121">
        <v>153.0</v>
      </c>
      <c r="E47" s="121" t="s">
        <v>2548</v>
      </c>
      <c r="F47" s="121" t="s">
        <v>2549</v>
      </c>
      <c r="G47" s="121" t="s">
        <v>3057</v>
      </c>
      <c r="H47" s="121" t="s">
        <v>621</v>
      </c>
      <c r="I47" s="121" t="s">
        <v>2905</v>
      </c>
      <c r="J47" s="121" t="s">
        <v>2548</v>
      </c>
      <c r="K47" s="121" t="s">
        <v>155</v>
      </c>
      <c r="L47" s="121">
        <v>4.0</v>
      </c>
      <c r="M47" s="296">
        <v>5000.0</v>
      </c>
      <c r="N47" s="121">
        <v>15.0</v>
      </c>
      <c r="O47" s="18">
        <f t="shared" si="1"/>
        <v>40</v>
      </c>
      <c r="P47" s="18">
        <f t="shared" si="2"/>
        <v>20</v>
      </c>
      <c r="Q47" s="121">
        <v>5.0</v>
      </c>
      <c r="R47" s="18">
        <f t="shared" si="3"/>
        <v>80</v>
      </c>
      <c r="S47" s="17" t="s">
        <v>3085</v>
      </c>
      <c r="T47" s="133" t="s">
        <v>3086</v>
      </c>
      <c r="U47" s="134" t="str">
        <f>HYPERLINK("https://drive.google.com/file/d/1OoRlEEf18dSkuKBEONJpaMM3PwQBMwr8/view?usp=drivesdk","Uv-Vis (Udara)_Dofito Hanifah Kusindarto_153")</f>
        <v>Uv-Vis (Udara)_Dofito Hanifah Kusindarto_153</v>
      </c>
      <c r="V47" s="17" t="s">
        <v>3087</v>
      </c>
    </row>
    <row r="48">
      <c r="A48" s="295">
        <v>45720.0</v>
      </c>
      <c r="B48" s="295">
        <v>45723.0</v>
      </c>
      <c r="C48" s="121" t="s">
        <v>2902</v>
      </c>
      <c r="D48" s="121">
        <v>145.0</v>
      </c>
      <c r="E48" s="121" t="s">
        <v>2548</v>
      </c>
      <c r="F48" s="121" t="s">
        <v>2549</v>
      </c>
      <c r="G48" s="121" t="s">
        <v>3057</v>
      </c>
      <c r="H48" s="121" t="s">
        <v>621</v>
      </c>
      <c r="I48" s="121" t="s">
        <v>2905</v>
      </c>
      <c r="J48" s="121" t="s">
        <v>2548</v>
      </c>
      <c r="K48" s="121" t="s">
        <v>155</v>
      </c>
      <c r="L48" s="121">
        <v>5.0</v>
      </c>
      <c r="M48" s="296">
        <v>5000.0</v>
      </c>
      <c r="N48" s="121">
        <v>15.0</v>
      </c>
      <c r="O48" s="18">
        <f t="shared" si="1"/>
        <v>50</v>
      </c>
      <c r="P48" s="18">
        <f t="shared" si="2"/>
        <v>25</v>
      </c>
      <c r="Q48" s="121">
        <v>5.0</v>
      </c>
      <c r="R48" s="18">
        <f t="shared" si="3"/>
        <v>95</v>
      </c>
      <c r="S48" s="17" t="s">
        <v>3088</v>
      </c>
      <c r="T48" s="133" t="s">
        <v>3089</v>
      </c>
      <c r="U48" s="134" t="str">
        <f>HYPERLINK("https://drive.google.com/file/d/1Lfju50SpQ0YXwY5KCJ18cY24XzWD8t1A/view?usp=drivesdk","Uv-Vis (Udara)_Dofito Hanifah Kusindarto_145")</f>
        <v>Uv-Vis (Udara)_Dofito Hanifah Kusindarto_145</v>
      </c>
      <c r="V48" s="17" t="s">
        <v>3090</v>
      </c>
    </row>
    <row r="49">
      <c r="A49" s="295">
        <v>45728.0</v>
      </c>
      <c r="B49" s="295">
        <v>45728.0</v>
      </c>
      <c r="C49" s="121" t="s">
        <v>2902</v>
      </c>
      <c r="D49" s="121">
        <v>160.0</v>
      </c>
      <c r="E49" s="121" t="s">
        <v>2548</v>
      </c>
      <c r="F49" s="121" t="s">
        <v>2549</v>
      </c>
      <c r="G49" s="121" t="s">
        <v>3057</v>
      </c>
      <c r="H49" s="121" t="s">
        <v>621</v>
      </c>
      <c r="I49" s="121" t="s">
        <v>2905</v>
      </c>
      <c r="J49" s="121" t="s">
        <v>2548</v>
      </c>
      <c r="K49" s="121" t="s">
        <v>155</v>
      </c>
      <c r="L49" s="121">
        <v>14.0</v>
      </c>
      <c r="M49" s="296">
        <v>5000.0</v>
      </c>
      <c r="N49" s="121">
        <v>15.0</v>
      </c>
      <c r="O49" s="18">
        <f t="shared" si="1"/>
        <v>140</v>
      </c>
      <c r="P49" s="18">
        <f t="shared" si="2"/>
        <v>70</v>
      </c>
      <c r="Q49" s="121">
        <v>5.0</v>
      </c>
      <c r="R49" s="18">
        <f t="shared" si="3"/>
        <v>230</v>
      </c>
      <c r="S49" s="17" t="s">
        <v>3091</v>
      </c>
      <c r="T49" s="133" t="s">
        <v>3092</v>
      </c>
      <c r="U49" s="134" t="str">
        <f>HYPERLINK("https://drive.google.com/file/d/13vXdoMNP1LJ3rWoCxiX0bSd_pfAqWAfQ/view?usp=drivesdk","Uv-Vis (Udara)_Dofito Hanifah Kusindarto_160")</f>
        <v>Uv-Vis (Udara)_Dofito Hanifah Kusindarto_160</v>
      </c>
      <c r="V49" s="17" t="s">
        <v>3093</v>
      </c>
    </row>
    <row r="50">
      <c r="A50" s="295">
        <v>45729.0</v>
      </c>
      <c r="B50" s="295">
        <v>45729.0</v>
      </c>
      <c r="C50" s="121" t="s">
        <v>2902</v>
      </c>
      <c r="D50" s="121">
        <v>165.0</v>
      </c>
      <c r="E50" s="121" t="s">
        <v>2548</v>
      </c>
      <c r="F50" s="121" t="s">
        <v>2549</v>
      </c>
      <c r="G50" s="121" t="s">
        <v>3057</v>
      </c>
      <c r="H50" s="121" t="s">
        <v>621</v>
      </c>
      <c r="I50" s="121" t="s">
        <v>2905</v>
      </c>
      <c r="J50" s="121" t="s">
        <v>2548</v>
      </c>
      <c r="K50" s="121" t="s">
        <v>155</v>
      </c>
      <c r="L50" s="121">
        <v>6.0</v>
      </c>
      <c r="M50" s="296">
        <v>5000.0</v>
      </c>
      <c r="N50" s="121">
        <v>15.0</v>
      </c>
      <c r="O50" s="18">
        <f t="shared" si="1"/>
        <v>60</v>
      </c>
      <c r="P50" s="18">
        <f t="shared" si="2"/>
        <v>30</v>
      </c>
      <c r="Q50" s="121">
        <v>5.0</v>
      </c>
      <c r="R50" s="18">
        <f t="shared" si="3"/>
        <v>110</v>
      </c>
      <c r="S50" s="17" t="s">
        <v>3094</v>
      </c>
      <c r="T50" s="133" t="s">
        <v>3095</v>
      </c>
      <c r="U50" s="134" t="str">
        <f>HYPERLINK("https://drive.google.com/file/d/1LRe6UhFkd4r7iuY6R5Ij3vgw6CZgaFBO/view?usp=drivesdk","Uv-Vis (Udara)_Dofito Hanifah Kusindarto_165")</f>
        <v>Uv-Vis (Udara)_Dofito Hanifah Kusindarto_165</v>
      </c>
      <c r="V50" s="17" t="s">
        <v>3096</v>
      </c>
    </row>
    <row r="51">
      <c r="A51" s="295">
        <v>45734.0</v>
      </c>
      <c r="B51" s="295">
        <v>45735.0</v>
      </c>
      <c r="C51" s="121" t="s">
        <v>2902</v>
      </c>
      <c r="D51" s="121">
        <v>170.0</v>
      </c>
      <c r="E51" s="121" t="s">
        <v>2731</v>
      </c>
      <c r="F51" s="121" t="s">
        <v>2732</v>
      </c>
      <c r="G51" s="121" t="s">
        <v>1132</v>
      </c>
      <c r="H51" s="121" t="s">
        <v>621</v>
      </c>
      <c r="I51" s="121" t="s">
        <v>2905</v>
      </c>
      <c r="J51" s="121" t="s">
        <v>2731</v>
      </c>
      <c r="K51" s="121" t="s">
        <v>155</v>
      </c>
      <c r="L51" s="121">
        <v>3.0</v>
      </c>
      <c r="M51" s="296">
        <v>50000.0</v>
      </c>
      <c r="N51" s="121">
        <v>15.0</v>
      </c>
      <c r="O51" s="18">
        <f t="shared" si="1"/>
        <v>30</v>
      </c>
      <c r="P51" s="18">
        <f t="shared" si="2"/>
        <v>15</v>
      </c>
      <c r="Q51" s="121">
        <v>5.0</v>
      </c>
      <c r="R51" s="18">
        <f t="shared" si="3"/>
        <v>65</v>
      </c>
      <c r="S51" s="17" t="s">
        <v>3097</v>
      </c>
      <c r="T51" s="133" t="s">
        <v>3098</v>
      </c>
      <c r="U51" s="134" t="str">
        <f>HYPERLINK("https://drive.google.com/file/d/1PJqNwa1fj2GnePp_xqlPmjCnc9ElqZeK/view?usp=drivesdk","Uv-Vis (Udara)_Muhammad Iqbal Juniardi_170")</f>
        <v>Uv-Vis (Udara)_Muhammad Iqbal Juniardi_170</v>
      </c>
      <c r="V51" s="17" t="s">
        <v>3099</v>
      </c>
    </row>
    <row r="52">
      <c r="A52" s="295">
        <v>45735.0</v>
      </c>
      <c r="B52" s="295">
        <v>45735.0</v>
      </c>
      <c r="C52" s="121" t="s">
        <v>2902</v>
      </c>
      <c r="D52" s="121">
        <v>172.0</v>
      </c>
      <c r="E52" s="121" t="s">
        <v>2606</v>
      </c>
      <c r="F52" s="121" t="s">
        <v>2607</v>
      </c>
      <c r="G52" s="121" t="s">
        <v>1132</v>
      </c>
      <c r="H52" s="121" t="s">
        <v>621</v>
      </c>
      <c r="I52" s="121" t="s">
        <v>2905</v>
      </c>
      <c r="J52" s="121" t="s">
        <v>2606</v>
      </c>
      <c r="K52" s="121" t="s">
        <v>155</v>
      </c>
      <c r="L52" s="121">
        <v>6.0</v>
      </c>
      <c r="M52" s="296">
        <v>50000.0</v>
      </c>
      <c r="N52" s="121">
        <v>15.0</v>
      </c>
      <c r="O52" s="18">
        <f t="shared" si="1"/>
        <v>60</v>
      </c>
      <c r="P52" s="18">
        <f t="shared" si="2"/>
        <v>30</v>
      </c>
      <c r="Q52" s="121">
        <v>5.0</v>
      </c>
      <c r="R52" s="18">
        <f t="shared" si="3"/>
        <v>110</v>
      </c>
      <c r="S52" s="17" t="s">
        <v>3100</v>
      </c>
      <c r="T52" s="133" t="s">
        <v>3101</v>
      </c>
      <c r="U52" s="134" t="str">
        <f>HYPERLINK("https://drive.google.com/file/d/17xUpY7mds0ltaekBjY9twQbK76ccmCr7/view?usp=drivesdk","Uv-Vis (Udara)_Izza Laila Nur Rohmah_172")</f>
        <v>Uv-Vis (Udara)_Izza Laila Nur Rohmah_172</v>
      </c>
      <c r="V52" s="17" t="s">
        <v>3099</v>
      </c>
    </row>
    <row r="53">
      <c r="A53" s="295">
        <v>45735.0</v>
      </c>
      <c r="B53" s="295">
        <v>45735.0</v>
      </c>
      <c r="C53" s="121" t="s">
        <v>2902</v>
      </c>
      <c r="D53" s="121">
        <v>173.0</v>
      </c>
      <c r="E53" s="121" t="s">
        <v>2903</v>
      </c>
      <c r="F53" s="121" t="s">
        <v>2904</v>
      </c>
      <c r="G53" s="121" t="s">
        <v>1132</v>
      </c>
      <c r="H53" s="121" t="s">
        <v>621</v>
      </c>
      <c r="I53" s="121" t="s">
        <v>2905</v>
      </c>
      <c r="J53" s="121" t="s">
        <v>2903</v>
      </c>
      <c r="K53" s="121" t="s">
        <v>155</v>
      </c>
      <c r="L53" s="121">
        <v>2.0</v>
      </c>
      <c r="M53" s="296">
        <v>50000.0</v>
      </c>
      <c r="N53" s="121">
        <v>15.0</v>
      </c>
      <c r="O53" s="18">
        <f t="shared" si="1"/>
        <v>20</v>
      </c>
      <c r="P53" s="18">
        <f t="shared" si="2"/>
        <v>10</v>
      </c>
      <c r="Q53" s="121">
        <v>5.0</v>
      </c>
      <c r="R53" s="18">
        <f t="shared" si="3"/>
        <v>50</v>
      </c>
      <c r="S53" s="17" t="s">
        <v>3102</v>
      </c>
      <c r="T53" s="133" t="s">
        <v>3103</v>
      </c>
      <c r="U53" s="134" t="str">
        <f>HYPERLINK("https://drive.google.com/file/d/1dix5KnoacMyMGXygOIHaxID4ONGsjOpH/view?usp=drivesdk","Uv-Vis (Udara)_Ndiayu Ajeng Gareta_173")</f>
        <v>Uv-Vis (Udara)_Ndiayu Ajeng Gareta_173</v>
      </c>
      <c r="V53" s="17" t="s">
        <v>3099</v>
      </c>
    </row>
    <row r="54">
      <c r="A54" s="295">
        <v>45737.0</v>
      </c>
      <c r="B54" s="295">
        <v>45737.0</v>
      </c>
      <c r="C54" s="121" t="s">
        <v>2902</v>
      </c>
      <c r="D54" s="121">
        <v>177.0</v>
      </c>
      <c r="E54" s="121" t="s">
        <v>2903</v>
      </c>
      <c r="F54" s="121" t="s">
        <v>2904</v>
      </c>
      <c r="G54" s="121" t="s">
        <v>1132</v>
      </c>
      <c r="H54" s="121" t="s">
        <v>621</v>
      </c>
      <c r="I54" s="121" t="s">
        <v>2905</v>
      </c>
      <c r="J54" s="121" t="s">
        <v>2903</v>
      </c>
      <c r="K54" s="121" t="s">
        <v>155</v>
      </c>
      <c r="L54" s="121">
        <v>2.0</v>
      </c>
      <c r="M54" s="296">
        <v>50000.0</v>
      </c>
      <c r="N54" s="121">
        <v>15.0</v>
      </c>
      <c r="O54" s="18">
        <f t="shared" si="1"/>
        <v>20</v>
      </c>
      <c r="P54" s="18">
        <f t="shared" si="2"/>
        <v>10</v>
      </c>
      <c r="Q54" s="121">
        <v>5.0</v>
      </c>
      <c r="R54" s="18">
        <f t="shared" si="3"/>
        <v>50</v>
      </c>
      <c r="S54" s="17" t="s">
        <v>3104</v>
      </c>
      <c r="T54" s="133" t="s">
        <v>3105</v>
      </c>
      <c r="U54" s="134" t="str">
        <f>HYPERLINK("https://drive.google.com/file/d/1ULJ1wvURG_UyXLKHdvBsclFML794H4-s/view?usp=drivesdk","Uv-Vis (Udara)_Ndiayu Ajeng Gareta_177")</f>
        <v>Uv-Vis (Udara)_Ndiayu Ajeng Gareta_177</v>
      </c>
      <c r="V54" s="17" t="s">
        <v>3106</v>
      </c>
    </row>
    <row r="55">
      <c r="A55" s="295">
        <v>45740.0</v>
      </c>
      <c r="B55" s="295">
        <v>45740.0</v>
      </c>
      <c r="C55" s="121" t="s">
        <v>2902</v>
      </c>
      <c r="D55" s="121">
        <v>184.0</v>
      </c>
      <c r="E55" s="121" t="s">
        <v>3107</v>
      </c>
      <c r="F55" s="121" t="s">
        <v>3108</v>
      </c>
      <c r="G55" s="17" t="s">
        <v>3109</v>
      </c>
      <c r="H55" s="121" t="s">
        <v>621</v>
      </c>
      <c r="I55" s="121" t="s">
        <v>2905</v>
      </c>
      <c r="J55" s="121" t="s">
        <v>3110</v>
      </c>
      <c r="K55" s="121" t="s">
        <v>2906</v>
      </c>
      <c r="L55" s="121">
        <v>1.0</v>
      </c>
      <c r="M55" s="296">
        <v>60000.0</v>
      </c>
      <c r="N55" s="121">
        <v>15.0</v>
      </c>
      <c r="O55" s="18">
        <f t="shared" si="1"/>
        <v>10</v>
      </c>
      <c r="P55" s="18">
        <f t="shared" si="2"/>
        <v>5</v>
      </c>
      <c r="Q55" s="121">
        <v>5.0</v>
      </c>
      <c r="R55" s="18">
        <f t="shared" si="3"/>
        <v>35</v>
      </c>
      <c r="S55" s="17" t="s">
        <v>3111</v>
      </c>
      <c r="T55" s="133" t="s">
        <v>3112</v>
      </c>
      <c r="U55" s="134" t="str">
        <f>HYPERLINK("https://drive.google.com/file/d/15LNGQyncqfXThHDeWLszasPYI4g_WXWs/view?usp=drivesdk","Uv-Vis (Udara)_Anggraeni Merdekawati_184")</f>
        <v>Uv-Vis (Udara)_Anggraeni Merdekawati_184</v>
      </c>
      <c r="V55" s="17" t="s">
        <v>3113</v>
      </c>
    </row>
    <row r="56">
      <c r="A56" s="295">
        <v>45740.0</v>
      </c>
      <c r="B56" s="295">
        <v>45740.0</v>
      </c>
      <c r="C56" s="121" t="s">
        <v>2902</v>
      </c>
      <c r="D56" s="121">
        <v>185.0</v>
      </c>
      <c r="E56" s="121" t="s">
        <v>3107</v>
      </c>
      <c r="F56" s="121" t="s">
        <v>3108</v>
      </c>
      <c r="G56" s="17" t="s">
        <v>3109</v>
      </c>
      <c r="H56" s="121" t="s">
        <v>621</v>
      </c>
      <c r="I56" s="121" t="s">
        <v>2905</v>
      </c>
      <c r="J56" s="121" t="s">
        <v>3114</v>
      </c>
      <c r="K56" s="121" t="s">
        <v>155</v>
      </c>
      <c r="L56" s="121">
        <v>7.0</v>
      </c>
      <c r="M56" s="296">
        <v>25000.0</v>
      </c>
      <c r="N56" s="121">
        <v>15.0</v>
      </c>
      <c r="O56" s="18">
        <f t="shared" si="1"/>
        <v>70</v>
      </c>
      <c r="P56" s="18">
        <f t="shared" si="2"/>
        <v>35</v>
      </c>
      <c r="Q56" s="121">
        <v>5.0</v>
      </c>
      <c r="R56" s="18">
        <f t="shared" si="3"/>
        <v>125</v>
      </c>
      <c r="S56" s="17" t="s">
        <v>3115</v>
      </c>
      <c r="T56" s="133" t="s">
        <v>3116</v>
      </c>
      <c r="U56" s="134" t="str">
        <f>HYPERLINK("https://drive.google.com/file/d/1z8iU42yI0l3BX1dOxPb5nlQ9Cod4WUTl/view?usp=drivesdk","Uv-Vis (Udara)_Anggraeni Merdekawati_185")</f>
        <v>Uv-Vis (Udara)_Anggraeni Merdekawati_185</v>
      </c>
      <c r="V56" s="17" t="s">
        <v>3117</v>
      </c>
    </row>
    <row r="57">
      <c r="A57" s="295">
        <v>45741.0</v>
      </c>
      <c r="B57" s="295">
        <v>45741.0</v>
      </c>
      <c r="C57" s="121" t="s">
        <v>2902</v>
      </c>
      <c r="D57" s="121">
        <v>186.0</v>
      </c>
      <c r="E57" s="121" t="s">
        <v>3107</v>
      </c>
      <c r="F57" s="121" t="s">
        <v>3108</v>
      </c>
      <c r="G57" s="17" t="s">
        <v>3109</v>
      </c>
      <c r="H57" s="121" t="s">
        <v>621</v>
      </c>
      <c r="I57" s="121" t="s">
        <v>2905</v>
      </c>
      <c r="J57" s="121" t="s">
        <v>3114</v>
      </c>
      <c r="K57" s="121" t="s">
        <v>155</v>
      </c>
      <c r="L57" s="121">
        <v>5.0</v>
      </c>
      <c r="M57" s="296">
        <v>25000.0</v>
      </c>
      <c r="N57" s="121">
        <v>15.0</v>
      </c>
      <c r="O57" s="18">
        <f t="shared" si="1"/>
        <v>50</v>
      </c>
      <c r="P57" s="18">
        <f t="shared" si="2"/>
        <v>25</v>
      </c>
      <c r="Q57" s="121">
        <v>5.0</v>
      </c>
      <c r="R57" s="18">
        <f t="shared" si="3"/>
        <v>95</v>
      </c>
      <c r="S57" s="17" t="s">
        <v>3118</v>
      </c>
      <c r="T57" s="133" t="s">
        <v>3119</v>
      </c>
      <c r="U57" s="134" t="str">
        <f>HYPERLINK("https://drive.google.com/file/d/1qZ06Xgzlly77aFf4x6L3rkJOAnXfldrM/view?usp=drivesdk","Uv-Vis (Udara)_Anggraeni Merdekawati_186")</f>
        <v>Uv-Vis (Udara)_Anggraeni Merdekawati_186</v>
      </c>
      <c r="V57" s="17" t="s">
        <v>3117</v>
      </c>
    </row>
    <row r="58">
      <c r="A58" s="295">
        <v>45742.0</v>
      </c>
      <c r="B58" s="295">
        <v>45742.0</v>
      </c>
      <c r="C58" s="121" t="s">
        <v>2902</v>
      </c>
      <c r="D58" s="121">
        <v>187.0</v>
      </c>
      <c r="E58" s="121" t="s">
        <v>3107</v>
      </c>
      <c r="F58" s="121" t="s">
        <v>3108</v>
      </c>
      <c r="G58" s="17" t="s">
        <v>3109</v>
      </c>
      <c r="H58" s="121" t="s">
        <v>621</v>
      </c>
      <c r="I58" s="121" t="s">
        <v>2905</v>
      </c>
      <c r="J58" s="121" t="s">
        <v>3114</v>
      </c>
      <c r="K58" s="121" t="s">
        <v>155</v>
      </c>
      <c r="L58" s="121">
        <v>1.0</v>
      </c>
      <c r="M58" s="296">
        <v>25000.0</v>
      </c>
      <c r="N58" s="121">
        <v>15.0</v>
      </c>
      <c r="O58" s="18">
        <f t="shared" si="1"/>
        <v>10</v>
      </c>
      <c r="P58" s="18">
        <f t="shared" si="2"/>
        <v>5</v>
      </c>
      <c r="Q58" s="121">
        <v>5.0</v>
      </c>
      <c r="R58" s="18">
        <f t="shared" si="3"/>
        <v>35</v>
      </c>
      <c r="S58" s="17" t="s">
        <v>3120</v>
      </c>
      <c r="T58" s="133" t="s">
        <v>3121</v>
      </c>
      <c r="U58" s="134" t="str">
        <f>HYPERLINK("https://drive.google.com/file/d/1k-2hr58lf7tMSFd9wINnBGVRuchby2JJ/view?usp=drivesdk","Uv-Vis (Udara)_Anggraeni Merdekawati_187")</f>
        <v>Uv-Vis (Udara)_Anggraeni Merdekawati_187</v>
      </c>
      <c r="V58" s="17" t="s">
        <v>3117</v>
      </c>
    </row>
    <row r="59">
      <c r="A59" s="295">
        <v>45762.0</v>
      </c>
      <c r="B59" s="295">
        <v>45762.0</v>
      </c>
      <c r="C59" s="121" t="s">
        <v>2902</v>
      </c>
      <c r="D59" s="121">
        <v>198.0</v>
      </c>
      <c r="E59" s="121" t="s">
        <v>3107</v>
      </c>
      <c r="F59" s="121" t="s">
        <v>3108</v>
      </c>
      <c r="G59" s="17" t="s">
        <v>3109</v>
      </c>
      <c r="H59" s="121" t="s">
        <v>621</v>
      </c>
      <c r="I59" s="121" t="s">
        <v>2905</v>
      </c>
      <c r="J59" s="121" t="s">
        <v>3114</v>
      </c>
      <c r="K59" s="121" t="s">
        <v>155</v>
      </c>
      <c r="L59" s="121">
        <v>4.0</v>
      </c>
      <c r="M59" s="296">
        <v>25000.0</v>
      </c>
      <c r="N59" s="121">
        <v>15.0</v>
      </c>
      <c r="O59" s="18">
        <f t="shared" si="1"/>
        <v>40</v>
      </c>
      <c r="P59" s="18">
        <f t="shared" si="2"/>
        <v>20</v>
      </c>
      <c r="Q59" s="121">
        <v>5.0</v>
      </c>
      <c r="R59" s="18">
        <f t="shared" si="3"/>
        <v>80</v>
      </c>
      <c r="S59" s="17" t="s">
        <v>3122</v>
      </c>
      <c r="T59" s="133" t="s">
        <v>3123</v>
      </c>
      <c r="U59" s="134" t="str">
        <f>HYPERLINK("https://drive.google.com/file/d/1Wu4sBLEAEIJ38i65fFSjVydH2pe9df5y/view?usp=drivesdk","Uv-Vis (Udara)_Anggraeni Merdekawati_198")</f>
        <v>Uv-Vis (Udara)_Anggraeni Merdekawati_198</v>
      </c>
      <c r="V59" s="17" t="s">
        <v>3124</v>
      </c>
    </row>
    <row r="60">
      <c r="A60" s="295">
        <v>45762.0</v>
      </c>
      <c r="B60" s="295">
        <v>45762.0</v>
      </c>
      <c r="C60" s="121" t="s">
        <v>2902</v>
      </c>
      <c r="D60" s="121">
        <v>201.0</v>
      </c>
      <c r="E60" s="121" t="s">
        <v>3107</v>
      </c>
      <c r="F60" s="121" t="s">
        <v>3108</v>
      </c>
      <c r="G60" s="17" t="s">
        <v>3109</v>
      </c>
      <c r="H60" s="121" t="s">
        <v>621</v>
      </c>
      <c r="I60" s="121" t="s">
        <v>2905</v>
      </c>
      <c r="J60" s="121" t="s">
        <v>3114</v>
      </c>
      <c r="K60" s="121" t="s">
        <v>155</v>
      </c>
      <c r="L60" s="121">
        <v>1.0</v>
      </c>
      <c r="M60" s="296">
        <v>60000.0</v>
      </c>
      <c r="N60" s="121">
        <v>15.0</v>
      </c>
      <c r="O60" s="18">
        <f t="shared" si="1"/>
        <v>10</v>
      </c>
      <c r="P60" s="18">
        <f t="shared" si="2"/>
        <v>5</v>
      </c>
      <c r="Q60" s="121">
        <v>5.0</v>
      </c>
      <c r="R60" s="18">
        <f t="shared" si="3"/>
        <v>35</v>
      </c>
      <c r="S60" s="17" t="s">
        <v>3125</v>
      </c>
      <c r="T60" s="133" t="s">
        <v>3126</v>
      </c>
      <c r="U60" s="134" t="str">
        <f>HYPERLINK("https://drive.google.com/file/d/1SAGhkhk4OAJ1MDZODGWjbFZUDplIX5H4/view?usp=drivesdk","Uv-Vis (Udara)_Anggraeni Merdekawati_201")</f>
        <v>Uv-Vis (Udara)_Anggraeni Merdekawati_201</v>
      </c>
      <c r="V60" s="17" t="s">
        <v>3124</v>
      </c>
    </row>
    <row r="61">
      <c r="A61" s="295">
        <v>45763.0</v>
      </c>
      <c r="B61" s="295">
        <v>45763.0</v>
      </c>
      <c r="C61" s="121" t="s">
        <v>2902</v>
      </c>
      <c r="D61" s="121">
        <v>205.0</v>
      </c>
      <c r="E61" s="121" t="s">
        <v>3107</v>
      </c>
      <c r="F61" s="121" t="s">
        <v>3108</v>
      </c>
      <c r="G61" s="17" t="s">
        <v>3109</v>
      </c>
      <c r="H61" s="121" t="s">
        <v>621</v>
      </c>
      <c r="I61" s="121" t="s">
        <v>2905</v>
      </c>
      <c r="J61" s="121" t="s">
        <v>3114</v>
      </c>
      <c r="K61" s="121" t="s">
        <v>155</v>
      </c>
      <c r="L61" s="121">
        <v>1.0</v>
      </c>
      <c r="M61" s="296">
        <v>60000.0</v>
      </c>
      <c r="N61" s="121">
        <v>15.0</v>
      </c>
      <c r="O61" s="18">
        <f t="shared" si="1"/>
        <v>10</v>
      </c>
      <c r="P61" s="18">
        <f t="shared" si="2"/>
        <v>5</v>
      </c>
      <c r="Q61" s="121">
        <v>5.0</v>
      </c>
      <c r="R61" s="18">
        <f t="shared" si="3"/>
        <v>35</v>
      </c>
      <c r="S61" s="17" t="s">
        <v>3127</v>
      </c>
      <c r="T61" s="133" t="s">
        <v>3128</v>
      </c>
      <c r="U61" s="134" t="str">
        <f>HYPERLINK("https://drive.google.com/file/d/1p-Lb3yBGA0wGubvkTgBvTHocIwKvXF09/view?usp=drivesdk","Uv-Vis (Udara)_Anggraeni Merdekawati_205")</f>
        <v>Uv-Vis (Udara)_Anggraeni Merdekawati_205</v>
      </c>
      <c r="V61" s="17" t="s">
        <v>3124</v>
      </c>
    </row>
    <row r="62">
      <c r="A62" s="295">
        <v>45768.0</v>
      </c>
      <c r="B62" s="295">
        <v>45768.0</v>
      </c>
      <c r="C62" s="121" t="s">
        <v>2902</v>
      </c>
      <c r="D62" s="121">
        <v>215.0</v>
      </c>
      <c r="E62" s="121" t="s">
        <v>2903</v>
      </c>
      <c r="F62" s="121" t="s">
        <v>2904</v>
      </c>
      <c r="G62" s="121" t="s">
        <v>1132</v>
      </c>
      <c r="H62" s="121" t="s">
        <v>621</v>
      </c>
      <c r="I62" s="121" t="s">
        <v>2905</v>
      </c>
      <c r="J62" s="121" t="s">
        <v>2903</v>
      </c>
      <c r="K62" s="121" t="s">
        <v>155</v>
      </c>
      <c r="L62" s="121">
        <v>7.0</v>
      </c>
      <c r="M62" s="296">
        <v>50000.0</v>
      </c>
      <c r="N62" s="121">
        <v>15.0</v>
      </c>
      <c r="O62" s="18">
        <f t="shared" si="1"/>
        <v>70</v>
      </c>
      <c r="P62" s="18">
        <f t="shared" si="2"/>
        <v>35</v>
      </c>
      <c r="Q62" s="121">
        <v>5.0</v>
      </c>
      <c r="R62" s="18">
        <f t="shared" si="3"/>
        <v>125</v>
      </c>
      <c r="S62" s="17" t="s">
        <v>3129</v>
      </c>
      <c r="T62" s="133" t="s">
        <v>3130</v>
      </c>
      <c r="U62" s="134" t="str">
        <f>HYPERLINK("https://drive.google.com/file/d/1byx6hwOfDmDqzaB3wgh8EuoL3xMtA3cx/view?usp=drivesdk","Uv-Vis (Udara)_Ndiayu Ajeng Gareta_215")</f>
        <v>Uv-Vis (Udara)_Ndiayu Ajeng Gareta_215</v>
      </c>
      <c r="V62" s="17" t="s">
        <v>3131</v>
      </c>
    </row>
    <row r="63">
      <c r="A63" s="295">
        <v>45770.0</v>
      </c>
      <c r="B63" s="295">
        <v>45770.0</v>
      </c>
      <c r="C63" s="121" t="s">
        <v>2902</v>
      </c>
      <c r="D63" s="121">
        <v>220.0</v>
      </c>
      <c r="E63" s="121" t="s">
        <v>2548</v>
      </c>
      <c r="F63" s="121" t="s">
        <v>2549</v>
      </c>
      <c r="G63" s="121" t="s">
        <v>3057</v>
      </c>
      <c r="H63" s="121" t="s">
        <v>621</v>
      </c>
      <c r="I63" s="121" t="s">
        <v>2905</v>
      </c>
      <c r="J63" s="121" t="s">
        <v>2548</v>
      </c>
      <c r="K63" s="121" t="s">
        <v>155</v>
      </c>
      <c r="L63" s="121">
        <v>4.0</v>
      </c>
      <c r="M63" s="296">
        <v>5000.0</v>
      </c>
      <c r="N63" s="121">
        <v>15.0</v>
      </c>
      <c r="O63" s="18">
        <f t="shared" si="1"/>
        <v>40</v>
      </c>
      <c r="P63" s="18">
        <f t="shared" si="2"/>
        <v>20</v>
      </c>
      <c r="Q63" s="121">
        <v>5.0</v>
      </c>
      <c r="R63" s="18">
        <f t="shared" si="3"/>
        <v>80</v>
      </c>
      <c r="S63" s="17" t="s">
        <v>3132</v>
      </c>
      <c r="T63" s="133" t="s">
        <v>3133</v>
      </c>
      <c r="U63" s="134" t="str">
        <f>HYPERLINK("https://drive.google.com/file/d/1uMz3iZM4ys9gItKa2myRF8QU1KnYzPpb/view?usp=drivesdk","Uv-Vis (Udara)_Dofito Hanifah Kusindarto_220")</f>
        <v>Uv-Vis (Udara)_Dofito Hanifah Kusindarto_220</v>
      </c>
      <c r="V63" s="17" t="s">
        <v>3131</v>
      </c>
    </row>
    <row r="64">
      <c r="A64" s="295">
        <v>45770.0</v>
      </c>
      <c r="B64" s="295">
        <v>45770.0</v>
      </c>
      <c r="C64" s="121" t="s">
        <v>2902</v>
      </c>
      <c r="D64" s="121">
        <v>221.0</v>
      </c>
      <c r="E64" s="121" t="s">
        <v>2108</v>
      </c>
      <c r="F64" s="121" t="s">
        <v>2109</v>
      </c>
      <c r="G64" s="121" t="s">
        <v>3057</v>
      </c>
      <c r="H64" s="121" t="s">
        <v>621</v>
      </c>
      <c r="I64" s="121" t="s">
        <v>2905</v>
      </c>
      <c r="J64" s="121" t="s">
        <v>2108</v>
      </c>
      <c r="K64" s="121" t="s">
        <v>155</v>
      </c>
      <c r="L64" s="121">
        <v>4.0</v>
      </c>
      <c r="M64" s="296">
        <v>5000.0</v>
      </c>
      <c r="N64" s="121">
        <v>15.0</v>
      </c>
      <c r="O64" s="18">
        <f t="shared" si="1"/>
        <v>40</v>
      </c>
      <c r="P64" s="18">
        <f t="shared" si="2"/>
        <v>20</v>
      </c>
      <c r="Q64" s="121">
        <v>5.0</v>
      </c>
      <c r="R64" s="18">
        <f t="shared" si="3"/>
        <v>80</v>
      </c>
      <c r="S64" s="17" t="s">
        <v>3134</v>
      </c>
      <c r="T64" s="133" t="s">
        <v>3135</v>
      </c>
      <c r="U64" s="134" t="str">
        <f>HYPERLINK("https://drive.google.com/file/d/1DC7wCsWJZYqSEpcu8ebdlYiANzcaPepd/view?usp=drivesdk","Uv-Vis (Udara)_Rizqi Apriliyani_221")</f>
        <v>Uv-Vis (Udara)_Rizqi Apriliyani_221</v>
      </c>
      <c r="V64" s="17" t="s">
        <v>3131</v>
      </c>
    </row>
    <row r="65">
      <c r="A65" s="295">
        <v>45770.0</v>
      </c>
      <c r="B65" s="295">
        <v>45770.0</v>
      </c>
      <c r="C65" s="121" t="s">
        <v>2902</v>
      </c>
      <c r="D65" s="121">
        <v>223.0</v>
      </c>
      <c r="E65" s="121" t="s">
        <v>2903</v>
      </c>
      <c r="F65" s="121" t="s">
        <v>2904</v>
      </c>
      <c r="G65" s="121" t="s">
        <v>1132</v>
      </c>
      <c r="H65" s="121" t="s">
        <v>621</v>
      </c>
      <c r="I65" s="121" t="s">
        <v>2905</v>
      </c>
      <c r="J65" s="121" t="s">
        <v>2903</v>
      </c>
      <c r="K65" s="121" t="s">
        <v>155</v>
      </c>
      <c r="L65" s="121">
        <v>3.0</v>
      </c>
      <c r="M65" s="296">
        <v>50000.0</v>
      </c>
      <c r="N65" s="121">
        <v>15.0</v>
      </c>
      <c r="O65" s="18">
        <f t="shared" si="1"/>
        <v>30</v>
      </c>
      <c r="P65" s="18">
        <f t="shared" si="2"/>
        <v>15</v>
      </c>
      <c r="Q65" s="121">
        <v>5.0</v>
      </c>
      <c r="R65" s="18">
        <f t="shared" si="3"/>
        <v>65</v>
      </c>
      <c r="S65" s="17" t="s">
        <v>3136</v>
      </c>
      <c r="T65" s="133" t="s">
        <v>3137</v>
      </c>
      <c r="U65" s="134" t="str">
        <f>HYPERLINK("https://drive.google.com/file/d/1vawHhD0lTigCr2in93Ic9-WE-Wlw_QMw/view?usp=drivesdk","Uv-Vis (Udara)_Ndiayu Ajeng Gareta_223")</f>
        <v>Uv-Vis (Udara)_Ndiayu Ajeng Gareta_223</v>
      </c>
      <c r="V65" s="17" t="s">
        <v>3131</v>
      </c>
    </row>
    <row r="66">
      <c r="A66" s="295">
        <v>45770.0</v>
      </c>
      <c r="B66" s="295">
        <v>45770.0</v>
      </c>
      <c r="C66" s="121" t="s">
        <v>2902</v>
      </c>
      <c r="D66" s="121">
        <v>224.0</v>
      </c>
      <c r="E66" s="121" t="s">
        <v>2548</v>
      </c>
      <c r="F66" s="121" t="s">
        <v>2549</v>
      </c>
      <c r="G66" s="121" t="s">
        <v>3057</v>
      </c>
      <c r="H66" s="121" t="s">
        <v>621</v>
      </c>
      <c r="I66" s="121" t="s">
        <v>2905</v>
      </c>
      <c r="J66" s="121" t="s">
        <v>2548</v>
      </c>
      <c r="K66" s="121" t="s">
        <v>155</v>
      </c>
      <c r="L66" s="121">
        <v>4.0</v>
      </c>
      <c r="M66" s="296">
        <v>5000.0</v>
      </c>
      <c r="N66" s="121">
        <v>15.0</v>
      </c>
      <c r="O66" s="18">
        <f t="shared" si="1"/>
        <v>40</v>
      </c>
      <c r="P66" s="18">
        <f t="shared" si="2"/>
        <v>20</v>
      </c>
      <c r="Q66" s="121">
        <v>5.0</v>
      </c>
      <c r="R66" s="18">
        <f t="shared" si="3"/>
        <v>80</v>
      </c>
      <c r="S66" s="17" t="s">
        <v>3138</v>
      </c>
      <c r="T66" s="133" t="s">
        <v>3139</v>
      </c>
      <c r="U66" s="134" t="str">
        <f>HYPERLINK("https://drive.google.com/file/d/1pRp-ai-SXOtRpF6zzVzufziqf9Du8px4/view?usp=drivesdk","Uv-Vis (Udara)_Dofito Hanifah Kusindarto_224")</f>
        <v>Uv-Vis (Udara)_Dofito Hanifah Kusindarto_224</v>
      </c>
      <c r="V66" s="17" t="s">
        <v>3131</v>
      </c>
    </row>
    <row r="67">
      <c r="A67" s="295">
        <v>45784.0</v>
      </c>
      <c r="B67" s="295">
        <v>45784.0</v>
      </c>
      <c r="C67" s="121" t="s">
        <v>2902</v>
      </c>
      <c r="D67" s="121">
        <v>255.0</v>
      </c>
      <c r="E67" s="121" t="s">
        <v>3140</v>
      </c>
      <c r="F67" s="121" t="s">
        <v>155</v>
      </c>
      <c r="G67" s="121" t="s">
        <v>3141</v>
      </c>
      <c r="H67" s="121" t="s">
        <v>541</v>
      </c>
      <c r="I67" s="121" t="s">
        <v>2905</v>
      </c>
      <c r="J67" s="121" t="s">
        <v>3142</v>
      </c>
      <c r="K67" s="121" t="s">
        <v>2924</v>
      </c>
      <c r="L67" s="121">
        <v>8.0</v>
      </c>
      <c r="M67" s="296">
        <v>60000.0</v>
      </c>
      <c r="N67" s="121">
        <v>15.0</v>
      </c>
      <c r="O67" s="18">
        <f t="shared" si="1"/>
        <v>80</v>
      </c>
      <c r="P67" s="18">
        <f t="shared" si="2"/>
        <v>40</v>
      </c>
      <c r="Q67" s="121">
        <v>5.0</v>
      </c>
      <c r="R67" s="18">
        <f t="shared" si="3"/>
        <v>140</v>
      </c>
      <c r="S67" s="17" t="s">
        <v>3143</v>
      </c>
      <c r="T67" s="133" t="s">
        <v>3144</v>
      </c>
      <c r="U67" s="134" t="str">
        <f>HYPERLINK("https://drive.google.com/file/d/1xX6QShKot5Ywjjibqt-YeKMhp5n2LEgC/view?usp=drivesdk","Uv-Vis (Udara)_Dwi Setiawan _255")</f>
        <v>Uv-Vis (Udara)_Dwi Setiawan _255</v>
      </c>
      <c r="V67" s="17" t="s">
        <v>3145</v>
      </c>
    </row>
    <row r="68">
      <c r="A68" s="295">
        <v>45772.0</v>
      </c>
      <c r="B68" s="295">
        <v>45772.0</v>
      </c>
      <c r="C68" s="121" t="s">
        <v>2902</v>
      </c>
      <c r="D68" s="121">
        <v>229.0</v>
      </c>
      <c r="E68" s="121" t="s">
        <v>2903</v>
      </c>
      <c r="F68" s="121" t="s">
        <v>2904</v>
      </c>
      <c r="G68" s="121" t="s">
        <v>1132</v>
      </c>
      <c r="H68" s="121" t="s">
        <v>621</v>
      </c>
      <c r="I68" s="121" t="s">
        <v>2905</v>
      </c>
      <c r="J68" s="121" t="s">
        <v>2903</v>
      </c>
      <c r="K68" s="121" t="s">
        <v>155</v>
      </c>
      <c r="L68" s="121">
        <v>3.0</v>
      </c>
      <c r="M68" s="296">
        <v>50000.0</v>
      </c>
      <c r="N68" s="121">
        <v>15.0</v>
      </c>
      <c r="O68" s="18">
        <f t="shared" si="1"/>
        <v>30</v>
      </c>
      <c r="P68" s="18">
        <f t="shared" si="2"/>
        <v>15</v>
      </c>
      <c r="Q68" s="121">
        <v>5.0</v>
      </c>
      <c r="R68" s="18">
        <f t="shared" si="3"/>
        <v>65</v>
      </c>
      <c r="S68" s="17" t="s">
        <v>3146</v>
      </c>
      <c r="T68" s="133" t="s">
        <v>3147</v>
      </c>
      <c r="U68" s="134" t="str">
        <f>HYPERLINK("https://drive.google.com/file/d/1jd7Sv19Y2xrmi9HUW46V6wXrrEzFkAY6/view?usp=drivesdk","Uv-Vis (Udara)_Ndiayu Ajeng Gareta_229")</f>
        <v>Uv-Vis (Udara)_Ndiayu Ajeng Gareta_229</v>
      </c>
      <c r="V68" s="17" t="s">
        <v>3148</v>
      </c>
    </row>
    <row r="69">
      <c r="A69" s="295">
        <v>45775.0</v>
      </c>
      <c r="B69" s="295">
        <v>45775.0</v>
      </c>
      <c r="C69" s="121" t="s">
        <v>2902</v>
      </c>
      <c r="D69" s="121">
        <v>230.0</v>
      </c>
      <c r="E69" s="121" t="s">
        <v>2903</v>
      </c>
      <c r="F69" s="121" t="s">
        <v>2904</v>
      </c>
      <c r="G69" s="121" t="s">
        <v>1132</v>
      </c>
      <c r="H69" s="121" t="s">
        <v>621</v>
      </c>
      <c r="I69" s="121" t="s">
        <v>2905</v>
      </c>
      <c r="J69" s="121" t="s">
        <v>2903</v>
      </c>
      <c r="K69" s="121" t="s">
        <v>155</v>
      </c>
      <c r="L69" s="121">
        <v>8.0</v>
      </c>
      <c r="M69" s="296">
        <v>50000.0</v>
      </c>
      <c r="N69" s="121">
        <v>15.0</v>
      </c>
      <c r="O69" s="18">
        <f t="shared" si="1"/>
        <v>80</v>
      </c>
      <c r="P69" s="18">
        <f t="shared" si="2"/>
        <v>40</v>
      </c>
      <c r="Q69" s="121">
        <v>5.0</v>
      </c>
      <c r="R69" s="18">
        <f t="shared" si="3"/>
        <v>140</v>
      </c>
      <c r="S69" s="17" t="s">
        <v>3149</v>
      </c>
      <c r="T69" s="133" t="s">
        <v>3150</v>
      </c>
      <c r="U69" s="134" t="str">
        <f>HYPERLINK("https://drive.google.com/file/d/1pqCwEWw5C6hg2MaTNkBxk8wHfPkyIG-Q/view?usp=drivesdk","Uv-Vis (Udara)_Ndiayu Ajeng Gareta_230")</f>
        <v>Uv-Vis (Udara)_Ndiayu Ajeng Gareta_230</v>
      </c>
      <c r="V69" s="17" t="s">
        <v>3148</v>
      </c>
    </row>
    <row r="70">
      <c r="A70" s="295">
        <v>45775.0</v>
      </c>
      <c r="B70" s="295">
        <v>45775.0</v>
      </c>
      <c r="C70" s="121" t="s">
        <v>2902</v>
      </c>
      <c r="D70" s="121">
        <v>232.0</v>
      </c>
      <c r="E70" s="121" t="s">
        <v>2108</v>
      </c>
      <c r="F70" s="121" t="s">
        <v>2109</v>
      </c>
      <c r="G70" s="121" t="s">
        <v>3057</v>
      </c>
      <c r="H70" s="121" t="s">
        <v>621</v>
      </c>
      <c r="I70" s="121" t="s">
        <v>2905</v>
      </c>
      <c r="J70" s="121" t="s">
        <v>3065</v>
      </c>
      <c r="K70" s="121" t="s">
        <v>155</v>
      </c>
      <c r="L70" s="121">
        <v>55.0</v>
      </c>
      <c r="M70" s="296">
        <v>5000.0</v>
      </c>
      <c r="N70" s="121">
        <v>15.0</v>
      </c>
      <c r="O70" s="18">
        <f t="shared" si="1"/>
        <v>550</v>
      </c>
      <c r="P70" s="18">
        <f t="shared" si="2"/>
        <v>275</v>
      </c>
      <c r="Q70" s="121">
        <v>5.0</v>
      </c>
      <c r="R70" s="18">
        <f t="shared" si="3"/>
        <v>845</v>
      </c>
      <c r="S70" s="17" t="s">
        <v>3151</v>
      </c>
      <c r="T70" s="133" t="s">
        <v>3152</v>
      </c>
      <c r="U70" s="134" t="str">
        <f>HYPERLINK("https://drive.google.com/file/d/1pYd8uraItXDUS2iKRL68WuuHlRFeuivp/view?usp=drivesdk","Uv-Vis (Udara)_Rizqi Apriliyani_232")</f>
        <v>Uv-Vis (Udara)_Rizqi Apriliyani_232</v>
      </c>
      <c r="V70" s="17" t="s">
        <v>3153</v>
      </c>
    </row>
    <row r="71">
      <c r="A71" s="295">
        <v>45776.0</v>
      </c>
      <c r="B71" s="295">
        <v>45776.0</v>
      </c>
      <c r="C71" s="121" t="s">
        <v>2902</v>
      </c>
      <c r="D71" s="121">
        <v>234.0</v>
      </c>
      <c r="E71" s="121" t="s">
        <v>2903</v>
      </c>
      <c r="F71" s="121" t="s">
        <v>2904</v>
      </c>
      <c r="G71" s="121" t="s">
        <v>1132</v>
      </c>
      <c r="H71" s="121" t="s">
        <v>621</v>
      </c>
      <c r="I71" s="121" t="s">
        <v>2905</v>
      </c>
      <c r="J71" s="121" t="s">
        <v>2903</v>
      </c>
      <c r="K71" s="121" t="s">
        <v>155</v>
      </c>
      <c r="L71" s="121">
        <v>1.0</v>
      </c>
      <c r="M71" s="296">
        <v>50000.0</v>
      </c>
      <c r="N71" s="121">
        <v>15.0</v>
      </c>
      <c r="O71" s="18">
        <f t="shared" si="1"/>
        <v>10</v>
      </c>
      <c r="P71" s="18">
        <f t="shared" si="2"/>
        <v>5</v>
      </c>
      <c r="Q71" s="121">
        <v>5.0</v>
      </c>
      <c r="R71" s="18">
        <f t="shared" si="3"/>
        <v>35</v>
      </c>
      <c r="S71" s="17" t="s">
        <v>3154</v>
      </c>
      <c r="T71" s="133" t="s">
        <v>3155</v>
      </c>
      <c r="U71" s="134" t="str">
        <f>HYPERLINK("https://drive.google.com/file/d/13GS9q8oPnHO8oPw7ng2-yeozZzSyBjQR/view?usp=drivesdk","Uv-Vis (Udara)_Ndiayu Ajeng Gareta_234")</f>
        <v>Uv-Vis (Udara)_Ndiayu Ajeng Gareta_234</v>
      </c>
      <c r="V71" s="17" t="s">
        <v>3153</v>
      </c>
    </row>
    <row r="72">
      <c r="A72" s="295">
        <v>45785.0</v>
      </c>
      <c r="B72" s="295">
        <v>45785.0</v>
      </c>
      <c r="C72" s="121" t="s">
        <v>2902</v>
      </c>
      <c r="D72" s="121">
        <v>270.0</v>
      </c>
      <c r="E72" s="121" t="s">
        <v>3156</v>
      </c>
      <c r="F72" s="121" t="s">
        <v>1871</v>
      </c>
      <c r="G72" s="121" t="s">
        <v>3057</v>
      </c>
      <c r="H72" s="121" t="s">
        <v>621</v>
      </c>
      <c r="I72" s="121" t="s">
        <v>2905</v>
      </c>
      <c r="J72" s="121" t="s">
        <v>3157</v>
      </c>
      <c r="K72" s="121" t="s">
        <v>2906</v>
      </c>
      <c r="L72" s="121">
        <v>6.0</v>
      </c>
      <c r="M72" s="296">
        <v>5000.0</v>
      </c>
      <c r="N72" s="121">
        <v>15.0</v>
      </c>
      <c r="O72" s="18">
        <f t="shared" si="1"/>
        <v>60</v>
      </c>
      <c r="P72" s="18">
        <f t="shared" si="2"/>
        <v>30</v>
      </c>
      <c r="Q72" s="121">
        <v>5.0</v>
      </c>
      <c r="R72" s="18">
        <f t="shared" si="3"/>
        <v>110</v>
      </c>
      <c r="S72" s="17" t="s">
        <v>3158</v>
      </c>
      <c r="T72" s="133" t="s">
        <v>3159</v>
      </c>
      <c r="U72" s="134" t="str">
        <f>HYPERLINK("https://drive.google.com/file/d/1QqPgIazFoer5Ck8psWr5kck-jnxwgR6B/view?usp=drivesdk","Uv-Vis (Udara)_Nadia Octaviani_270")</f>
        <v>Uv-Vis (Udara)_Nadia Octaviani_270</v>
      </c>
      <c r="V72" s="17" t="s">
        <v>3160</v>
      </c>
    </row>
    <row r="73">
      <c r="A73" s="295">
        <v>45785.0</v>
      </c>
      <c r="B73" s="295">
        <v>45785.0</v>
      </c>
      <c r="C73" s="121" t="s">
        <v>2902</v>
      </c>
      <c r="D73" s="121">
        <v>271.0</v>
      </c>
      <c r="E73" s="121" t="s">
        <v>2903</v>
      </c>
      <c r="F73" s="121" t="s">
        <v>2904</v>
      </c>
      <c r="G73" s="121" t="s">
        <v>1132</v>
      </c>
      <c r="H73" s="121" t="s">
        <v>621</v>
      </c>
      <c r="I73" s="121" t="s">
        <v>2905</v>
      </c>
      <c r="J73" s="121" t="s">
        <v>2903</v>
      </c>
      <c r="K73" s="121" t="s">
        <v>155</v>
      </c>
      <c r="L73" s="121">
        <v>4.0</v>
      </c>
      <c r="M73" s="296">
        <v>50000.0</v>
      </c>
      <c r="N73" s="121">
        <v>15.0</v>
      </c>
      <c r="O73" s="18">
        <f t="shared" si="1"/>
        <v>40</v>
      </c>
      <c r="P73" s="18">
        <f t="shared" si="2"/>
        <v>20</v>
      </c>
      <c r="Q73" s="121">
        <v>5.0</v>
      </c>
      <c r="R73" s="18">
        <f t="shared" si="3"/>
        <v>80</v>
      </c>
      <c r="S73" s="17" t="s">
        <v>3161</v>
      </c>
      <c r="T73" s="133" t="s">
        <v>3162</v>
      </c>
      <c r="U73" s="134" t="str">
        <f>HYPERLINK("https://drive.google.com/file/d/1Kb-gIXVMi5SuT_fvHTygvsyMe394sTYW/view?usp=drivesdk","Uv-Vis (Udara)_Ndiayu Ajeng Gareta_271")</f>
        <v>Uv-Vis (Udara)_Ndiayu Ajeng Gareta_271</v>
      </c>
      <c r="V73" s="17" t="s">
        <v>3163</v>
      </c>
    </row>
    <row r="74">
      <c r="A74" s="295">
        <v>45785.0</v>
      </c>
      <c r="B74" s="295">
        <v>45785.0</v>
      </c>
      <c r="C74" s="121" t="s">
        <v>2902</v>
      </c>
      <c r="D74" s="121">
        <v>273.0</v>
      </c>
      <c r="E74" s="121" t="s">
        <v>3156</v>
      </c>
      <c r="F74" s="121" t="s">
        <v>1871</v>
      </c>
      <c r="G74" s="121" t="s">
        <v>3057</v>
      </c>
      <c r="H74" s="121" t="s">
        <v>621</v>
      </c>
      <c r="I74" s="121" t="s">
        <v>2905</v>
      </c>
      <c r="J74" s="121" t="s">
        <v>3156</v>
      </c>
      <c r="K74" s="121" t="s">
        <v>155</v>
      </c>
      <c r="L74" s="121">
        <v>1.0</v>
      </c>
      <c r="M74" s="296">
        <v>5000.0</v>
      </c>
      <c r="N74" s="121">
        <v>15.0</v>
      </c>
      <c r="O74" s="18">
        <f t="shared" si="1"/>
        <v>10</v>
      </c>
      <c r="P74" s="18">
        <f t="shared" si="2"/>
        <v>5</v>
      </c>
      <c r="Q74" s="121">
        <v>5.0</v>
      </c>
      <c r="R74" s="18">
        <f t="shared" si="3"/>
        <v>35</v>
      </c>
      <c r="S74" s="17" t="s">
        <v>3164</v>
      </c>
      <c r="T74" s="133" t="s">
        <v>3165</v>
      </c>
      <c r="U74" s="134" t="str">
        <f>HYPERLINK("https://drive.google.com/file/d/1PsHW3fa7TPEGC9fes2pbiDmaF0Zl_G5A/view?usp=drivesdk","Uv-Vis (Udara)_Nadia Octaviani_273")</f>
        <v>Uv-Vis (Udara)_Nadia Octaviani_273</v>
      </c>
      <c r="V74" s="17" t="s">
        <v>3163</v>
      </c>
    </row>
    <row r="75">
      <c r="A75" s="295">
        <v>45791.0</v>
      </c>
      <c r="B75" s="295">
        <v>45791.0</v>
      </c>
      <c r="C75" s="121" t="s">
        <v>2902</v>
      </c>
      <c r="D75" s="121">
        <v>282.0</v>
      </c>
      <c r="E75" s="121" t="s">
        <v>2903</v>
      </c>
      <c r="F75" s="121" t="s">
        <v>2904</v>
      </c>
      <c r="G75" s="121" t="s">
        <v>1132</v>
      </c>
      <c r="H75" s="121" t="s">
        <v>621</v>
      </c>
      <c r="I75" s="121" t="s">
        <v>2905</v>
      </c>
      <c r="J75" s="121" t="s">
        <v>2903</v>
      </c>
      <c r="K75" s="121" t="s">
        <v>155</v>
      </c>
      <c r="L75" s="121">
        <v>5.0</v>
      </c>
      <c r="M75" s="296">
        <v>50000.0</v>
      </c>
      <c r="N75" s="121">
        <v>15.0</v>
      </c>
      <c r="O75" s="18">
        <f t="shared" si="1"/>
        <v>50</v>
      </c>
      <c r="P75" s="18">
        <f t="shared" si="2"/>
        <v>25</v>
      </c>
      <c r="Q75" s="121">
        <v>5.0</v>
      </c>
      <c r="R75" s="18">
        <f t="shared" si="3"/>
        <v>95</v>
      </c>
      <c r="S75" s="17" t="s">
        <v>3166</v>
      </c>
      <c r="T75" s="133" t="s">
        <v>3167</v>
      </c>
      <c r="U75" s="134" t="str">
        <f>HYPERLINK("https://drive.google.com/file/d/1CsiREmrLWhTQzURoh93oIvQs8hPpS2eU/view?usp=drivesdk","Uv-Vis (Udara)_Ndiayu Ajeng Gareta_282")</f>
        <v>Uv-Vis (Udara)_Ndiayu Ajeng Gareta_282</v>
      </c>
      <c r="V75" s="17" t="s">
        <v>3168</v>
      </c>
    </row>
    <row r="76">
      <c r="A76" s="295">
        <v>45792.0</v>
      </c>
      <c r="B76" s="295">
        <v>45792.0</v>
      </c>
      <c r="C76" s="121" t="s">
        <v>2902</v>
      </c>
      <c r="D76" s="121">
        <v>279.0</v>
      </c>
      <c r="E76" s="121" t="s">
        <v>3140</v>
      </c>
      <c r="F76" s="17" t="s">
        <v>3169</v>
      </c>
      <c r="G76" s="121" t="s">
        <v>3170</v>
      </c>
      <c r="H76" s="121" t="s">
        <v>541</v>
      </c>
      <c r="I76" s="121" t="s">
        <v>2905</v>
      </c>
      <c r="J76" s="121" t="s">
        <v>3142</v>
      </c>
      <c r="K76" s="121" t="s">
        <v>2924</v>
      </c>
      <c r="L76" s="121">
        <v>4.0</v>
      </c>
      <c r="M76" s="296">
        <v>60000.0</v>
      </c>
      <c r="N76" s="121">
        <v>15.0</v>
      </c>
      <c r="O76" s="18">
        <f t="shared" si="1"/>
        <v>40</v>
      </c>
      <c r="P76" s="18">
        <f t="shared" si="2"/>
        <v>20</v>
      </c>
      <c r="Q76" s="121">
        <v>5.0</v>
      </c>
      <c r="R76" s="18">
        <f t="shared" si="3"/>
        <v>80</v>
      </c>
      <c r="S76" s="17" t="s">
        <v>3171</v>
      </c>
      <c r="T76" s="133" t="s">
        <v>3172</v>
      </c>
      <c r="U76" s="134" t="str">
        <f>HYPERLINK("https://drive.google.com/file/d/1nrfrD3pVYBabHCyvaNbwHJ7V_nryRLuO/view?usp=drivesdk","Uv-Vis (Udara)_Dwi Setiawan _279")</f>
        <v>Uv-Vis (Udara)_Dwi Setiawan _279</v>
      </c>
      <c r="V76" s="17" t="s">
        <v>3173</v>
      </c>
    </row>
    <row r="77">
      <c r="A77" s="295">
        <v>45792.0</v>
      </c>
      <c r="B77" s="295">
        <v>45792.0</v>
      </c>
      <c r="C77" s="121" t="s">
        <v>2902</v>
      </c>
      <c r="D77" s="121">
        <v>286.0</v>
      </c>
      <c r="E77" s="121" t="s">
        <v>2903</v>
      </c>
      <c r="F77" s="121" t="s">
        <v>2904</v>
      </c>
      <c r="G77" s="121" t="s">
        <v>1132</v>
      </c>
      <c r="H77" s="121" t="s">
        <v>621</v>
      </c>
      <c r="I77" s="121" t="s">
        <v>2905</v>
      </c>
      <c r="J77" s="121" t="s">
        <v>2903</v>
      </c>
      <c r="K77" s="121" t="s">
        <v>155</v>
      </c>
      <c r="L77" s="121">
        <v>6.0</v>
      </c>
      <c r="M77" s="296">
        <v>50000.0</v>
      </c>
      <c r="N77" s="121">
        <v>15.0</v>
      </c>
      <c r="O77" s="18">
        <f t="shared" si="1"/>
        <v>60</v>
      </c>
      <c r="P77" s="18">
        <f t="shared" si="2"/>
        <v>30</v>
      </c>
      <c r="Q77" s="121">
        <v>5.0</v>
      </c>
      <c r="R77" s="18">
        <f t="shared" si="3"/>
        <v>110</v>
      </c>
      <c r="S77" s="17" t="s">
        <v>3174</v>
      </c>
      <c r="T77" s="133" t="s">
        <v>3175</v>
      </c>
      <c r="U77" s="134" t="str">
        <f>HYPERLINK("https://drive.google.com/file/d/1BDOT3qYYkn4y98BNBOpowY4iIqn635_y/view?usp=drivesdk","Uv-Vis (Udara)_Ndiayu Ajeng Gareta_286")</f>
        <v>Uv-Vis (Udara)_Ndiayu Ajeng Gareta_286</v>
      </c>
      <c r="V77" s="17" t="s">
        <v>3176</v>
      </c>
    </row>
    <row r="78">
      <c r="A78" s="295">
        <v>45792.0</v>
      </c>
      <c r="B78" s="295">
        <v>45792.0</v>
      </c>
      <c r="C78" s="121" t="s">
        <v>2902</v>
      </c>
      <c r="D78" s="121">
        <v>276.0</v>
      </c>
      <c r="E78" s="121" t="s">
        <v>2903</v>
      </c>
      <c r="F78" s="121" t="s">
        <v>2904</v>
      </c>
      <c r="G78" s="121" t="s">
        <v>1132</v>
      </c>
      <c r="H78" s="121" t="s">
        <v>621</v>
      </c>
      <c r="I78" s="121" t="s">
        <v>2905</v>
      </c>
      <c r="J78" s="121" t="s">
        <v>2903</v>
      </c>
      <c r="K78" s="121" t="s">
        <v>155</v>
      </c>
      <c r="L78" s="121">
        <v>6.0</v>
      </c>
      <c r="M78" s="296">
        <v>50000.0</v>
      </c>
      <c r="N78" s="121">
        <v>15.0</v>
      </c>
      <c r="O78" s="18">
        <f t="shared" si="1"/>
        <v>60</v>
      </c>
      <c r="P78" s="18">
        <f t="shared" si="2"/>
        <v>30</v>
      </c>
      <c r="Q78" s="121">
        <v>5.0</v>
      </c>
      <c r="R78" s="18">
        <f t="shared" si="3"/>
        <v>110</v>
      </c>
      <c r="S78" s="17" t="s">
        <v>3177</v>
      </c>
      <c r="T78" s="133" t="s">
        <v>3178</v>
      </c>
      <c r="U78" s="134" t="str">
        <f>HYPERLINK("https://drive.google.com/file/d/1Lrq7YQfBacHfT1W3bBrlPI-JkcGM_GSb/view?usp=drivesdk","Uv-Vis (Udara)_Ndiayu Ajeng Gareta_276")</f>
        <v>Uv-Vis (Udara)_Ndiayu Ajeng Gareta_276</v>
      </c>
      <c r="V78" s="17" t="s">
        <v>3179</v>
      </c>
    </row>
    <row r="79">
      <c r="A79" s="295">
        <v>45793.0</v>
      </c>
      <c r="B79" s="295">
        <v>45793.0</v>
      </c>
      <c r="C79" s="121" t="s">
        <v>2902</v>
      </c>
      <c r="D79" s="121">
        <v>225.0</v>
      </c>
      <c r="E79" s="121" t="s">
        <v>2548</v>
      </c>
      <c r="F79" s="121" t="s">
        <v>2549</v>
      </c>
      <c r="G79" s="121" t="s">
        <v>3057</v>
      </c>
      <c r="H79" s="121" t="s">
        <v>621</v>
      </c>
      <c r="I79" s="121" t="s">
        <v>2905</v>
      </c>
      <c r="J79" s="121" t="s">
        <v>2548</v>
      </c>
      <c r="K79" s="121" t="s">
        <v>155</v>
      </c>
      <c r="L79" s="121">
        <v>30.0</v>
      </c>
      <c r="M79" s="121">
        <v>5000.0</v>
      </c>
      <c r="N79" s="121">
        <v>15.0</v>
      </c>
      <c r="O79" s="18">
        <f t="shared" si="1"/>
        <v>300</v>
      </c>
      <c r="P79" s="18">
        <f t="shared" si="2"/>
        <v>150</v>
      </c>
      <c r="Q79" s="121">
        <v>5.0</v>
      </c>
      <c r="R79" s="18">
        <f t="shared" si="3"/>
        <v>470</v>
      </c>
      <c r="S79" s="17" t="s">
        <v>3180</v>
      </c>
      <c r="T79" s="133" t="s">
        <v>3181</v>
      </c>
      <c r="U79" s="134" t="str">
        <f>HYPERLINK("https://drive.google.com/file/d/1GpCTjADH11VTBxRX4jOifaPVEm82NDkj/view?usp=drivesdk","Uv-Vis (Udara)_Dofito Hanifah Kusindarto_225")</f>
        <v>Uv-Vis (Udara)_Dofito Hanifah Kusindarto_225</v>
      </c>
      <c r="V79" s="17" t="s">
        <v>3182</v>
      </c>
    </row>
    <row r="80">
      <c r="A80" s="295">
        <v>45793.0</v>
      </c>
      <c r="B80" s="295">
        <v>45793.0</v>
      </c>
      <c r="C80" s="121" t="s">
        <v>2902</v>
      </c>
      <c r="D80" s="121">
        <v>289.0</v>
      </c>
      <c r="E80" s="121" t="s">
        <v>2915</v>
      </c>
      <c r="F80" s="121" t="s">
        <v>2916</v>
      </c>
      <c r="G80" s="121" t="s">
        <v>814</v>
      </c>
      <c r="H80" s="121" t="s">
        <v>621</v>
      </c>
      <c r="I80" s="121" t="s">
        <v>2905</v>
      </c>
      <c r="J80" s="121" t="s">
        <v>2915</v>
      </c>
      <c r="K80" s="121" t="s">
        <v>155</v>
      </c>
      <c r="L80" s="121">
        <v>4.0</v>
      </c>
      <c r="M80" s="121">
        <v>5000.0</v>
      </c>
      <c r="N80" s="121">
        <v>15.0</v>
      </c>
      <c r="O80" s="18">
        <f t="shared" si="1"/>
        <v>40</v>
      </c>
      <c r="P80" s="18">
        <f t="shared" si="2"/>
        <v>20</v>
      </c>
      <c r="Q80" s="121">
        <v>5.0</v>
      </c>
      <c r="R80" s="18">
        <f t="shared" si="3"/>
        <v>80</v>
      </c>
      <c r="S80" s="17" t="s">
        <v>3183</v>
      </c>
      <c r="T80" s="133" t="s">
        <v>3184</v>
      </c>
      <c r="U80" s="134" t="str">
        <f>HYPERLINK("https://drive.google.com/file/d/1F5QbDRNDe4y7mIps9pRx7ds2OtH8YnkK/view?usp=drivesdk","Uv-Vis (Udara)_Yusuf Kurnia Pamungkas_289")</f>
        <v>Uv-Vis (Udara)_Yusuf Kurnia Pamungkas_289</v>
      </c>
      <c r="V80" s="17" t="s">
        <v>3185</v>
      </c>
    </row>
    <row r="81">
      <c r="A81" s="295">
        <v>45793.0</v>
      </c>
      <c r="B81" s="295">
        <v>45793.0</v>
      </c>
      <c r="C81" s="121" t="s">
        <v>2902</v>
      </c>
      <c r="D81" s="121">
        <v>291.0</v>
      </c>
      <c r="E81" s="121" t="s">
        <v>2903</v>
      </c>
      <c r="F81" s="121" t="s">
        <v>2904</v>
      </c>
      <c r="G81" s="121" t="s">
        <v>1132</v>
      </c>
      <c r="H81" s="121" t="s">
        <v>621</v>
      </c>
      <c r="I81" s="121" t="s">
        <v>2905</v>
      </c>
      <c r="J81" s="121" t="s">
        <v>2903</v>
      </c>
      <c r="K81" s="121" t="s">
        <v>155</v>
      </c>
      <c r="L81" s="121">
        <v>6.0</v>
      </c>
      <c r="M81" s="296">
        <v>50000.0</v>
      </c>
      <c r="N81" s="121">
        <v>15.0</v>
      </c>
      <c r="O81" s="18">
        <f t="shared" si="1"/>
        <v>60</v>
      </c>
      <c r="P81" s="18">
        <f t="shared" si="2"/>
        <v>30</v>
      </c>
      <c r="Q81" s="121">
        <v>5.0</v>
      </c>
      <c r="R81" s="18">
        <f t="shared" si="3"/>
        <v>110</v>
      </c>
      <c r="S81" s="17" t="s">
        <v>3186</v>
      </c>
      <c r="T81" s="133" t="s">
        <v>3187</v>
      </c>
      <c r="U81" s="134" t="str">
        <f>HYPERLINK("https://drive.google.com/file/d/1SvfH7gxxsN_p2zENSmHD7YsQFnt51DKm/view?usp=drivesdk","Uv-Vis (Udara)_Ndiayu Ajeng Gareta_291")</f>
        <v>Uv-Vis (Udara)_Ndiayu Ajeng Gareta_291</v>
      </c>
      <c r="V81" s="17" t="s">
        <v>3188</v>
      </c>
    </row>
    <row r="82">
      <c r="A82" s="295">
        <v>45793.0</v>
      </c>
      <c r="B82" s="295">
        <v>45793.0</v>
      </c>
      <c r="C82" s="121" t="s">
        <v>2902</v>
      </c>
      <c r="D82" s="121">
        <v>298.0</v>
      </c>
      <c r="E82" s="121" t="s">
        <v>3189</v>
      </c>
      <c r="F82" s="217" t="s">
        <v>3190</v>
      </c>
      <c r="G82" s="217" t="s">
        <v>3191</v>
      </c>
      <c r="H82" s="121" t="s">
        <v>621</v>
      </c>
      <c r="I82" s="121" t="s">
        <v>2905</v>
      </c>
      <c r="J82" s="121" t="s">
        <v>3192</v>
      </c>
      <c r="K82" s="121" t="s">
        <v>2906</v>
      </c>
      <c r="L82" s="121">
        <v>11.0</v>
      </c>
      <c r="M82" s="296">
        <v>50000.0</v>
      </c>
      <c r="N82" s="121">
        <v>15.0</v>
      </c>
      <c r="O82" s="18">
        <f t="shared" si="1"/>
        <v>110</v>
      </c>
      <c r="P82" s="18">
        <f t="shared" si="2"/>
        <v>55</v>
      </c>
      <c r="Q82" s="121">
        <v>5.0</v>
      </c>
      <c r="R82" s="18">
        <f t="shared" si="3"/>
        <v>185</v>
      </c>
      <c r="S82" s="17" t="s">
        <v>3193</v>
      </c>
      <c r="T82" s="133" t="s">
        <v>3194</v>
      </c>
      <c r="U82" s="134" t="str">
        <f>HYPERLINK("https://drive.google.com/file/d/1IYlb7aQ9mxFNH36cZNzQwE6cCJx_Dv7Z/view?usp=drivesdk","Uv-Vis (Udara)_Muhammad Fadhlillah Ibn Rachmadi _298")</f>
        <v>Uv-Vis (Udara)_Muhammad Fadhlillah Ibn Rachmadi _298</v>
      </c>
      <c r="V82" s="17" t="s">
        <v>3195</v>
      </c>
    </row>
    <row r="83">
      <c r="A83" s="295">
        <v>45798.0</v>
      </c>
      <c r="B83" s="295">
        <v>45798.0</v>
      </c>
      <c r="C83" s="121" t="s">
        <v>2902</v>
      </c>
      <c r="D83" s="121">
        <v>306.0</v>
      </c>
      <c r="E83" s="121" t="s">
        <v>2506</v>
      </c>
      <c r="F83" s="121" t="s">
        <v>2507</v>
      </c>
      <c r="G83" s="121" t="s">
        <v>2508</v>
      </c>
      <c r="H83" s="121" t="s">
        <v>621</v>
      </c>
      <c r="I83" s="121" t="s">
        <v>2905</v>
      </c>
      <c r="J83" s="121" t="s">
        <v>2506</v>
      </c>
      <c r="K83" s="121" t="s">
        <v>155</v>
      </c>
      <c r="L83" s="121">
        <v>3.0</v>
      </c>
      <c r="M83" s="296">
        <v>50000.0</v>
      </c>
      <c r="N83" s="121">
        <v>15.0</v>
      </c>
      <c r="O83" s="18">
        <f t="shared" si="1"/>
        <v>30</v>
      </c>
      <c r="P83" s="18">
        <f t="shared" si="2"/>
        <v>15</v>
      </c>
      <c r="Q83" s="121">
        <v>5.0</v>
      </c>
      <c r="R83" s="18">
        <f t="shared" si="3"/>
        <v>65</v>
      </c>
      <c r="S83" s="17" t="s">
        <v>3196</v>
      </c>
      <c r="T83" s="133" t="s">
        <v>3197</v>
      </c>
      <c r="U83" s="134" t="str">
        <f>HYPERLINK("https://drive.google.com/file/d/1-D9y9W0R5XAdX4usNhT8_7epQx8yhCAG/view?usp=drivesdk","Uv-Vis (Udara)_Abiyoga Nugroho_306")</f>
        <v>Uv-Vis (Udara)_Abiyoga Nugroho_306</v>
      </c>
      <c r="V83" s="17" t="s">
        <v>3198</v>
      </c>
    </row>
    <row r="84">
      <c r="A84" s="295">
        <v>45783.0</v>
      </c>
      <c r="B84" s="295">
        <v>45783.0</v>
      </c>
      <c r="C84" s="121" t="s">
        <v>2902</v>
      </c>
      <c r="D84" s="121">
        <v>251.0</v>
      </c>
      <c r="E84" s="121" t="s">
        <v>2108</v>
      </c>
      <c r="F84" s="121" t="s">
        <v>2109</v>
      </c>
      <c r="G84" s="121" t="s">
        <v>3057</v>
      </c>
      <c r="H84" s="121" t="s">
        <v>621</v>
      </c>
      <c r="I84" s="121" t="s">
        <v>2905</v>
      </c>
      <c r="J84" s="121" t="s">
        <v>2108</v>
      </c>
      <c r="K84" s="121" t="s">
        <v>155</v>
      </c>
      <c r="L84" s="121">
        <v>100.0</v>
      </c>
      <c r="M84" s="296">
        <v>5000.0</v>
      </c>
      <c r="N84" s="121">
        <v>15.0</v>
      </c>
      <c r="O84" s="18">
        <f t="shared" si="1"/>
        <v>1000</v>
      </c>
      <c r="P84" s="18">
        <f t="shared" si="2"/>
        <v>500</v>
      </c>
      <c r="Q84" s="121">
        <v>5.0</v>
      </c>
      <c r="R84" s="18">
        <f t="shared" si="3"/>
        <v>1520</v>
      </c>
      <c r="S84" s="17" t="s">
        <v>3199</v>
      </c>
      <c r="T84" s="133" t="s">
        <v>3200</v>
      </c>
      <c r="U84" s="134" t="str">
        <f>HYPERLINK("https://drive.google.com/file/d/1bWra1f2QE0Zgh4gom7zyJUJifFfFLYlq/view?usp=drivesdk","Uv-Vis (Udara)_Rizqi Apriliyani_251")</f>
        <v>Uv-Vis (Udara)_Rizqi Apriliyani_251</v>
      </c>
      <c r="V84" s="17" t="s">
        <v>3201</v>
      </c>
    </row>
    <row r="85">
      <c r="A85" s="295">
        <v>45803.0</v>
      </c>
      <c r="B85" s="295">
        <v>45803.0</v>
      </c>
      <c r="C85" s="121" t="s">
        <v>2902</v>
      </c>
      <c r="D85" s="121">
        <v>322.0</v>
      </c>
      <c r="E85" s="121" t="s">
        <v>2903</v>
      </c>
      <c r="F85" s="121" t="s">
        <v>2904</v>
      </c>
      <c r="G85" s="121" t="s">
        <v>1132</v>
      </c>
      <c r="H85" s="121" t="s">
        <v>621</v>
      </c>
      <c r="I85" s="121" t="s">
        <v>2905</v>
      </c>
      <c r="J85" s="121" t="s">
        <v>2903</v>
      </c>
      <c r="K85" s="121" t="s">
        <v>155</v>
      </c>
      <c r="L85" s="121">
        <v>9.0</v>
      </c>
      <c r="M85" s="296">
        <v>50000.0</v>
      </c>
      <c r="N85" s="121">
        <v>15.0</v>
      </c>
      <c r="O85" s="18">
        <f t="shared" si="1"/>
        <v>90</v>
      </c>
      <c r="P85" s="18">
        <f t="shared" si="2"/>
        <v>45</v>
      </c>
      <c r="Q85" s="121">
        <v>5.0</v>
      </c>
      <c r="R85" s="18">
        <f t="shared" si="3"/>
        <v>155</v>
      </c>
      <c r="S85" s="17" t="s">
        <v>3202</v>
      </c>
      <c r="T85" s="133" t="s">
        <v>3203</v>
      </c>
      <c r="U85" s="134" t="str">
        <f>HYPERLINK("https://drive.google.com/file/d/1iykgQtL7yDu077lSQ9WJhDLfzpyZJwWZ/view?usp=drivesdk","Uv-Vis (Udara)_Ndiayu Ajeng Gareta_322")</f>
        <v>Uv-Vis (Udara)_Ndiayu Ajeng Gareta_322</v>
      </c>
      <c r="V85" s="17" t="s">
        <v>3204</v>
      </c>
    </row>
    <row r="86">
      <c r="A86" s="295">
        <v>45805.0</v>
      </c>
      <c r="B86" s="295">
        <v>45805.0</v>
      </c>
      <c r="C86" s="121" t="s">
        <v>2902</v>
      </c>
      <c r="D86" s="121">
        <v>342.0</v>
      </c>
      <c r="E86" s="121" t="s">
        <v>2903</v>
      </c>
      <c r="F86" s="121" t="s">
        <v>2904</v>
      </c>
      <c r="G86" s="121" t="s">
        <v>1132</v>
      </c>
      <c r="H86" s="121" t="s">
        <v>621</v>
      </c>
      <c r="I86" s="121" t="s">
        <v>2905</v>
      </c>
      <c r="J86" s="121" t="s">
        <v>2903</v>
      </c>
      <c r="K86" s="121" t="s">
        <v>155</v>
      </c>
      <c r="L86" s="121">
        <v>9.0</v>
      </c>
      <c r="M86" s="296">
        <v>50000.0</v>
      </c>
      <c r="N86" s="121">
        <v>15.0</v>
      </c>
      <c r="O86" s="18">
        <f t="shared" si="1"/>
        <v>90</v>
      </c>
      <c r="P86" s="18">
        <f t="shared" si="2"/>
        <v>45</v>
      </c>
      <c r="Q86" s="121">
        <v>5.0</v>
      </c>
      <c r="R86" s="18">
        <f t="shared" si="3"/>
        <v>155</v>
      </c>
      <c r="S86" s="17" t="s">
        <v>3205</v>
      </c>
      <c r="T86" s="133" t="s">
        <v>3206</v>
      </c>
      <c r="U86" s="134" t="str">
        <f>HYPERLINK("https://drive.google.com/file/d/1N8sC_wmDHLgihKO9UKcVAsXHKtfnf2zO/view?usp=drivesdk","Uv-Vis (Udara)_Ndiayu Ajeng Gareta_342")</f>
        <v>Uv-Vis (Udara)_Ndiayu Ajeng Gareta_342</v>
      </c>
      <c r="V86" s="17" t="s">
        <v>3204</v>
      </c>
    </row>
    <row r="87">
      <c r="A87" s="295">
        <v>45810.0</v>
      </c>
      <c r="B87" s="295">
        <v>45810.0</v>
      </c>
      <c r="C87" s="121" t="s">
        <v>2902</v>
      </c>
      <c r="D87" s="121">
        <v>353.0</v>
      </c>
      <c r="E87" s="121" t="s">
        <v>2606</v>
      </c>
      <c r="F87" s="121" t="s">
        <v>2607</v>
      </c>
      <c r="G87" s="121" t="s">
        <v>1132</v>
      </c>
      <c r="H87" s="121" t="s">
        <v>621</v>
      </c>
      <c r="I87" s="121" t="s">
        <v>2905</v>
      </c>
      <c r="J87" s="121" t="s">
        <v>2606</v>
      </c>
      <c r="K87" s="121" t="s">
        <v>155</v>
      </c>
      <c r="L87" s="121">
        <v>2.0</v>
      </c>
      <c r="M87" s="296">
        <v>5000.0</v>
      </c>
      <c r="N87" s="121">
        <v>15.0</v>
      </c>
      <c r="O87" s="18">
        <f t="shared" si="1"/>
        <v>20</v>
      </c>
      <c r="P87" s="18">
        <f t="shared" si="2"/>
        <v>10</v>
      </c>
      <c r="Q87" s="121">
        <v>5.0</v>
      </c>
      <c r="R87" s="18">
        <f t="shared" si="3"/>
        <v>50</v>
      </c>
      <c r="S87" s="17" t="s">
        <v>3207</v>
      </c>
      <c r="T87" s="133" t="s">
        <v>3208</v>
      </c>
      <c r="U87" s="134" t="str">
        <f>HYPERLINK("https://drive.google.com/file/d/1AKSm8d75PJWp2xnT5kC5pxSie_e_BJJN/view?usp=drivesdk","Uv-Vis (Udara)_Izza Laila Nur Rohmah_353")</f>
        <v>Uv-Vis (Udara)_Izza Laila Nur Rohmah_353</v>
      </c>
      <c r="V87" s="17" t="s">
        <v>3209</v>
      </c>
    </row>
    <row r="88">
      <c r="A88" s="295">
        <v>45810.0</v>
      </c>
      <c r="B88" s="295">
        <v>45810.0</v>
      </c>
      <c r="C88" s="121" t="s">
        <v>2902</v>
      </c>
      <c r="D88" s="121">
        <v>355.0</v>
      </c>
      <c r="E88" s="217" t="s">
        <v>2731</v>
      </c>
      <c r="F88" s="217" t="s">
        <v>2732</v>
      </c>
      <c r="G88" s="217" t="s">
        <v>1132</v>
      </c>
      <c r="H88" s="121" t="s">
        <v>621</v>
      </c>
      <c r="I88" s="121" t="s">
        <v>2905</v>
      </c>
      <c r="J88" s="217" t="s">
        <v>2731</v>
      </c>
      <c r="K88" s="121" t="s">
        <v>155</v>
      </c>
      <c r="L88" s="121">
        <v>5.0</v>
      </c>
      <c r="M88" s="296">
        <v>5000.0</v>
      </c>
      <c r="N88" s="121">
        <v>15.0</v>
      </c>
      <c r="O88" s="18">
        <f t="shared" si="1"/>
        <v>50</v>
      </c>
      <c r="P88" s="18">
        <f t="shared" si="2"/>
        <v>25</v>
      </c>
      <c r="Q88" s="121">
        <v>5.0</v>
      </c>
      <c r="R88" s="18">
        <f t="shared" si="3"/>
        <v>95</v>
      </c>
      <c r="S88" s="17" t="s">
        <v>3210</v>
      </c>
      <c r="T88" s="133" t="s">
        <v>3211</v>
      </c>
      <c r="U88" s="134" t="str">
        <f>HYPERLINK("https://drive.google.com/file/d/1Zt5dDkuVa29NT9CkFarJbxMb9mV9Ormh/view?usp=drivesdk","Uv-Vis (Udara)_Muhammad Iqbal Juniardi_355")</f>
        <v>Uv-Vis (Udara)_Muhammad Iqbal Juniardi_355</v>
      </c>
      <c r="V88" s="17" t="s">
        <v>3209</v>
      </c>
    </row>
    <row r="89">
      <c r="A89" s="295">
        <v>45811.0</v>
      </c>
      <c r="B89" s="295">
        <v>45811.0</v>
      </c>
      <c r="C89" s="121" t="s">
        <v>2902</v>
      </c>
      <c r="D89" s="121">
        <v>357.0</v>
      </c>
      <c r="E89" s="121" t="s">
        <v>2903</v>
      </c>
      <c r="F89" s="121" t="s">
        <v>2904</v>
      </c>
      <c r="G89" s="121" t="s">
        <v>1132</v>
      </c>
      <c r="H89" s="121" t="s">
        <v>621</v>
      </c>
      <c r="I89" s="121" t="s">
        <v>2905</v>
      </c>
      <c r="J89" s="121" t="s">
        <v>2903</v>
      </c>
      <c r="K89" s="121" t="s">
        <v>155</v>
      </c>
      <c r="L89" s="121">
        <v>5.0</v>
      </c>
      <c r="M89" s="296">
        <v>5000.0</v>
      </c>
      <c r="N89" s="121">
        <v>15.0</v>
      </c>
      <c r="O89" s="18">
        <f t="shared" si="1"/>
        <v>50</v>
      </c>
      <c r="P89" s="18">
        <f t="shared" si="2"/>
        <v>25</v>
      </c>
      <c r="Q89" s="121">
        <v>5.0</v>
      </c>
      <c r="R89" s="18">
        <f t="shared" si="3"/>
        <v>95</v>
      </c>
      <c r="S89" s="17" t="s">
        <v>3212</v>
      </c>
      <c r="T89" s="133" t="s">
        <v>3213</v>
      </c>
      <c r="U89" s="134" t="str">
        <f>HYPERLINK("https://drive.google.com/file/d/1efg7ldr_pSVWBms3ArKebN1-dk69zLzt/view?usp=drivesdk","Uv-Vis (Udara)_Ndiayu Ajeng Gareta_357")</f>
        <v>Uv-Vis (Udara)_Ndiayu Ajeng Gareta_357</v>
      </c>
      <c r="V89" s="17" t="s">
        <v>3209</v>
      </c>
    </row>
    <row r="90">
      <c r="A90" s="295">
        <v>45811.0</v>
      </c>
      <c r="B90" s="295">
        <v>45811.0</v>
      </c>
      <c r="C90" s="121" t="s">
        <v>2902</v>
      </c>
      <c r="D90" s="121">
        <v>359.0</v>
      </c>
      <c r="E90" s="121" t="s">
        <v>2108</v>
      </c>
      <c r="F90" s="121" t="s">
        <v>2109</v>
      </c>
      <c r="G90" s="121" t="s">
        <v>3057</v>
      </c>
      <c r="H90" s="121" t="s">
        <v>621</v>
      </c>
      <c r="I90" s="121" t="s">
        <v>2905</v>
      </c>
      <c r="J90" s="121" t="s">
        <v>2108</v>
      </c>
      <c r="K90" s="121" t="s">
        <v>155</v>
      </c>
      <c r="L90" s="121">
        <v>36.0</v>
      </c>
      <c r="M90" s="296">
        <v>5000.0</v>
      </c>
      <c r="N90" s="121">
        <v>15.0</v>
      </c>
      <c r="O90" s="18">
        <f t="shared" si="1"/>
        <v>360</v>
      </c>
      <c r="P90" s="18">
        <f t="shared" si="2"/>
        <v>180</v>
      </c>
      <c r="Q90" s="121">
        <v>5.0</v>
      </c>
      <c r="R90" s="18">
        <f t="shared" si="3"/>
        <v>560</v>
      </c>
      <c r="S90" s="17" t="s">
        <v>3214</v>
      </c>
      <c r="T90" s="133" t="s">
        <v>3215</v>
      </c>
      <c r="U90" s="134" t="str">
        <f>HYPERLINK("https://drive.google.com/file/d/1LRbLBwekis1gR7zkypUh3cR1ipidPmKm/view?usp=drivesdk","Uv-Vis (Udara)_Rizqi Apriliyani_359")</f>
        <v>Uv-Vis (Udara)_Rizqi Apriliyani_359</v>
      </c>
      <c r="V90" s="17" t="s">
        <v>3216</v>
      </c>
    </row>
    <row r="91">
      <c r="A91" s="295">
        <v>45813.0</v>
      </c>
      <c r="B91" s="295">
        <v>45813.0</v>
      </c>
      <c r="C91" s="121" t="s">
        <v>2902</v>
      </c>
      <c r="D91" s="121">
        <v>372.0</v>
      </c>
      <c r="E91" s="217" t="s">
        <v>3217</v>
      </c>
      <c r="F91" s="217" t="s">
        <v>2916</v>
      </c>
      <c r="G91" s="217" t="s">
        <v>3218</v>
      </c>
      <c r="H91" s="121" t="s">
        <v>621</v>
      </c>
      <c r="I91" s="121" t="s">
        <v>2905</v>
      </c>
      <c r="J91" s="217" t="s">
        <v>3217</v>
      </c>
      <c r="K91" s="121" t="s">
        <v>155</v>
      </c>
      <c r="L91" s="121">
        <v>4.0</v>
      </c>
      <c r="M91" s="296">
        <v>5000.0</v>
      </c>
      <c r="N91" s="121">
        <v>15.0</v>
      </c>
      <c r="O91" s="18">
        <f t="shared" si="1"/>
        <v>40</v>
      </c>
      <c r="P91" s="18">
        <f t="shared" si="2"/>
        <v>20</v>
      </c>
      <c r="Q91" s="121">
        <v>5.0</v>
      </c>
      <c r="R91" s="18">
        <f t="shared" si="3"/>
        <v>80</v>
      </c>
      <c r="S91" s="17" t="s">
        <v>3219</v>
      </c>
      <c r="T91" s="133" t="s">
        <v>3220</v>
      </c>
      <c r="U91" s="134" t="str">
        <f>HYPERLINK("https://drive.google.com/file/d/1hrbDQ1aCLkzW7cwGm4HHxW9SfsHHdFbV/view?usp=drivesdk","Uv-Vis (Udara)_Yusuf Kurnia Pamungkas _372")</f>
        <v>Uv-Vis (Udara)_Yusuf Kurnia Pamungkas _372</v>
      </c>
      <c r="V91" s="17" t="s">
        <v>3221</v>
      </c>
    </row>
    <row r="92">
      <c r="A92" s="295">
        <v>45818.0</v>
      </c>
      <c r="B92" s="295">
        <v>45818.0</v>
      </c>
      <c r="C92" s="121" t="s">
        <v>2902</v>
      </c>
      <c r="D92" s="121">
        <v>378.0</v>
      </c>
      <c r="E92" s="121" t="s">
        <v>2606</v>
      </c>
      <c r="F92" s="121" t="s">
        <v>2607</v>
      </c>
      <c r="G92" s="121" t="s">
        <v>1132</v>
      </c>
      <c r="H92" s="121" t="s">
        <v>621</v>
      </c>
      <c r="I92" s="121" t="s">
        <v>2905</v>
      </c>
      <c r="J92" s="121" t="s">
        <v>2606</v>
      </c>
      <c r="K92" s="121" t="s">
        <v>155</v>
      </c>
      <c r="L92" s="121">
        <v>5.0</v>
      </c>
      <c r="M92" s="296">
        <v>5000.0</v>
      </c>
      <c r="N92" s="121">
        <v>15.0</v>
      </c>
      <c r="O92" s="18">
        <f t="shared" si="1"/>
        <v>50</v>
      </c>
      <c r="P92" s="18">
        <f t="shared" si="2"/>
        <v>25</v>
      </c>
      <c r="Q92" s="121">
        <v>5.0</v>
      </c>
      <c r="R92" s="18">
        <f t="shared" si="3"/>
        <v>95</v>
      </c>
      <c r="S92" s="17" t="s">
        <v>3222</v>
      </c>
      <c r="T92" s="133" t="s">
        <v>3223</v>
      </c>
      <c r="U92" s="134" t="str">
        <f>HYPERLINK("https://drive.google.com/file/d/1rp2pS6dIYG6R3DkSp9Hw1apngOk1-ngp/view?usp=drivesdk","Uv-Vis (Udara)_Izza Laila Nur Rohmah_378")</f>
        <v>Uv-Vis (Udara)_Izza Laila Nur Rohmah_378</v>
      </c>
      <c r="V92" s="17" t="s">
        <v>3224</v>
      </c>
    </row>
    <row r="93">
      <c r="A93" s="295">
        <v>45803.0</v>
      </c>
      <c r="B93" s="295">
        <v>45803.0</v>
      </c>
      <c r="C93" s="121" t="s">
        <v>2902</v>
      </c>
      <c r="D93" s="121">
        <v>323.0</v>
      </c>
      <c r="E93" s="121" t="s">
        <v>2548</v>
      </c>
      <c r="F93" s="121" t="s">
        <v>2549</v>
      </c>
      <c r="G93" s="121" t="s">
        <v>3057</v>
      </c>
      <c r="H93" s="121" t="s">
        <v>621</v>
      </c>
      <c r="I93" s="121" t="s">
        <v>2905</v>
      </c>
      <c r="J93" s="121" t="s">
        <v>2548</v>
      </c>
      <c r="K93" s="121" t="s">
        <v>155</v>
      </c>
      <c r="L93" s="121">
        <v>100.0</v>
      </c>
      <c r="M93" s="296">
        <v>5000.0</v>
      </c>
      <c r="N93" s="121">
        <v>15.0</v>
      </c>
      <c r="O93" s="18">
        <f t="shared" si="1"/>
        <v>1000</v>
      </c>
      <c r="P93" s="18">
        <f t="shared" si="2"/>
        <v>500</v>
      </c>
      <c r="Q93" s="121">
        <v>5.0</v>
      </c>
      <c r="R93" s="18">
        <f t="shared" si="3"/>
        <v>1520</v>
      </c>
      <c r="S93" s="17" t="s">
        <v>3225</v>
      </c>
      <c r="T93" s="133" t="s">
        <v>3226</v>
      </c>
      <c r="U93" s="134" t="str">
        <f>HYPERLINK("https://drive.google.com/file/d/1lIr3lgrZaHklCEKFE3oVorOJfZG5YTrL/view?usp=drivesdk","Uv-Vis (Udara)_Dofito Hanifah Kusindarto_323")</f>
        <v>Uv-Vis (Udara)_Dofito Hanifah Kusindarto_323</v>
      </c>
      <c r="V93" s="17" t="s">
        <v>3227</v>
      </c>
    </row>
    <row r="94">
      <c r="A94" s="295">
        <v>45824.0</v>
      </c>
      <c r="B94" s="295">
        <v>45824.0</v>
      </c>
      <c r="C94" s="121" t="s">
        <v>2902</v>
      </c>
      <c r="D94" s="121">
        <v>404.0</v>
      </c>
      <c r="E94" s="217" t="s">
        <v>2731</v>
      </c>
      <c r="F94" s="217" t="s">
        <v>2732</v>
      </c>
      <c r="G94" s="217" t="s">
        <v>1132</v>
      </c>
      <c r="H94" s="121" t="s">
        <v>621</v>
      </c>
      <c r="I94" s="121" t="s">
        <v>2905</v>
      </c>
      <c r="J94" s="217" t="s">
        <v>2731</v>
      </c>
      <c r="K94" s="121" t="s">
        <v>155</v>
      </c>
      <c r="L94" s="121">
        <v>5.0</v>
      </c>
      <c r="M94" s="296">
        <v>5000.0</v>
      </c>
      <c r="N94" s="121">
        <v>15.0</v>
      </c>
      <c r="O94" s="18">
        <f t="shared" si="1"/>
        <v>50</v>
      </c>
      <c r="P94" s="18">
        <f t="shared" si="2"/>
        <v>25</v>
      </c>
      <c r="Q94" s="121">
        <v>5.0</v>
      </c>
      <c r="R94" s="18">
        <f t="shared" si="3"/>
        <v>95</v>
      </c>
      <c r="S94" s="17" t="s">
        <v>3228</v>
      </c>
      <c r="T94" s="133" t="s">
        <v>3229</v>
      </c>
      <c r="U94" s="134" t="str">
        <f>HYPERLINK("https://drive.google.com/file/d/17uDmloTNeXGzwh2S9Fk4GbSW4tkJJ_4T/view?usp=drivesdk","Uv-Vis (Udara)_Muhammad Iqbal Juniardi_404")</f>
        <v>Uv-Vis (Udara)_Muhammad Iqbal Juniardi_404</v>
      </c>
      <c r="V94" s="17" t="s">
        <v>3227</v>
      </c>
    </row>
    <row r="95">
      <c r="A95" s="295">
        <v>45825.0</v>
      </c>
      <c r="B95" s="295">
        <v>45825.0</v>
      </c>
      <c r="C95" s="121" t="s">
        <v>2902</v>
      </c>
      <c r="D95" s="121">
        <v>407.0</v>
      </c>
      <c r="E95" s="121" t="s">
        <v>2606</v>
      </c>
      <c r="F95" s="121" t="s">
        <v>2607</v>
      </c>
      <c r="G95" s="121" t="s">
        <v>1132</v>
      </c>
      <c r="H95" s="121" t="s">
        <v>621</v>
      </c>
      <c r="I95" s="121" t="s">
        <v>2905</v>
      </c>
      <c r="J95" s="121" t="s">
        <v>2606</v>
      </c>
      <c r="K95" s="121" t="s">
        <v>155</v>
      </c>
      <c r="L95" s="121">
        <v>5.0</v>
      </c>
      <c r="M95" s="296">
        <v>5000.0</v>
      </c>
      <c r="N95" s="121">
        <v>15.0</v>
      </c>
      <c r="O95" s="18">
        <f t="shared" si="1"/>
        <v>50</v>
      </c>
      <c r="P95" s="18">
        <f t="shared" si="2"/>
        <v>25</v>
      </c>
      <c r="Q95" s="121">
        <v>5.0</v>
      </c>
      <c r="R95" s="18">
        <f t="shared" si="3"/>
        <v>95</v>
      </c>
      <c r="S95" s="17" t="s">
        <v>3230</v>
      </c>
      <c r="T95" s="133" t="s">
        <v>3231</v>
      </c>
      <c r="U95" s="134" t="str">
        <f>HYPERLINK("https://drive.google.com/file/d/1ztuhK3AMR15rsE6HIE8ZlWCCI0g90fH_/view?usp=drivesdk","Uv-Vis (Udara)_Izza Laila Nur Rohmah_407")</f>
        <v>Uv-Vis (Udara)_Izza Laila Nur Rohmah_407</v>
      </c>
      <c r="V95" s="17" t="s">
        <v>3227</v>
      </c>
    </row>
    <row r="96">
      <c r="A96" s="295">
        <v>45826.0</v>
      </c>
      <c r="B96" s="295">
        <v>45826.0</v>
      </c>
      <c r="C96" s="121" t="s">
        <v>2902</v>
      </c>
      <c r="D96" s="121">
        <v>416.0</v>
      </c>
      <c r="E96" s="217" t="s">
        <v>2731</v>
      </c>
      <c r="F96" s="217" t="s">
        <v>2732</v>
      </c>
      <c r="G96" s="217" t="s">
        <v>1132</v>
      </c>
      <c r="H96" s="121" t="s">
        <v>621</v>
      </c>
      <c r="I96" s="121" t="s">
        <v>2905</v>
      </c>
      <c r="J96" s="217" t="s">
        <v>2731</v>
      </c>
      <c r="K96" s="121" t="s">
        <v>155</v>
      </c>
      <c r="L96" s="121">
        <v>5.0</v>
      </c>
      <c r="M96" s="296">
        <v>5000.0</v>
      </c>
      <c r="N96" s="121">
        <v>15.0</v>
      </c>
      <c r="O96" s="18">
        <f t="shared" si="1"/>
        <v>50</v>
      </c>
      <c r="P96" s="18">
        <f t="shared" si="2"/>
        <v>25</v>
      </c>
      <c r="Q96" s="121">
        <v>5.0</v>
      </c>
      <c r="R96" s="18">
        <f t="shared" si="3"/>
        <v>95</v>
      </c>
      <c r="S96" s="17" t="s">
        <v>3232</v>
      </c>
      <c r="T96" s="133" t="s">
        <v>3233</v>
      </c>
      <c r="U96" s="134" t="str">
        <f>HYPERLINK("https://drive.google.com/file/d/1GC1qIZ2Qbyc_PxDXsJZhEwtX1rztrhjn/view?usp=drivesdk","Uv-Vis (Udara)_Muhammad Iqbal Juniardi_416")</f>
        <v>Uv-Vis (Udara)_Muhammad Iqbal Juniardi_416</v>
      </c>
      <c r="V96" s="17" t="s">
        <v>3227</v>
      </c>
    </row>
    <row r="97">
      <c r="A97" s="295">
        <v>45828.0</v>
      </c>
      <c r="B97" s="295">
        <v>45828.0</v>
      </c>
      <c r="C97" s="121" t="s">
        <v>2902</v>
      </c>
      <c r="D97" s="121">
        <v>429.0</v>
      </c>
      <c r="E97" s="121" t="s">
        <v>2606</v>
      </c>
      <c r="F97" s="121" t="s">
        <v>2607</v>
      </c>
      <c r="G97" s="121" t="s">
        <v>1132</v>
      </c>
      <c r="H97" s="121" t="s">
        <v>621</v>
      </c>
      <c r="I97" s="121" t="s">
        <v>2905</v>
      </c>
      <c r="J97" s="121" t="s">
        <v>2606</v>
      </c>
      <c r="K97" s="121" t="s">
        <v>155</v>
      </c>
      <c r="L97" s="121">
        <v>3.0</v>
      </c>
      <c r="M97" s="296">
        <v>5000.0</v>
      </c>
      <c r="N97" s="121">
        <v>15.0</v>
      </c>
      <c r="O97" s="18">
        <f t="shared" si="1"/>
        <v>30</v>
      </c>
      <c r="P97" s="18">
        <f t="shared" si="2"/>
        <v>15</v>
      </c>
      <c r="Q97" s="121">
        <v>5.0</v>
      </c>
      <c r="R97" s="18">
        <f t="shared" si="3"/>
        <v>65</v>
      </c>
      <c r="S97" s="17" t="s">
        <v>3234</v>
      </c>
      <c r="T97" s="133" t="s">
        <v>3235</v>
      </c>
      <c r="U97" s="134" t="str">
        <f>HYPERLINK("https://drive.google.com/file/d/1KxLigd4huSZHbErM19Gu54DZzY41Az7d/view?usp=drivesdk","Uv-Vis (Udara)_Izza Laila Nur Rohmah_429")</f>
        <v>Uv-Vis (Udara)_Izza Laila Nur Rohmah_429</v>
      </c>
      <c r="V97" s="17" t="s">
        <v>3227</v>
      </c>
    </row>
    <row r="98">
      <c r="A98" s="295">
        <v>45828.0</v>
      </c>
      <c r="B98" s="295">
        <v>45828.0</v>
      </c>
      <c r="C98" s="121" t="s">
        <v>2902</v>
      </c>
      <c r="D98" s="121">
        <v>426.0</v>
      </c>
      <c r="E98" s="217" t="s">
        <v>2731</v>
      </c>
      <c r="F98" s="217" t="s">
        <v>2732</v>
      </c>
      <c r="G98" s="217" t="s">
        <v>1132</v>
      </c>
      <c r="H98" s="121" t="s">
        <v>621</v>
      </c>
      <c r="I98" s="121" t="s">
        <v>2905</v>
      </c>
      <c r="J98" s="217" t="s">
        <v>2731</v>
      </c>
      <c r="K98" s="121" t="s">
        <v>155</v>
      </c>
      <c r="L98" s="121">
        <v>5.0</v>
      </c>
      <c r="M98" s="296">
        <v>5000.0</v>
      </c>
      <c r="N98" s="121">
        <v>15.0</v>
      </c>
      <c r="O98" s="18">
        <f t="shared" si="1"/>
        <v>50</v>
      </c>
      <c r="P98" s="18">
        <f t="shared" si="2"/>
        <v>25</v>
      </c>
      <c r="Q98" s="121">
        <v>5.0</v>
      </c>
      <c r="R98" s="18">
        <f t="shared" si="3"/>
        <v>95</v>
      </c>
      <c r="S98" s="17" t="s">
        <v>3236</v>
      </c>
      <c r="T98" s="133" t="s">
        <v>3237</v>
      </c>
      <c r="U98" s="134" t="str">
        <f>HYPERLINK("https://drive.google.com/file/d/1WU4SVoTk2BS5dEo3BUNEWVpwYiZWcLIU/view?usp=drivesdk","Uv-Vis (Udara)_Muhammad Iqbal Juniardi_426")</f>
        <v>Uv-Vis (Udara)_Muhammad Iqbal Juniardi_426</v>
      </c>
      <c r="V98" s="17" t="s">
        <v>3227</v>
      </c>
    </row>
    <row r="99">
      <c r="A99" s="295">
        <v>45805.0</v>
      </c>
      <c r="B99" s="295">
        <v>45834.0</v>
      </c>
      <c r="C99" s="121" t="s">
        <v>2902</v>
      </c>
      <c r="D99" s="121">
        <v>346.0</v>
      </c>
      <c r="E99" s="17" t="s">
        <v>3238</v>
      </c>
      <c r="F99" s="121" t="s">
        <v>3239</v>
      </c>
      <c r="G99" s="121" t="s">
        <v>3240</v>
      </c>
      <c r="H99" s="121" t="s">
        <v>541</v>
      </c>
      <c r="I99" s="121" t="s">
        <v>2905</v>
      </c>
      <c r="J99" s="121" t="s">
        <v>3142</v>
      </c>
      <c r="K99" s="121" t="s">
        <v>2924</v>
      </c>
      <c r="L99" s="121">
        <v>2.0</v>
      </c>
      <c r="M99" s="296">
        <v>25000.0</v>
      </c>
      <c r="N99" s="121">
        <v>15.0</v>
      </c>
      <c r="O99" s="18">
        <f t="shared" si="1"/>
        <v>20</v>
      </c>
      <c r="P99" s="18">
        <f t="shared" si="2"/>
        <v>10</v>
      </c>
      <c r="Q99" s="121">
        <v>5.0</v>
      </c>
      <c r="R99" s="18">
        <f t="shared" si="3"/>
        <v>50</v>
      </c>
      <c r="S99" s="17" t="s">
        <v>3241</v>
      </c>
      <c r="T99" s="133" t="s">
        <v>3242</v>
      </c>
      <c r="U99" s="134" t="str">
        <f>HYPERLINK("https://drive.google.com/file/d/1au0X5L5n-iS4d1eZ4UWsmZUBvQD8e2Xn/view?usp=drivesdk","Uv-Vis (Udara)_Ardya Praptari Prawirabisma _346")</f>
        <v>Uv-Vis (Udara)_Ardya Praptari Prawirabisma _346</v>
      </c>
      <c r="V99" s="17" t="s">
        <v>3243</v>
      </c>
    </row>
    <row r="100">
      <c r="A100" s="295">
        <v>45826.0</v>
      </c>
      <c r="B100" s="295">
        <v>45833.0</v>
      </c>
      <c r="C100" s="121" t="s">
        <v>2902</v>
      </c>
      <c r="D100" s="121">
        <v>418.0</v>
      </c>
      <c r="E100" s="121" t="s">
        <v>2113</v>
      </c>
      <c r="F100" s="121" t="s">
        <v>3244</v>
      </c>
      <c r="G100" s="121" t="s">
        <v>3245</v>
      </c>
      <c r="H100" s="121" t="s">
        <v>541</v>
      </c>
      <c r="I100" s="121" t="s">
        <v>2905</v>
      </c>
      <c r="J100" s="121" t="s">
        <v>3142</v>
      </c>
      <c r="K100" s="121" t="s">
        <v>2924</v>
      </c>
      <c r="L100" s="121">
        <v>4.0</v>
      </c>
      <c r="M100" s="296">
        <v>5000.0</v>
      </c>
      <c r="N100" s="121">
        <v>15.0</v>
      </c>
      <c r="O100" s="18">
        <f t="shared" si="1"/>
        <v>40</v>
      </c>
      <c r="P100" s="18">
        <f t="shared" si="2"/>
        <v>20</v>
      </c>
      <c r="Q100" s="121">
        <v>5.0</v>
      </c>
      <c r="R100" s="18">
        <f t="shared" si="3"/>
        <v>80</v>
      </c>
      <c r="S100" s="17" t="s">
        <v>3246</v>
      </c>
      <c r="T100" s="133" t="s">
        <v>3247</v>
      </c>
      <c r="U100" s="134" t="str">
        <f>HYPERLINK("https://drive.google.com/file/d/1UvQM7XD-c8DHYK1FTO22LwpEhZYwiUwI/view?usp=drivesdk","Uv-Vis (Udara)_Farrel Yoga_418")</f>
        <v>Uv-Vis (Udara)_Farrel Yoga_418</v>
      </c>
      <c r="V100" s="17" t="s">
        <v>3248</v>
      </c>
    </row>
    <row r="101">
      <c r="A101" s="295">
        <v>45834.0</v>
      </c>
      <c r="B101" s="295">
        <v>45834.0</v>
      </c>
      <c r="C101" s="121" t="s">
        <v>2902</v>
      </c>
      <c r="D101" s="121">
        <v>445.0</v>
      </c>
      <c r="E101" s="17" t="s">
        <v>3238</v>
      </c>
      <c r="F101" s="121" t="s">
        <v>3239</v>
      </c>
      <c r="G101" s="121" t="s">
        <v>3240</v>
      </c>
      <c r="H101" s="121" t="s">
        <v>541</v>
      </c>
      <c r="I101" s="121" t="s">
        <v>2905</v>
      </c>
      <c r="J101" s="121" t="s">
        <v>3142</v>
      </c>
      <c r="K101" s="121" t="s">
        <v>2924</v>
      </c>
      <c r="L101" s="121">
        <v>5.0</v>
      </c>
      <c r="M101" s="296">
        <v>25000.0</v>
      </c>
      <c r="N101" s="121">
        <v>15.0</v>
      </c>
      <c r="O101" s="18">
        <f t="shared" si="1"/>
        <v>50</v>
      </c>
      <c r="P101" s="18">
        <f t="shared" si="2"/>
        <v>25</v>
      </c>
      <c r="Q101" s="121">
        <v>5.0</v>
      </c>
      <c r="R101" s="18">
        <f t="shared" si="3"/>
        <v>95</v>
      </c>
      <c r="S101" s="17" t="s">
        <v>3249</v>
      </c>
      <c r="T101" s="133" t="s">
        <v>3250</v>
      </c>
      <c r="U101" s="134" t="str">
        <f>HYPERLINK("https://drive.google.com/file/d/1XZzsbtoSILARqIu_VioNpMyuixp1tTcD/view?usp=drivesdk","Uv-Vis (Udara)_Ardya Praptari Prawirabisma _445")</f>
        <v>Uv-Vis (Udara)_Ardya Praptari Prawirabisma _445</v>
      </c>
      <c r="V101" s="17" t="s">
        <v>3248</v>
      </c>
    </row>
    <row r="102">
      <c r="A102" s="295">
        <v>45819.0</v>
      </c>
      <c r="B102" s="295">
        <v>45819.0</v>
      </c>
      <c r="C102" s="121" t="s">
        <v>2902</v>
      </c>
      <c r="D102" s="121">
        <v>381.0</v>
      </c>
      <c r="E102" s="121" t="s">
        <v>2903</v>
      </c>
      <c r="F102" s="121" t="s">
        <v>2904</v>
      </c>
      <c r="G102" s="121" t="s">
        <v>1132</v>
      </c>
      <c r="H102" s="121" t="s">
        <v>621</v>
      </c>
      <c r="I102" s="121" t="s">
        <v>2905</v>
      </c>
      <c r="J102" s="121" t="s">
        <v>2903</v>
      </c>
      <c r="K102" s="121" t="s">
        <v>155</v>
      </c>
      <c r="L102" s="121">
        <v>20.0</v>
      </c>
      <c r="M102" s="296">
        <v>5000.0</v>
      </c>
      <c r="N102" s="121">
        <v>15.0</v>
      </c>
      <c r="O102" s="18">
        <f t="shared" si="1"/>
        <v>200</v>
      </c>
      <c r="P102" s="18">
        <f t="shared" si="2"/>
        <v>100</v>
      </c>
      <c r="Q102" s="121">
        <v>5.0</v>
      </c>
      <c r="R102" s="18">
        <f t="shared" si="3"/>
        <v>320</v>
      </c>
      <c r="S102" s="17" t="s">
        <v>3251</v>
      </c>
      <c r="T102" s="133" t="s">
        <v>3252</v>
      </c>
      <c r="U102" s="134" t="str">
        <f>HYPERLINK("https://drive.google.com/file/d/1lNoyrVg_NorVczmSDtI8VsFQ429GELMq/view?usp=drivesdk","Uv-Vis (Udara)_Ndiayu Ajeng Gareta_381")</f>
        <v>Uv-Vis (Udara)_Ndiayu Ajeng Gareta_381</v>
      </c>
      <c r="V102" s="17" t="s">
        <v>3253</v>
      </c>
    </row>
    <row r="103">
      <c r="A103" s="295">
        <v>45848.0</v>
      </c>
      <c r="B103" s="295">
        <v>45848.0</v>
      </c>
      <c r="C103" s="121" t="s">
        <v>2902</v>
      </c>
      <c r="D103" s="121">
        <v>473.0</v>
      </c>
      <c r="E103" s="217" t="s">
        <v>2731</v>
      </c>
      <c r="F103" s="217" t="s">
        <v>2732</v>
      </c>
      <c r="G103" s="217" t="s">
        <v>1132</v>
      </c>
      <c r="H103" s="121" t="s">
        <v>621</v>
      </c>
      <c r="I103" s="121" t="s">
        <v>2905</v>
      </c>
      <c r="J103" s="217" t="s">
        <v>2731</v>
      </c>
      <c r="K103" s="121" t="s">
        <v>155</v>
      </c>
      <c r="L103" s="121">
        <v>2.0</v>
      </c>
      <c r="M103" s="296">
        <v>5000.0</v>
      </c>
      <c r="N103" s="121">
        <v>15.0</v>
      </c>
      <c r="O103" s="18">
        <f t="shared" si="1"/>
        <v>20</v>
      </c>
      <c r="P103" s="18">
        <f t="shared" si="2"/>
        <v>10</v>
      </c>
      <c r="Q103" s="121">
        <v>5.0</v>
      </c>
      <c r="R103" s="18">
        <f t="shared" si="3"/>
        <v>50</v>
      </c>
      <c r="S103" s="17" t="s">
        <v>3254</v>
      </c>
      <c r="T103" s="133" t="s">
        <v>3255</v>
      </c>
      <c r="U103" s="134" t="str">
        <f>HYPERLINK("https://drive.google.com/file/d/1QrsnBwrA_PLJkVmnkKdBiBm5RvrcBfkv/view?usp=drivesdk","Uv-Vis (Udara)_Muhammad Iqbal Juniardi_473")</f>
        <v>Uv-Vis (Udara)_Muhammad Iqbal Juniardi_473</v>
      </c>
      <c r="V103" s="17" t="s">
        <v>3256</v>
      </c>
    </row>
    <row r="104">
      <c r="A104" s="295">
        <v>45849.0</v>
      </c>
      <c r="B104" s="295">
        <v>45849.0</v>
      </c>
      <c r="C104" s="121" t="s">
        <v>2902</v>
      </c>
      <c r="D104" s="121">
        <v>474.0</v>
      </c>
      <c r="E104" s="217" t="s">
        <v>2731</v>
      </c>
      <c r="F104" s="217" t="s">
        <v>2732</v>
      </c>
      <c r="G104" s="217" t="s">
        <v>1132</v>
      </c>
      <c r="H104" s="121" t="s">
        <v>621</v>
      </c>
      <c r="I104" s="121" t="s">
        <v>2905</v>
      </c>
      <c r="J104" s="217" t="s">
        <v>2731</v>
      </c>
      <c r="K104" s="121" t="s">
        <v>155</v>
      </c>
      <c r="L104" s="121">
        <v>5.0</v>
      </c>
      <c r="M104" s="296">
        <v>5000.0</v>
      </c>
      <c r="N104" s="121">
        <v>15.0</v>
      </c>
      <c r="O104" s="18">
        <f t="shared" si="1"/>
        <v>50</v>
      </c>
      <c r="P104" s="18">
        <f t="shared" si="2"/>
        <v>25</v>
      </c>
      <c r="Q104" s="121">
        <v>5.0</v>
      </c>
      <c r="R104" s="18">
        <f t="shared" si="3"/>
        <v>95</v>
      </c>
      <c r="S104" s="17" t="s">
        <v>3257</v>
      </c>
      <c r="T104" s="133" t="s">
        <v>3258</v>
      </c>
      <c r="U104" s="134" t="str">
        <f>HYPERLINK("https://drive.google.com/file/d/1I2HOMjys_NWTwT2T6JM1oWWdRstTVuKD/view?usp=drivesdk","Uv-Vis (Udara)_Muhammad Iqbal Juniardi_474")</f>
        <v>Uv-Vis (Udara)_Muhammad Iqbal Juniardi_474</v>
      </c>
      <c r="V104" s="17" t="s">
        <v>3256</v>
      </c>
    </row>
    <row r="105">
      <c r="A105" s="295">
        <v>45852.0</v>
      </c>
      <c r="B105" s="295">
        <v>45852.0</v>
      </c>
      <c r="C105" s="121" t="s">
        <v>2902</v>
      </c>
      <c r="D105" s="121">
        <v>478.0</v>
      </c>
      <c r="E105" s="217" t="s">
        <v>2731</v>
      </c>
      <c r="F105" s="217" t="s">
        <v>2732</v>
      </c>
      <c r="G105" s="217" t="s">
        <v>1132</v>
      </c>
      <c r="H105" s="121" t="s">
        <v>621</v>
      </c>
      <c r="I105" s="121" t="s">
        <v>2905</v>
      </c>
      <c r="J105" s="217" t="s">
        <v>2731</v>
      </c>
      <c r="K105" s="121" t="s">
        <v>155</v>
      </c>
      <c r="L105" s="121">
        <v>10.0</v>
      </c>
      <c r="M105" s="296">
        <v>5000.0</v>
      </c>
      <c r="N105" s="121">
        <v>15.0</v>
      </c>
      <c r="O105" s="18">
        <f t="shared" si="1"/>
        <v>100</v>
      </c>
      <c r="P105" s="18">
        <f t="shared" si="2"/>
        <v>50</v>
      </c>
      <c r="Q105" s="121">
        <v>5.0</v>
      </c>
      <c r="R105" s="18">
        <f t="shared" si="3"/>
        <v>170</v>
      </c>
      <c r="S105" s="17" t="s">
        <v>3259</v>
      </c>
      <c r="T105" s="133" t="s">
        <v>3260</v>
      </c>
      <c r="U105" s="134" t="str">
        <f>HYPERLINK("https://drive.google.com/file/d/1SuChLt8BCaSPi3ubBpNAjxanLO_f1vAL/view?usp=drivesdk","Uv-Vis (Udara)_Muhammad Iqbal Juniardi_478")</f>
        <v>Uv-Vis (Udara)_Muhammad Iqbal Juniardi_478</v>
      </c>
      <c r="V105" s="17" t="s">
        <v>3256</v>
      </c>
    </row>
    <row r="106">
      <c r="A106" s="295">
        <v>45854.0</v>
      </c>
      <c r="B106" s="295">
        <v>45854.0</v>
      </c>
      <c r="C106" s="121" t="s">
        <v>2902</v>
      </c>
      <c r="D106" s="121">
        <v>484.0</v>
      </c>
      <c r="E106" s="217" t="s">
        <v>2731</v>
      </c>
      <c r="F106" s="217" t="s">
        <v>2732</v>
      </c>
      <c r="G106" s="217" t="s">
        <v>1132</v>
      </c>
      <c r="H106" s="121" t="s">
        <v>621</v>
      </c>
      <c r="I106" s="121" t="s">
        <v>2905</v>
      </c>
      <c r="J106" s="217" t="s">
        <v>2731</v>
      </c>
      <c r="K106" s="121" t="s">
        <v>155</v>
      </c>
      <c r="L106" s="121">
        <v>10.0</v>
      </c>
      <c r="M106" s="296">
        <v>5000.0</v>
      </c>
      <c r="N106" s="121">
        <v>15.0</v>
      </c>
      <c r="O106" s="18">
        <f t="shared" si="1"/>
        <v>100</v>
      </c>
      <c r="P106" s="18">
        <f t="shared" si="2"/>
        <v>50</v>
      </c>
      <c r="Q106" s="121">
        <v>5.0</v>
      </c>
      <c r="R106" s="18">
        <f t="shared" si="3"/>
        <v>170</v>
      </c>
      <c r="S106" s="17" t="s">
        <v>3261</v>
      </c>
      <c r="T106" s="133" t="s">
        <v>3262</v>
      </c>
      <c r="U106" s="134" t="str">
        <f>HYPERLINK("https://drive.google.com/file/d/1tsGFvhnJRcr6oZqq9OZagc1wk59omVG8/view?usp=drivesdk","Uv-Vis (Udara)_Muhammad Iqbal Juniardi_484")</f>
        <v>Uv-Vis (Udara)_Muhammad Iqbal Juniardi_484</v>
      </c>
      <c r="V106" s="17" t="s">
        <v>3263</v>
      </c>
    </row>
    <row r="107">
      <c r="A107" s="295">
        <v>45862.0</v>
      </c>
      <c r="B107" s="295">
        <v>45862.0</v>
      </c>
      <c r="C107" s="121" t="s">
        <v>2902</v>
      </c>
      <c r="D107" s="121">
        <v>494.0</v>
      </c>
      <c r="E107" s="121" t="s">
        <v>3264</v>
      </c>
      <c r="F107" s="121" t="s">
        <v>155</v>
      </c>
      <c r="G107" s="17" t="s">
        <v>3265</v>
      </c>
      <c r="H107" s="121" t="s">
        <v>621</v>
      </c>
      <c r="I107" s="121" t="s">
        <v>2905</v>
      </c>
      <c r="J107" s="121" t="s">
        <v>3142</v>
      </c>
      <c r="K107" s="121" t="s">
        <v>2924</v>
      </c>
      <c r="L107" s="121">
        <v>24.0</v>
      </c>
      <c r="M107" s="296">
        <v>25000.0</v>
      </c>
      <c r="N107" s="121">
        <v>15.0</v>
      </c>
      <c r="O107" s="18">
        <f t="shared" si="1"/>
        <v>240</v>
      </c>
      <c r="P107" s="18">
        <f t="shared" si="2"/>
        <v>120</v>
      </c>
      <c r="Q107" s="121">
        <v>5.0</v>
      </c>
      <c r="R107" s="18">
        <f t="shared" si="3"/>
        <v>380</v>
      </c>
      <c r="S107" s="17" t="s">
        <v>3266</v>
      </c>
      <c r="T107" s="133" t="s">
        <v>3267</v>
      </c>
      <c r="U107" s="134" t="str">
        <f>HYPERLINK("https://drive.google.com/file/d/1Kb9D320EnKkzSxHCzjH_3kOLVD2EaIbo/view?usp=drivesdk","Uv-Vis (Udara)_Arti Wahyu Utami_494")</f>
        <v>Uv-Vis (Udara)_Arti Wahyu Utami_494</v>
      </c>
      <c r="V107" s="17" t="s">
        <v>3268</v>
      </c>
    </row>
    <row r="108">
      <c r="A108" s="295">
        <v>45874.0</v>
      </c>
      <c r="B108" s="295">
        <v>45874.0</v>
      </c>
      <c r="C108" s="121" t="s">
        <v>2902</v>
      </c>
      <c r="D108" s="121">
        <v>521.0</v>
      </c>
      <c r="E108" s="121" t="s">
        <v>2903</v>
      </c>
      <c r="F108" s="121" t="s">
        <v>2904</v>
      </c>
      <c r="G108" s="121" t="s">
        <v>1132</v>
      </c>
      <c r="H108" s="121" t="s">
        <v>621</v>
      </c>
      <c r="I108" s="121" t="s">
        <v>2905</v>
      </c>
      <c r="J108" s="121" t="s">
        <v>2903</v>
      </c>
      <c r="K108" s="121" t="s">
        <v>155</v>
      </c>
      <c r="L108" s="121">
        <v>5.0</v>
      </c>
      <c r="M108" s="121">
        <v>5000.0</v>
      </c>
      <c r="N108" s="121">
        <v>15.0</v>
      </c>
      <c r="O108" s="18">
        <f t="shared" si="1"/>
        <v>50</v>
      </c>
      <c r="P108" s="18">
        <f t="shared" si="2"/>
        <v>25</v>
      </c>
      <c r="Q108" s="121">
        <v>5.0</v>
      </c>
      <c r="R108" s="18">
        <f t="shared" si="3"/>
        <v>95</v>
      </c>
      <c r="S108" s="17" t="s">
        <v>3269</v>
      </c>
      <c r="T108" s="133" t="s">
        <v>3270</v>
      </c>
      <c r="U108" s="134" t="str">
        <f>HYPERLINK("https://drive.google.com/file/d/1C5ENCX-3XqOEo8bn_zquV7f3-ubxsC5B/view?usp=drivesdk","Uv-Vis (Udara)_Ndiayu Ajeng Gareta_521")</f>
        <v>Uv-Vis (Udara)_Ndiayu Ajeng Gareta_521</v>
      </c>
      <c r="V108" s="17" t="s">
        <v>3271</v>
      </c>
    </row>
    <row r="109">
      <c r="A109" s="295">
        <v>45902.0</v>
      </c>
      <c r="B109" s="295">
        <v>45902.0</v>
      </c>
      <c r="C109" s="121" t="s">
        <v>2902</v>
      </c>
      <c r="D109" s="121">
        <v>570.0</v>
      </c>
      <c r="E109" s="121" t="s">
        <v>2992</v>
      </c>
      <c r="F109" s="121" t="s">
        <v>155</v>
      </c>
      <c r="G109" s="17" t="s">
        <v>3272</v>
      </c>
      <c r="H109" s="121" t="s">
        <v>541</v>
      </c>
      <c r="I109" s="121" t="s">
        <v>2905</v>
      </c>
      <c r="J109" s="121" t="s">
        <v>3142</v>
      </c>
      <c r="K109" s="121" t="s">
        <v>2924</v>
      </c>
      <c r="L109" s="121">
        <v>2.0</v>
      </c>
      <c r="M109" s="296">
        <v>25000.0</v>
      </c>
      <c r="N109" s="121">
        <v>15.0</v>
      </c>
      <c r="O109" s="18">
        <f t="shared" si="1"/>
        <v>20</v>
      </c>
      <c r="P109" s="18">
        <f t="shared" si="2"/>
        <v>10</v>
      </c>
      <c r="Q109" s="121">
        <v>5.0</v>
      </c>
      <c r="R109" s="18">
        <f t="shared" si="3"/>
        <v>50</v>
      </c>
      <c r="S109" s="17" t="s">
        <v>3273</v>
      </c>
      <c r="T109" s="133" t="s">
        <v>3274</v>
      </c>
      <c r="U109" s="134" t="str">
        <f>HYPERLINK("https://drive.google.com/file/d/1MrLvRZDrXGIg_9D06MESowVT7XWOORQy/view?usp=drivesdk","Uv-Vis (Udara)_Hardani_570")</f>
        <v>Uv-Vis (Udara)_Hardani_570</v>
      </c>
      <c r="V109" s="17" t="s">
        <v>3271</v>
      </c>
    </row>
    <row r="110">
      <c r="A110" s="295">
        <v>45901.0</v>
      </c>
      <c r="B110" s="295">
        <v>45912.0</v>
      </c>
      <c r="C110" s="121" t="s">
        <v>2902</v>
      </c>
      <c r="D110" s="121">
        <v>568.0</v>
      </c>
      <c r="E110" s="121" t="s">
        <v>3275</v>
      </c>
      <c r="F110" s="121">
        <v>2.02204021E8</v>
      </c>
      <c r="G110" s="121" t="s">
        <v>3276</v>
      </c>
      <c r="H110" s="121" t="s">
        <v>541</v>
      </c>
      <c r="I110" s="121" t="s">
        <v>2905</v>
      </c>
      <c r="J110" s="121" t="s">
        <v>3277</v>
      </c>
      <c r="K110" s="121" t="s">
        <v>2924</v>
      </c>
      <c r="L110" s="121">
        <v>2.0</v>
      </c>
      <c r="M110" s="296">
        <v>110000.0</v>
      </c>
      <c r="N110" s="121">
        <v>15.0</v>
      </c>
      <c r="O110" s="18">
        <f t="shared" si="1"/>
        <v>20</v>
      </c>
      <c r="P110" s="18">
        <f t="shared" si="2"/>
        <v>10</v>
      </c>
      <c r="Q110" s="121">
        <v>5.0</v>
      </c>
      <c r="R110" s="18">
        <f t="shared" si="3"/>
        <v>50</v>
      </c>
      <c r="S110" s="17" t="s">
        <v>3278</v>
      </c>
      <c r="T110" s="133" t="s">
        <v>3279</v>
      </c>
      <c r="U110" s="134" t="str">
        <f>HYPERLINK("https://drive.google.com/file/d/1gh1SCqs569kLnd4Jrg3lD4AizrbwLc__/view?usp=drivesdk","Uv-Vis (Udara)_Maghrifa Salsa Bella_568")</f>
        <v>Uv-Vis (Udara)_Maghrifa Salsa Bella_568</v>
      </c>
      <c r="V110" s="17" t="s">
        <v>3280</v>
      </c>
    </row>
    <row r="111">
      <c r="A111" s="295">
        <v>45911.0</v>
      </c>
      <c r="B111" s="295">
        <v>45912.0</v>
      </c>
      <c r="C111" s="121" t="s">
        <v>2902</v>
      </c>
      <c r="D111" s="121">
        <v>579.0</v>
      </c>
      <c r="E111" s="121" t="s">
        <v>3281</v>
      </c>
      <c r="F111" s="121">
        <v>2.02204007E8</v>
      </c>
      <c r="G111" s="121" t="s">
        <v>3276</v>
      </c>
      <c r="H111" s="121" t="s">
        <v>541</v>
      </c>
      <c r="I111" s="121" t="s">
        <v>2905</v>
      </c>
      <c r="J111" s="121" t="s">
        <v>3142</v>
      </c>
      <c r="K111" s="121" t="s">
        <v>2924</v>
      </c>
      <c r="L111" s="121">
        <v>6.0</v>
      </c>
      <c r="M111" s="296">
        <v>100000.0</v>
      </c>
      <c r="N111" s="121">
        <v>15.0</v>
      </c>
      <c r="O111" s="18">
        <f t="shared" si="1"/>
        <v>60</v>
      </c>
      <c r="P111" s="18">
        <f t="shared" si="2"/>
        <v>30</v>
      </c>
      <c r="Q111" s="121">
        <v>5.0</v>
      </c>
      <c r="R111" s="18">
        <f t="shared" si="3"/>
        <v>110</v>
      </c>
      <c r="S111" s="17" t="s">
        <v>3282</v>
      </c>
      <c r="T111" s="133" t="s">
        <v>3283</v>
      </c>
      <c r="U111" s="134" t="str">
        <f>HYPERLINK("https://drive.google.com/file/d/1OzCSW_s7y5dr0Vdr2ZwjTEmI6klKR1OL/view?usp=drivesdk","Uv-Vis (Udara)_Adhi Pratama Cahya Nugraha_579")</f>
        <v>Uv-Vis (Udara)_Adhi Pratama Cahya Nugraha_579</v>
      </c>
      <c r="V111" s="17" t="s">
        <v>3280</v>
      </c>
    </row>
    <row r="112">
      <c r="A112" s="295">
        <v>45951.0</v>
      </c>
      <c r="B112" s="295">
        <v>45954.0</v>
      </c>
      <c r="C112" s="121" t="s">
        <v>2902</v>
      </c>
      <c r="D112" s="121">
        <v>695.0</v>
      </c>
      <c r="E112" s="17" t="s">
        <v>3284</v>
      </c>
      <c r="F112" s="17" t="s">
        <v>3285</v>
      </c>
      <c r="G112" s="17" t="s">
        <v>2458</v>
      </c>
      <c r="H112" s="121" t="s">
        <v>621</v>
      </c>
      <c r="I112" s="121" t="s">
        <v>2905</v>
      </c>
      <c r="J112" s="17" t="s">
        <v>3286</v>
      </c>
      <c r="K112" s="121" t="s">
        <v>155</v>
      </c>
      <c r="L112" s="121">
        <v>4.0</v>
      </c>
      <c r="M112" s="121">
        <v>5000.0</v>
      </c>
      <c r="N112" s="121">
        <v>15.0</v>
      </c>
      <c r="O112" s="18">
        <f t="shared" si="1"/>
        <v>40</v>
      </c>
      <c r="P112" s="18">
        <f t="shared" si="2"/>
        <v>20</v>
      </c>
      <c r="Q112" s="121">
        <v>5.0</v>
      </c>
      <c r="R112" s="18">
        <f t="shared" si="3"/>
        <v>80</v>
      </c>
      <c r="S112" s="17" t="s">
        <v>3287</v>
      </c>
      <c r="T112" s="133" t="s">
        <v>3288</v>
      </c>
      <c r="U112" s="134" t="str">
        <f>HYPERLINK("https://drive.google.com/file/d/13M4F48QjsiZL3f3bg7alQtTh305d22Fn/view?usp=drivesdk","Uv-Vis (Udara)_Putri Indah Mayangsari_695")</f>
        <v>Uv-Vis (Udara)_Putri Indah Mayangsari_695</v>
      </c>
      <c r="V112" s="17" t="s">
        <v>3289</v>
      </c>
    </row>
    <row r="113">
      <c r="A113" s="295">
        <v>45951.0</v>
      </c>
      <c r="B113" s="295">
        <v>45957.0</v>
      </c>
      <c r="C113" s="121" t="s">
        <v>2902</v>
      </c>
      <c r="D113" s="121">
        <v>694.0</v>
      </c>
      <c r="E113" s="136" t="s">
        <v>3290</v>
      </c>
      <c r="F113" s="136" t="s">
        <v>3291</v>
      </c>
      <c r="G113" s="196" t="s">
        <v>1531</v>
      </c>
      <c r="H113" s="121" t="s">
        <v>621</v>
      </c>
      <c r="I113" s="121" t="s">
        <v>2905</v>
      </c>
      <c r="J113" s="178" t="s">
        <v>3292</v>
      </c>
      <c r="K113" s="121" t="s">
        <v>155</v>
      </c>
      <c r="L113" s="121">
        <v>4.0</v>
      </c>
      <c r="M113" s="121">
        <v>5000.0</v>
      </c>
      <c r="N113" s="121">
        <v>15.0</v>
      </c>
      <c r="O113" s="18">
        <f t="shared" si="1"/>
        <v>40</v>
      </c>
      <c r="P113" s="18">
        <f t="shared" si="2"/>
        <v>20</v>
      </c>
      <c r="Q113" s="121">
        <v>5.0</v>
      </c>
      <c r="R113" s="18">
        <f t="shared" si="3"/>
        <v>80</v>
      </c>
      <c r="S113" s="17" t="s">
        <v>3293</v>
      </c>
      <c r="T113" s="133" t="s">
        <v>3294</v>
      </c>
      <c r="U113" s="134" t="str">
        <f>HYPERLINK("https://drive.google.com/file/d/17Aw-HX12KIfZjxUwnQ7IoYU_sEs2K53s/view?usp=drivesdk","Uv-Vis (Udara)_Redika Ayu Sepmara_694")</f>
        <v>Uv-Vis (Udara)_Redika Ayu Sepmara_694</v>
      </c>
      <c r="V113" s="17" t="s">
        <v>3295</v>
      </c>
    </row>
    <row r="114">
      <c r="A114" s="295">
        <v>45980.0</v>
      </c>
      <c r="B114" s="295">
        <v>45980.0</v>
      </c>
      <c r="C114" s="121" t="s">
        <v>2902</v>
      </c>
      <c r="D114" s="121">
        <v>773.0</v>
      </c>
      <c r="E114" s="17" t="s">
        <v>3296</v>
      </c>
      <c r="F114" s="17" t="s">
        <v>3297</v>
      </c>
      <c r="G114" s="17" t="s">
        <v>3298</v>
      </c>
      <c r="H114" s="121" t="s">
        <v>621</v>
      </c>
      <c r="I114" s="121" t="s">
        <v>2905</v>
      </c>
      <c r="J114" s="121" t="s">
        <v>3299</v>
      </c>
      <c r="K114" s="121" t="s">
        <v>155</v>
      </c>
      <c r="L114" s="121">
        <v>2.0</v>
      </c>
      <c r="M114" s="121">
        <v>5000.0</v>
      </c>
      <c r="N114" s="121">
        <v>15.0</v>
      </c>
      <c r="O114" s="18">
        <f t="shared" si="1"/>
        <v>20</v>
      </c>
      <c r="P114" s="18">
        <f t="shared" si="2"/>
        <v>10</v>
      </c>
      <c r="Q114" s="121">
        <v>5.0</v>
      </c>
      <c r="R114" s="18">
        <f t="shared" si="3"/>
        <v>50</v>
      </c>
      <c r="S114" s="17" t="s">
        <v>3300</v>
      </c>
      <c r="T114" s="133" t="s">
        <v>3301</v>
      </c>
      <c r="U114" s="134" t="str">
        <f>HYPERLINK("https://drive.google.com/file/d/1d1G0NhI3KdoBfbUI5AZBW4TNDB_GZ_ZK/view?usp=drivesdk","Uv-Vis (Udara)_Niken Renawati _773")</f>
        <v>Uv-Vis (Udara)_Niken Renawati _773</v>
      </c>
      <c r="V114" s="17" t="s">
        <v>3302</v>
      </c>
    </row>
    <row r="115">
      <c r="A115" s="295">
        <v>45980.0</v>
      </c>
      <c r="B115" s="295">
        <v>45980.0</v>
      </c>
      <c r="C115" s="121" t="s">
        <v>2902</v>
      </c>
      <c r="D115" s="121">
        <v>776.0</v>
      </c>
      <c r="E115" s="17" t="s">
        <v>3296</v>
      </c>
      <c r="F115" s="17" t="s">
        <v>3297</v>
      </c>
      <c r="G115" s="17" t="s">
        <v>3298</v>
      </c>
      <c r="H115" s="121" t="s">
        <v>621</v>
      </c>
      <c r="I115" s="121" t="s">
        <v>2905</v>
      </c>
      <c r="J115" s="121" t="s">
        <v>3299</v>
      </c>
      <c r="K115" s="121" t="s">
        <v>155</v>
      </c>
      <c r="L115" s="121">
        <v>3.0</v>
      </c>
      <c r="M115" s="121">
        <v>5000.0</v>
      </c>
      <c r="N115" s="121">
        <v>15.0</v>
      </c>
      <c r="O115" s="18">
        <f t="shared" si="1"/>
        <v>30</v>
      </c>
      <c r="P115" s="18">
        <f t="shared" si="2"/>
        <v>15</v>
      </c>
      <c r="Q115" s="121">
        <v>5.0</v>
      </c>
      <c r="R115" s="18">
        <f t="shared" si="3"/>
        <v>65</v>
      </c>
      <c r="S115" s="17" t="s">
        <v>3303</v>
      </c>
      <c r="T115" s="133" t="s">
        <v>3304</v>
      </c>
      <c r="U115" s="134" t="str">
        <f>HYPERLINK("https://drive.google.com/file/d/1djONbHyRWjJuQBUJPgoRQ3ULhnS05FRh/view?usp=drivesdk","Uv-Vis (Udara)_Niken Renawati _776")</f>
        <v>Uv-Vis (Udara)_Niken Renawati _776</v>
      </c>
      <c r="V115" s="17" t="s">
        <v>3302</v>
      </c>
    </row>
    <row r="116">
      <c r="A116" s="295">
        <v>45981.0</v>
      </c>
      <c r="B116" s="295">
        <v>45982.0</v>
      </c>
      <c r="C116" s="121" t="s">
        <v>2902</v>
      </c>
      <c r="D116" s="121">
        <v>777.0</v>
      </c>
      <c r="E116" s="17" t="s">
        <v>3305</v>
      </c>
      <c r="F116" s="17" t="s">
        <v>3306</v>
      </c>
      <c r="G116" s="17" t="s">
        <v>3307</v>
      </c>
      <c r="H116" s="121" t="s">
        <v>621</v>
      </c>
      <c r="I116" s="121" t="s">
        <v>2905</v>
      </c>
      <c r="J116" s="17" t="s">
        <v>3308</v>
      </c>
      <c r="K116" s="121" t="s">
        <v>155</v>
      </c>
      <c r="L116" s="121">
        <v>25.0</v>
      </c>
      <c r="M116" s="121">
        <v>5000.0</v>
      </c>
      <c r="N116" s="121">
        <v>15.0</v>
      </c>
      <c r="O116" s="18">
        <f t="shared" si="1"/>
        <v>250</v>
      </c>
      <c r="P116" s="18">
        <f t="shared" si="2"/>
        <v>125</v>
      </c>
      <c r="Q116" s="121">
        <v>5.0</v>
      </c>
      <c r="R116" s="18">
        <f t="shared" si="3"/>
        <v>395</v>
      </c>
      <c r="S116" s="17" t="s">
        <v>3309</v>
      </c>
      <c r="T116" s="133" t="s">
        <v>3310</v>
      </c>
      <c r="U116" s="134" t="str">
        <f>HYPERLINK("https://drive.google.com/file/d/14rbHwLl-1qgV9iO1nUUGdlf1sXBTL5KF/view?usp=drivesdk","Uv-Vis (Udara)_Marshamada Harvenya Faelassufa_777")</f>
        <v>Uv-Vis (Udara)_Marshamada Harvenya Faelassufa_777</v>
      </c>
      <c r="V116" s="17" t="s">
        <v>3311</v>
      </c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</row>
  </sheetData>
  <dataValidations>
    <dataValidation type="list" allowBlank="1" showErrorMessage="1" sqref="H2:H35">
      <formula1>"Akses,Tidak Akses"</formula1>
    </dataValidation>
    <dataValidation type="list" allowBlank="1" showErrorMessage="1" sqref="K2:K35">
      <formula1>"Training,-,Diujikan"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</hyperlinks>
  <drawing r:id="rId116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21" width="18.88"/>
  </cols>
  <sheetData>
    <row r="1">
      <c r="A1" s="282" t="s">
        <v>3312</v>
      </c>
      <c r="B1" s="299" t="s">
        <v>3313</v>
      </c>
      <c r="C1" s="282" t="s">
        <v>3314</v>
      </c>
      <c r="D1" s="282" t="s">
        <v>3315</v>
      </c>
      <c r="E1" s="282" t="s">
        <v>3316</v>
      </c>
      <c r="F1" s="282" t="s">
        <v>3317</v>
      </c>
      <c r="G1" s="282" t="s">
        <v>3318</v>
      </c>
      <c r="H1" s="282" t="s">
        <v>3319</v>
      </c>
      <c r="I1" s="282" t="s">
        <v>3320</v>
      </c>
      <c r="J1" s="282" t="s">
        <v>3321</v>
      </c>
      <c r="K1" s="282" t="s">
        <v>3322</v>
      </c>
      <c r="L1" s="283" t="s">
        <v>3323</v>
      </c>
      <c r="M1" s="282" t="s">
        <v>3324</v>
      </c>
      <c r="N1" s="282" t="s">
        <v>3325</v>
      </c>
      <c r="O1" s="282" t="s">
        <v>3326</v>
      </c>
      <c r="P1" s="282" t="s">
        <v>3327</v>
      </c>
      <c r="Q1" s="282" t="s">
        <v>3328</v>
      </c>
      <c r="R1" s="148" t="s">
        <v>3329</v>
      </c>
      <c r="S1" s="148" t="s">
        <v>3330</v>
      </c>
      <c r="T1" s="148" t="s">
        <v>3331</v>
      </c>
      <c r="U1" s="148" t="s">
        <v>3332</v>
      </c>
    </row>
    <row r="2">
      <c r="A2" s="300">
        <v>45526.0</v>
      </c>
      <c r="B2" s="300">
        <v>45513.0</v>
      </c>
      <c r="C2" s="17" t="s">
        <v>2867</v>
      </c>
      <c r="D2" s="17">
        <v>909.0</v>
      </c>
      <c r="E2" s="17" t="s">
        <v>2868</v>
      </c>
      <c r="F2" s="17" t="s">
        <v>2869</v>
      </c>
      <c r="G2" s="17" t="s">
        <v>2870</v>
      </c>
      <c r="H2" s="17" t="s">
        <v>2871</v>
      </c>
      <c r="I2" s="17" t="s">
        <v>2872</v>
      </c>
      <c r="J2" s="17" t="s">
        <v>2873</v>
      </c>
      <c r="K2" s="17">
        <v>12.0</v>
      </c>
      <c r="L2" s="141">
        <v>2500.0</v>
      </c>
      <c r="M2" s="17">
        <v>15.0</v>
      </c>
      <c r="N2" s="171">
        <f>10*K2</f>
        <v>120</v>
      </c>
      <c r="O2" s="171">
        <f>5*K2</f>
        <v>60</v>
      </c>
      <c r="P2" s="17">
        <v>5.0</v>
      </c>
      <c r="Q2" s="171">
        <f>SUM(M2:P2)</f>
        <v>200</v>
      </c>
      <c r="R2" s="17" t="s">
        <v>3333</v>
      </c>
      <c r="S2" s="133" t="s">
        <v>3334</v>
      </c>
      <c r="T2" s="134" t="str">
        <f>HYPERLINK("https://drive.google.com/file/d/1dZii3Mbi7UijcFhGd5Yl4gyjvwYiDnIY/view?usp=drivesdk","Uv-Vis Kimia_kdufgbkfjbkw_909")</f>
        <v>Uv-Vis Kimia_kdufgbkfjbkw_909</v>
      </c>
      <c r="U2" s="17" t="s">
        <v>3335</v>
      </c>
    </row>
    <row r="3">
      <c r="B3" s="301"/>
    </row>
    <row r="4">
      <c r="B4" s="301"/>
    </row>
    <row r="5">
      <c r="B5" s="301"/>
    </row>
    <row r="6">
      <c r="B6" s="301"/>
    </row>
    <row r="7">
      <c r="B7" s="301"/>
    </row>
    <row r="8">
      <c r="B8" s="301"/>
    </row>
    <row r="9">
      <c r="B9" s="301"/>
    </row>
    <row r="10">
      <c r="B10" s="301"/>
    </row>
    <row r="11">
      <c r="B11" s="301"/>
    </row>
    <row r="12">
      <c r="B12" s="301"/>
    </row>
    <row r="13">
      <c r="B13" s="301"/>
    </row>
    <row r="14">
      <c r="B14" s="301"/>
    </row>
    <row r="15">
      <c r="B15" s="301"/>
    </row>
    <row r="16">
      <c r="B16" s="301"/>
    </row>
    <row r="17">
      <c r="B17" s="301"/>
    </row>
    <row r="18">
      <c r="B18" s="301"/>
    </row>
    <row r="19">
      <c r="B19" s="301"/>
    </row>
    <row r="20">
      <c r="B20" s="301"/>
    </row>
    <row r="21">
      <c r="B21" s="301"/>
    </row>
    <row r="22">
      <c r="B22" s="301"/>
    </row>
    <row r="23">
      <c r="B23" s="301"/>
    </row>
    <row r="24">
      <c r="B24" s="301"/>
    </row>
    <row r="25">
      <c r="B25" s="301"/>
    </row>
    <row r="26">
      <c r="B26" s="301"/>
    </row>
    <row r="27">
      <c r="B27" s="301"/>
    </row>
    <row r="28">
      <c r="B28" s="301"/>
    </row>
    <row r="29">
      <c r="B29" s="301"/>
    </row>
    <row r="30">
      <c r="B30" s="301"/>
    </row>
    <row r="31">
      <c r="B31" s="301"/>
    </row>
    <row r="32">
      <c r="B32" s="301"/>
    </row>
    <row r="33">
      <c r="B33" s="301"/>
    </row>
    <row r="34">
      <c r="B34" s="301"/>
    </row>
    <row r="35">
      <c r="B35" s="301"/>
    </row>
    <row r="36">
      <c r="B36" s="301"/>
    </row>
    <row r="37">
      <c r="B37" s="301"/>
    </row>
    <row r="38">
      <c r="B38" s="301"/>
    </row>
    <row r="39">
      <c r="B39" s="301"/>
    </row>
    <row r="40">
      <c r="B40" s="301"/>
    </row>
    <row r="41">
      <c r="B41" s="301"/>
    </row>
    <row r="42">
      <c r="B42" s="301"/>
    </row>
    <row r="43">
      <c r="B43" s="301"/>
    </row>
    <row r="44">
      <c r="B44" s="301"/>
    </row>
    <row r="45">
      <c r="B45" s="301"/>
    </row>
    <row r="46">
      <c r="B46" s="301"/>
    </row>
    <row r="47">
      <c r="B47" s="301"/>
    </row>
    <row r="48">
      <c r="B48" s="301"/>
    </row>
    <row r="49">
      <c r="B49" s="301"/>
    </row>
    <row r="50">
      <c r="B50" s="301"/>
    </row>
    <row r="51">
      <c r="B51" s="301"/>
    </row>
    <row r="52">
      <c r="B52" s="301"/>
    </row>
    <row r="53">
      <c r="B53" s="301"/>
    </row>
    <row r="54">
      <c r="B54" s="301"/>
    </row>
    <row r="55">
      <c r="B55" s="301"/>
    </row>
    <row r="56">
      <c r="B56" s="301"/>
    </row>
    <row r="57">
      <c r="B57" s="301"/>
    </row>
    <row r="58">
      <c r="B58" s="301"/>
    </row>
    <row r="59">
      <c r="B59" s="301"/>
    </row>
    <row r="60">
      <c r="B60" s="301"/>
    </row>
    <row r="61">
      <c r="B61" s="301"/>
    </row>
    <row r="62">
      <c r="B62" s="301"/>
    </row>
    <row r="63">
      <c r="B63" s="301"/>
    </row>
    <row r="64">
      <c r="B64" s="301"/>
    </row>
    <row r="65">
      <c r="B65" s="301"/>
    </row>
    <row r="66">
      <c r="B66" s="301"/>
    </row>
    <row r="67">
      <c r="B67" s="301"/>
    </row>
    <row r="68">
      <c r="B68" s="301"/>
    </row>
    <row r="69">
      <c r="B69" s="301"/>
    </row>
    <row r="70">
      <c r="B70" s="301"/>
    </row>
    <row r="71">
      <c r="B71" s="301"/>
    </row>
    <row r="72">
      <c r="B72" s="301"/>
    </row>
    <row r="73">
      <c r="B73" s="301"/>
    </row>
    <row r="74">
      <c r="B74" s="301"/>
    </row>
    <row r="75">
      <c r="B75" s="301"/>
    </row>
    <row r="76">
      <c r="B76" s="301"/>
    </row>
    <row r="77">
      <c r="B77" s="301"/>
    </row>
    <row r="78">
      <c r="B78" s="301"/>
    </row>
    <row r="79">
      <c r="B79" s="301"/>
    </row>
    <row r="80">
      <c r="B80" s="301"/>
    </row>
    <row r="81">
      <c r="B81" s="301"/>
    </row>
    <row r="82">
      <c r="B82" s="301"/>
    </row>
    <row r="83">
      <c r="B83" s="301"/>
    </row>
    <row r="84">
      <c r="B84" s="301"/>
    </row>
    <row r="85">
      <c r="B85" s="301"/>
    </row>
    <row r="86">
      <c r="B86" s="301"/>
    </row>
    <row r="87">
      <c r="B87" s="301"/>
    </row>
    <row r="88">
      <c r="B88" s="301"/>
    </row>
    <row r="89">
      <c r="B89" s="301"/>
    </row>
    <row r="90">
      <c r="B90" s="301"/>
    </row>
    <row r="91">
      <c r="B91" s="301"/>
    </row>
    <row r="92">
      <c r="B92" s="301"/>
    </row>
    <row r="93">
      <c r="B93" s="301"/>
    </row>
    <row r="94">
      <c r="B94" s="301"/>
    </row>
    <row r="95">
      <c r="B95" s="301"/>
    </row>
    <row r="96">
      <c r="B96" s="301"/>
    </row>
    <row r="97">
      <c r="B97" s="301"/>
    </row>
    <row r="98">
      <c r="B98" s="301"/>
    </row>
    <row r="99">
      <c r="B99" s="301"/>
    </row>
    <row r="100">
      <c r="B100" s="301"/>
    </row>
    <row r="101">
      <c r="B101" s="301"/>
    </row>
    <row r="102">
      <c r="B102" s="301"/>
    </row>
    <row r="103">
      <c r="B103" s="301"/>
    </row>
    <row r="104">
      <c r="B104" s="301"/>
    </row>
    <row r="105">
      <c r="B105" s="301"/>
    </row>
    <row r="106">
      <c r="B106" s="301"/>
    </row>
    <row r="107">
      <c r="B107" s="301"/>
    </row>
    <row r="108">
      <c r="B108" s="301"/>
    </row>
    <row r="109">
      <c r="B109" s="301"/>
    </row>
    <row r="110">
      <c r="B110" s="301"/>
    </row>
    <row r="111">
      <c r="B111" s="301"/>
    </row>
    <row r="112">
      <c r="B112" s="301"/>
    </row>
    <row r="113">
      <c r="B113" s="301"/>
    </row>
    <row r="114">
      <c r="B114" s="301"/>
    </row>
    <row r="115">
      <c r="B115" s="301"/>
    </row>
    <row r="116">
      <c r="B116" s="301"/>
    </row>
    <row r="117">
      <c r="B117" s="301"/>
    </row>
    <row r="118">
      <c r="B118" s="301"/>
    </row>
    <row r="119">
      <c r="B119" s="301"/>
    </row>
    <row r="120">
      <c r="B120" s="301"/>
    </row>
    <row r="121">
      <c r="B121" s="301"/>
    </row>
    <row r="122">
      <c r="B122" s="301"/>
    </row>
    <row r="123">
      <c r="B123" s="301"/>
    </row>
    <row r="124">
      <c r="B124" s="301"/>
    </row>
    <row r="125">
      <c r="B125" s="301"/>
    </row>
    <row r="126">
      <c r="B126" s="301"/>
    </row>
    <row r="127">
      <c r="B127" s="301"/>
    </row>
    <row r="128">
      <c r="B128" s="301"/>
    </row>
    <row r="129">
      <c r="B129" s="301"/>
    </row>
    <row r="130">
      <c r="B130" s="301"/>
    </row>
    <row r="131">
      <c r="B131" s="301"/>
    </row>
    <row r="132">
      <c r="B132" s="301"/>
    </row>
    <row r="133">
      <c r="B133" s="301"/>
    </row>
    <row r="134">
      <c r="B134" s="301"/>
    </row>
    <row r="135">
      <c r="B135" s="301"/>
    </row>
    <row r="136">
      <c r="B136" s="301"/>
    </row>
    <row r="137">
      <c r="B137" s="301"/>
    </row>
    <row r="138">
      <c r="B138" s="301"/>
    </row>
    <row r="139">
      <c r="B139" s="301"/>
    </row>
    <row r="140">
      <c r="B140" s="301"/>
    </row>
    <row r="141">
      <c r="B141" s="301"/>
    </row>
    <row r="142">
      <c r="B142" s="301"/>
    </row>
    <row r="143">
      <c r="B143" s="301"/>
    </row>
    <row r="144">
      <c r="B144" s="301"/>
    </row>
    <row r="145">
      <c r="B145" s="301"/>
    </row>
    <row r="146">
      <c r="B146" s="301"/>
    </row>
    <row r="147">
      <c r="B147" s="301"/>
    </row>
    <row r="148">
      <c r="B148" s="301"/>
    </row>
    <row r="149">
      <c r="B149" s="301"/>
    </row>
    <row r="150">
      <c r="B150" s="301"/>
    </row>
    <row r="151">
      <c r="B151" s="301"/>
    </row>
    <row r="152">
      <c r="B152" s="301"/>
    </row>
    <row r="153">
      <c r="B153" s="301"/>
    </row>
    <row r="154">
      <c r="B154" s="301"/>
    </row>
    <row r="155">
      <c r="B155" s="301"/>
    </row>
    <row r="156">
      <c r="B156" s="301"/>
    </row>
    <row r="157">
      <c r="B157" s="301"/>
    </row>
    <row r="158">
      <c r="B158" s="301"/>
    </row>
    <row r="159">
      <c r="B159" s="301"/>
    </row>
    <row r="160">
      <c r="B160" s="301"/>
    </row>
    <row r="161">
      <c r="B161" s="301"/>
    </row>
    <row r="162">
      <c r="B162" s="301"/>
    </row>
    <row r="163">
      <c r="B163" s="301"/>
    </row>
    <row r="164">
      <c r="B164" s="301"/>
    </row>
    <row r="165">
      <c r="B165" s="301"/>
    </row>
    <row r="166">
      <c r="B166" s="301"/>
    </row>
    <row r="167">
      <c r="B167" s="301"/>
    </row>
    <row r="168">
      <c r="B168" s="301"/>
    </row>
    <row r="169">
      <c r="B169" s="301"/>
    </row>
    <row r="170">
      <c r="B170" s="301"/>
    </row>
    <row r="171">
      <c r="B171" s="301"/>
    </row>
    <row r="172">
      <c r="B172" s="301"/>
    </row>
    <row r="173">
      <c r="B173" s="301"/>
    </row>
    <row r="174">
      <c r="B174" s="301"/>
    </row>
    <row r="175">
      <c r="B175" s="301"/>
    </row>
    <row r="176">
      <c r="B176" s="301"/>
    </row>
    <row r="177">
      <c r="B177" s="301"/>
    </row>
    <row r="178">
      <c r="B178" s="301"/>
    </row>
    <row r="179">
      <c r="B179" s="301"/>
    </row>
    <row r="180">
      <c r="B180" s="301"/>
    </row>
    <row r="181">
      <c r="B181" s="301"/>
    </row>
    <row r="182">
      <c r="B182" s="301"/>
    </row>
    <row r="183">
      <c r="B183" s="301"/>
    </row>
    <row r="184">
      <c r="B184" s="301"/>
    </row>
    <row r="185">
      <c r="B185" s="301"/>
    </row>
    <row r="186">
      <c r="B186" s="301"/>
    </row>
    <row r="187">
      <c r="B187" s="301"/>
    </row>
    <row r="188">
      <c r="B188" s="301"/>
    </row>
    <row r="189">
      <c r="B189" s="301"/>
    </row>
    <row r="190">
      <c r="B190" s="301"/>
    </row>
    <row r="191">
      <c r="B191" s="301"/>
    </row>
    <row r="192">
      <c r="B192" s="301"/>
    </row>
    <row r="193">
      <c r="B193" s="301"/>
    </row>
    <row r="194">
      <c r="B194" s="301"/>
    </row>
    <row r="195">
      <c r="B195" s="301"/>
    </row>
    <row r="196">
      <c r="B196" s="301"/>
    </row>
    <row r="197">
      <c r="B197" s="301"/>
    </row>
    <row r="198">
      <c r="B198" s="301"/>
    </row>
    <row r="199">
      <c r="B199" s="301"/>
    </row>
    <row r="200">
      <c r="B200" s="301"/>
    </row>
    <row r="201">
      <c r="B201" s="301"/>
    </row>
    <row r="202">
      <c r="B202" s="301"/>
    </row>
    <row r="203">
      <c r="B203" s="301"/>
    </row>
    <row r="204">
      <c r="B204" s="301"/>
    </row>
    <row r="205">
      <c r="B205" s="301"/>
    </row>
    <row r="206">
      <c r="B206" s="301"/>
    </row>
    <row r="207">
      <c r="B207" s="301"/>
    </row>
    <row r="208">
      <c r="B208" s="301"/>
    </row>
    <row r="209">
      <c r="B209" s="301"/>
    </row>
    <row r="210">
      <c r="B210" s="301"/>
    </row>
    <row r="211">
      <c r="B211" s="301"/>
    </row>
    <row r="212">
      <c r="B212" s="301"/>
    </row>
    <row r="213">
      <c r="B213" s="301"/>
    </row>
    <row r="214">
      <c r="B214" s="301"/>
    </row>
    <row r="215">
      <c r="B215" s="301"/>
    </row>
    <row r="216">
      <c r="B216" s="301"/>
    </row>
    <row r="217">
      <c r="B217" s="301"/>
    </row>
    <row r="218">
      <c r="B218" s="301"/>
    </row>
    <row r="219">
      <c r="B219" s="301"/>
    </row>
    <row r="220">
      <c r="B220" s="301"/>
    </row>
    <row r="221">
      <c r="B221" s="301"/>
    </row>
    <row r="222">
      <c r="B222" s="301"/>
    </row>
    <row r="223">
      <c r="B223" s="301"/>
    </row>
    <row r="224">
      <c r="B224" s="301"/>
    </row>
    <row r="225">
      <c r="B225" s="301"/>
    </row>
    <row r="226">
      <c r="B226" s="301"/>
    </row>
    <row r="227">
      <c r="B227" s="301"/>
    </row>
    <row r="228">
      <c r="B228" s="301"/>
    </row>
    <row r="229">
      <c r="B229" s="301"/>
    </row>
    <row r="230">
      <c r="B230" s="301"/>
    </row>
    <row r="231">
      <c r="B231" s="301"/>
    </row>
    <row r="232">
      <c r="B232" s="301"/>
    </row>
    <row r="233">
      <c r="B233" s="301"/>
    </row>
    <row r="234">
      <c r="B234" s="301"/>
    </row>
    <row r="235">
      <c r="B235" s="301"/>
    </row>
    <row r="236">
      <c r="B236" s="301"/>
    </row>
    <row r="237">
      <c r="B237" s="301"/>
    </row>
    <row r="238">
      <c r="B238" s="301"/>
    </row>
    <row r="239">
      <c r="B239" s="301"/>
    </row>
    <row r="240">
      <c r="B240" s="301"/>
    </row>
    <row r="241">
      <c r="B241" s="301"/>
    </row>
    <row r="242">
      <c r="B242" s="301"/>
    </row>
    <row r="243">
      <c r="B243" s="301"/>
    </row>
    <row r="244">
      <c r="B244" s="301"/>
    </row>
    <row r="245">
      <c r="B245" s="301"/>
    </row>
    <row r="246">
      <c r="B246" s="301"/>
    </row>
    <row r="247">
      <c r="B247" s="301"/>
    </row>
    <row r="248">
      <c r="B248" s="301"/>
    </row>
    <row r="249">
      <c r="B249" s="301"/>
    </row>
    <row r="250">
      <c r="B250" s="301"/>
    </row>
    <row r="251">
      <c r="B251" s="301"/>
    </row>
    <row r="252">
      <c r="B252" s="301"/>
    </row>
    <row r="253">
      <c r="B253" s="301"/>
    </row>
    <row r="254">
      <c r="B254" s="301"/>
    </row>
    <row r="255">
      <c r="B255" s="301"/>
    </row>
    <row r="256">
      <c r="B256" s="301"/>
    </row>
    <row r="257">
      <c r="B257" s="301"/>
    </row>
    <row r="258">
      <c r="B258" s="301"/>
    </row>
    <row r="259">
      <c r="B259" s="301"/>
    </row>
    <row r="260">
      <c r="B260" s="301"/>
    </row>
    <row r="261">
      <c r="B261" s="301"/>
    </row>
    <row r="262">
      <c r="B262" s="301"/>
    </row>
    <row r="263">
      <c r="B263" s="301"/>
    </row>
    <row r="264">
      <c r="B264" s="301"/>
    </row>
    <row r="265">
      <c r="B265" s="301"/>
    </row>
    <row r="266">
      <c r="B266" s="301"/>
    </row>
    <row r="267">
      <c r="B267" s="301"/>
    </row>
    <row r="268">
      <c r="B268" s="301"/>
    </row>
    <row r="269">
      <c r="B269" s="301"/>
    </row>
    <row r="270">
      <c r="B270" s="301"/>
    </row>
    <row r="271">
      <c r="B271" s="301"/>
    </row>
    <row r="272">
      <c r="B272" s="301"/>
    </row>
    <row r="273">
      <c r="B273" s="301"/>
    </row>
    <row r="274">
      <c r="B274" s="301"/>
    </row>
    <row r="275">
      <c r="B275" s="301"/>
    </row>
    <row r="276">
      <c r="B276" s="301"/>
    </row>
    <row r="277">
      <c r="B277" s="301"/>
    </row>
    <row r="278">
      <c r="B278" s="301"/>
    </row>
    <row r="279">
      <c r="B279" s="301"/>
    </row>
    <row r="280">
      <c r="B280" s="301"/>
    </row>
    <row r="281">
      <c r="B281" s="301"/>
    </row>
    <row r="282">
      <c r="B282" s="301"/>
    </row>
    <row r="283">
      <c r="B283" s="301"/>
    </row>
    <row r="284">
      <c r="B284" s="301"/>
    </row>
    <row r="285">
      <c r="B285" s="301"/>
    </row>
    <row r="286">
      <c r="B286" s="301"/>
    </row>
    <row r="287">
      <c r="B287" s="301"/>
    </row>
    <row r="288">
      <c r="B288" s="301"/>
    </row>
    <row r="289">
      <c r="B289" s="301"/>
    </row>
    <row r="290">
      <c r="B290" s="301"/>
    </row>
    <row r="291">
      <c r="B291" s="301"/>
    </row>
    <row r="292">
      <c r="B292" s="301"/>
    </row>
    <row r="293">
      <c r="B293" s="301"/>
    </row>
    <row r="294">
      <c r="B294" s="301"/>
    </row>
    <row r="295">
      <c r="B295" s="301"/>
    </row>
    <row r="296">
      <c r="B296" s="301"/>
    </row>
    <row r="297">
      <c r="B297" s="301"/>
    </row>
    <row r="298">
      <c r="B298" s="301"/>
    </row>
    <row r="299">
      <c r="B299" s="301"/>
    </row>
    <row r="300">
      <c r="B300" s="301"/>
    </row>
    <row r="301">
      <c r="B301" s="301"/>
    </row>
    <row r="302">
      <c r="B302" s="301"/>
    </row>
    <row r="303">
      <c r="B303" s="301"/>
    </row>
    <row r="304">
      <c r="B304" s="301"/>
    </row>
    <row r="305">
      <c r="B305" s="301"/>
    </row>
    <row r="306">
      <c r="B306" s="301"/>
    </row>
    <row r="307">
      <c r="B307" s="301"/>
    </row>
    <row r="308">
      <c r="B308" s="301"/>
    </row>
    <row r="309">
      <c r="B309" s="301"/>
    </row>
    <row r="310">
      <c r="B310" s="301"/>
    </row>
    <row r="311">
      <c r="B311" s="301"/>
    </row>
    <row r="312">
      <c r="B312" s="301"/>
    </row>
    <row r="313">
      <c r="B313" s="301"/>
    </row>
    <row r="314">
      <c r="B314" s="301"/>
    </row>
    <row r="315">
      <c r="B315" s="301"/>
    </row>
    <row r="316">
      <c r="B316" s="301"/>
    </row>
    <row r="317">
      <c r="B317" s="301"/>
    </row>
    <row r="318">
      <c r="B318" s="301"/>
    </row>
    <row r="319">
      <c r="B319" s="301"/>
    </row>
    <row r="320">
      <c r="B320" s="301"/>
    </row>
    <row r="321">
      <c r="B321" s="301"/>
    </row>
    <row r="322">
      <c r="B322" s="301"/>
    </row>
    <row r="323">
      <c r="B323" s="301"/>
    </row>
    <row r="324">
      <c r="B324" s="301"/>
    </row>
    <row r="325">
      <c r="B325" s="301"/>
    </row>
    <row r="326">
      <c r="B326" s="301"/>
    </row>
    <row r="327">
      <c r="B327" s="301"/>
    </row>
    <row r="328">
      <c r="B328" s="301"/>
    </row>
    <row r="329">
      <c r="B329" s="301"/>
    </row>
    <row r="330">
      <c r="B330" s="301"/>
    </row>
    <row r="331">
      <c r="B331" s="301"/>
    </row>
    <row r="332">
      <c r="B332" s="301"/>
    </row>
    <row r="333">
      <c r="B333" s="301"/>
    </row>
    <row r="334">
      <c r="B334" s="301"/>
    </row>
    <row r="335">
      <c r="B335" s="301"/>
    </row>
    <row r="336">
      <c r="B336" s="301"/>
    </row>
    <row r="337">
      <c r="B337" s="301"/>
    </row>
    <row r="338">
      <c r="B338" s="301"/>
    </row>
    <row r="339">
      <c r="B339" s="301"/>
    </row>
    <row r="340">
      <c r="B340" s="301"/>
    </row>
    <row r="341">
      <c r="B341" s="301"/>
    </row>
    <row r="342">
      <c r="B342" s="301"/>
    </row>
    <row r="343">
      <c r="B343" s="301"/>
    </row>
    <row r="344">
      <c r="B344" s="301"/>
    </row>
    <row r="345">
      <c r="B345" s="301"/>
    </row>
    <row r="346">
      <c r="B346" s="301"/>
    </row>
    <row r="347">
      <c r="B347" s="301"/>
    </row>
    <row r="348">
      <c r="B348" s="301"/>
    </row>
    <row r="349">
      <c r="B349" s="301"/>
    </row>
    <row r="350">
      <c r="B350" s="301"/>
    </row>
    <row r="351">
      <c r="B351" s="301"/>
    </row>
    <row r="352">
      <c r="B352" s="301"/>
    </row>
    <row r="353">
      <c r="B353" s="301"/>
    </row>
    <row r="354">
      <c r="B354" s="301"/>
    </row>
    <row r="355">
      <c r="B355" s="301"/>
    </row>
    <row r="356">
      <c r="B356" s="301"/>
    </row>
    <row r="357">
      <c r="B357" s="301"/>
    </row>
    <row r="358">
      <c r="B358" s="301"/>
    </row>
    <row r="359">
      <c r="B359" s="301"/>
    </row>
    <row r="360">
      <c r="B360" s="301"/>
    </row>
    <row r="361">
      <c r="B361" s="301"/>
    </row>
    <row r="362">
      <c r="B362" s="301"/>
    </row>
    <row r="363">
      <c r="B363" s="301"/>
    </row>
    <row r="364">
      <c r="B364" s="301"/>
    </row>
    <row r="365">
      <c r="B365" s="301"/>
    </row>
    <row r="366">
      <c r="B366" s="301"/>
    </row>
    <row r="367">
      <c r="B367" s="301"/>
    </row>
    <row r="368">
      <c r="B368" s="301"/>
    </row>
    <row r="369">
      <c r="B369" s="301"/>
    </row>
    <row r="370">
      <c r="B370" s="301"/>
    </row>
    <row r="371">
      <c r="B371" s="301"/>
    </row>
    <row r="372">
      <c r="B372" s="301"/>
    </row>
    <row r="373">
      <c r="B373" s="301"/>
    </row>
    <row r="374">
      <c r="B374" s="301"/>
    </row>
    <row r="375">
      <c r="B375" s="301"/>
    </row>
    <row r="376">
      <c r="B376" s="301"/>
    </row>
    <row r="377">
      <c r="B377" s="301"/>
    </row>
    <row r="378">
      <c r="B378" s="301"/>
    </row>
    <row r="379">
      <c r="B379" s="301"/>
    </row>
    <row r="380">
      <c r="B380" s="301"/>
    </row>
    <row r="381">
      <c r="B381" s="301"/>
    </row>
    <row r="382">
      <c r="B382" s="301"/>
    </row>
    <row r="383">
      <c r="B383" s="301"/>
    </row>
    <row r="384">
      <c r="B384" s="301"/>
    </row>
    <row r="385">
      <c r="B385" s="301"/>
    </row>
    <row r="386">
      <c r="B386" s="301"/>
    </row>
    <row r="387">
      <c r="B387" s="301"/>
    </row>
    <row r="388">
      <c r="B388" s="301"/>
    </row>
    <row r="389">
      <c r="B389" s="301"/>
    </row>
    <row r="390">
      <c r="B390" s="301"/>
    </row>
    <row r="391">
      <c r="B391" s="301"/>
    </row>
    <row r="392">
      <c r="B392" s="301"/>
    </row>
    <row r="393">
      <c r="B393" s="301"/>
    </row>
    <row r="394">
      <c r="B394" s="301"/>
    </row>
    <row r="395">
      <c r="B395" s="301"/>
    </row>
    <row r="396">
      <c r="B396" s="301"/>
    </row>
    <row r="397">
      <c r="B397" s="301"/>
    </row>
    <row r="398">
      <c r="B398" s="301"/>
    </row>
    <row r="399">
      <c r="B399" s="301"/>
    </row>
    <row r="400">
      <c r="B400" s="301"/>
    </row>
    <row r="401">
      <c r="B401" s="301"/>
    </row>
    <row r="402">
      <c r="B402" s="301"/>
    </row>
    <row r="403">
      <c r="B403" s="301"/>
    </row>
    <row r="404">
      <c r="B404" s="301"/>
    </row>
    <row r="405">
      <c r="B405" s="301"/>
    </row>
    <row r="406">
      <c r="B406" s="301"/>
    </row>
    <row r="407">
      <c r="B407" s="301"/>
    </row>
    <row r="408">
      <c r="B408" s="301"/>
    </row>
    <row r="409">
      <c r="B409" s="301"/>
    </row>
    <row r="410">
      <c r="B410" s="301"/>
    </row>
    <row r="411">
      <c r="B411" s="301"/>
    </row>
    <row r="412">
      <c r="B412" s="301"/>
    </row>
    <row r="413">
      <c r="B413" s="301"/>
    </row>
    <row r="414">
      <c r="B414" s="301"/>
    </row>
    <row r="415">
      <c r="B415" s="301"/>
    </row>
    <row r="416">
      <c r="B416" s="301"/>
    </row>
    <row r="417">
      <c r="B417" s="301"/>
    </row>
    <row r="418">
      <c r="B418" s="301"/>
    </row>
    <row r="419">
      <c r="B419" s="301"/>
    </row>
    <row r="420">
      <c r="B420" s="301"/>
    </row>
    <row r="421">
      <c r="B421" s="301"/>
    </row>
    <row r="422">
      <c r="B422" s="301"/>
    </row>
    <row r="423">
      <c r="B423" s="301"/>
    </row>
    <row r="424">
      <c r="B424" s="301"/>
    </row>
    <row r="425">
      <c r="B425" s="301"/>
    </row>
    <row r="426">
      <c r="B426" s="301"/>
    </row>
    <row r="427">
      <c r="B427" s="301"/>
    </row>
    <row r="428">
      <c r="B428" s="301"/>
    </row>
    <row r="429">
      <c r="B429" s="301"/>
    </row>
    <row r="430">
      <c r="B430" s="301"/>
    </row>
    <row r="431">
      <c r="B431" s="301"/>
    </row>
    <row r="432">
      <c r="B432" s="301"/>
    </row>
    <row r="433">
      <c r="B433" s="301"/>
    </row>
    <row r="434">
      <c r="B434" s="301"/>
    </row>
    <row r="435">
      <c r="B435" s="301"/>
    </row>
    <row r="436">
      <c r="B436" s="301"/>
    </row>
    <row r="437">
      <c r="B437" s="301"/>
    </row>
    <row r="438">
      <c r="B438" s="301"/>
    </row>
    <row r="439">
      <c r="B439" s="301"/>
    </row>
    <row r="440">
      <c r="B440" s="301"/>
    </row>
    <row r="441">
      <c r="B441" s="301"/>
    </row>
    <row r="442">
      <c r="B442" s="301"/>
    </row>
    <row r="443">
      <c r="B443" s="301"/>
    </row>
    <row r="444">
      <c r="B444" s="301"/>
    </row>
    <row r="445">
      <c r="B445" s="301"/>
    </row>
    <row r="446">
      <c r="B446" s="301"/>
    </row>
    <row r="447">
      <c r="B447" s="301"/>
    </row>
    <row r="448">
      <c r="B448" s="301"/>
    </row>
    <row r="449">
      <c r="B449" s="301"/>
    </row>
    <row r="450">
      <c r="B450" s="301"/>
    </row>
    <row r="451">
      <c r="B451" s="301"/>
    </row>
    <row r="452">
      <c r="B452" s="301"/>
    </row>
    <row r="453">
      <c r="B453" s="301"/>
    </row>
    <row r="454">
      <c r="B454" s="301"/>
    </row>
    <row r="455">
      <c r="B455" s="301"/>
    </row>
    <row r="456">
      <c r="B456" s="301"/>
    </row>
    <row r="457">
      <c r="B457" s="301"/>
    </row>
    <row r="458">
      <c r="B458" s="301"/>
    </row>
    <row r="459">
      <c r="B459" s="301"/>
    </row>
    <row r="460">
      <c r="B460" s="301"/>
    </row>
    <row r="461">
      <c r="B461" s="301"/>
    </row>
    <row r="462">
      <c r="B462" s="301"/>
    </row>
    <row r="463">
      <c r="B463" s="301"/>
    </row>
    <row r="464">
      <c r="B464" s="301"/>
    </row>
    <row r="465">
      <c r="B465" s="301"/>
    </row>
    <row r="466">
      <c r="B466" s="301"/>
    </row>
    <row r="467">
      <c r="B467" s="301"/>
    </row>
    <row r="468">
      <c r="B468" s="301"/>
    </row>
    <row r="469">
      <c r="B469" s="301"/>
    </row>
    <row r="470">
      <c r="B470" s="301"/>
    </row>
    <row r="471">
      <c r="B471" s="301"/>
    </row>
    <row r="472">
      <c r="B472" s="301"/>
    </row>
    <row r="473">
      <c r="B473" s="301"/>
    </row>
    <row r="474">
      <c r="B474" s="301"/>
    </row>
    <row r="475">
      <c r="B475" s="301"/>
    </row>
    <row r="476">
      <c r="B476" s="301"/>
    </row>
    <row r="477">
      <c r="B477" s="301"/>
    </row>
    <row r="478">
      <c r="B478" s="301"/>
    </row>
    <row r="479">
      <c r="B479" s="301"/>
    </row>
    <row r="480">
      <c r="B480" s="301"/>
    </row>
    <row r="481">
      <c r="B481" s="301"/>
    </row>
    <row r="482">
      <c r="B482" s="301"/>
    </row>
    <row r="483">
      <c r="B483" s="301"/>
    </row>
    <row r="484">
      <c r="B484" s="301"/>
    </row>
    <row r="485">
      <c r="B485" s="301"/>
    </row>
    <row r="486">
      <c r="B486" s="301"/>
    </row>
    <row r="487">
      <c r="B487" s="301"/>
    </row>
    <row r="488">
      <c r="B488" s="301"/>
    </row>
    <row r="489">
      <c r="B489" s="301"/>
    </row>
    <row r="490">
      <c r="B490" s="301"/>
    </row>
    <row r="491">
      <c r="B491" s="301"/>
    </row>
    <row r="492">
      <c r="B492" s="301"/>
    </row>
    <row r="493">
      <c r="B493" s="301"/>
    </row>
    <row r="494">
      <c r="B494" s="301"/>
    </row>
    <row r="495">
      <c r="B495" s="301"/>
    </row>
    <row r="496">
      <c r="B496" s="301"/>
    </row>
    <row r="497">
      <c r="B497" s="301"/>
    </row>
    <row r="498">
      <c r="B498" s="301"/>
    </row>
    <row r="499">
      <c r="B499" s="301"/>
    </row>
    <row r="500">
      <c r="B500" s="301"/>
    </row>
    <row r="501">
      <c r="B501" s="301"/>
    </row>
    <row r="502">
      <c r="B502" s="301"/>
    </row>
    <row r="503">
      <c r="B503" s="301"/>
    </row>
    <row r="504">
      <c r="B504" s="301"/>
    </row>
    <row r="505">
      <c r="B505" s="301"/>
    </row>
    <row r="506">
      <c r="B506" s="301"/>
    </row>
    <row r="507">
      <c r="B507" s="301"/>
    </row>
    <row r="508">
      <c r="B508" s="301"/>
    </row>
    <row r="509">
      <c r="B509" s="301"/>
    </row>
    <row r="510">
      <c r="B510" s="301"/>
    </row>
    <row r="511">
      <c r="B511" s="301"/>
    </row>
    <row r="512">
      <c r="B512" s="301"/>
    </row>
    <row r="513">
      <c r="B513" s="301"/>
    </row>
    <row r="514">
      <c r="B514" s="301"/>
    </row>
    <row r="515">
      <c r="B515" s="301"/>
    </row>
    <row r="516">
      <c r="B516" s="301"/>
    </row>
    <row r="517">
      <c r="B517" s="301"/>
    </row>
    <row r="518">
      <c r="B518" s="301"/>
    </row>
    <row r="519">
      <c r="B519" s="301"/>
    </row>
    <row r="520">
      <c r="B520" s="301"/>
    </row>
    <row r="521">
      <c r="B521" s="301"/>
    </row>
    <row r="522">
      <c r="B522" s="301"/>
    </row>
    <row r="523">
      <c r="B523" s="301"/>
    </row>
    <row r="524">
      <c r="B524" s="301"/>
    </row>
    <row r="525">
      <c r="B525" s="301"/>
    </row>
    <row r="526">
      <c r="B526" s="301"/>
    </row>
    <row r="527">
      <c r="B527" s="301"/>
    </row>
    <row r="528">
      <c r="B528" s="301"/>
    </row>
    <row r="529">
      <c r="B529" s="301"/>
    </row>
    <row r="530">
      <c r="B530" s="301"/>
    </row>
    <row r="531">
      <c r="B531" s="301"/>
    </row>
    <row r="532">
      <c r="B532" s="301"/>
    </row>
    <row r="533">
      <c r="B533" s="301"/>
    </row>
    <row r="534">
      <c r="B534" s="301"/>
    </row>
    <row r="535">
      <c r="B535" s="301"/>
    </row>
    <row r="536">
      <c r="B536" s="301"/>
    </row>
    <row r="537">
      <c r="B537" s="301"/>
    </row>
    <row r="538">
      <c r="B538" s="301"/>
    </row>
    <row r="539">
      <c r="B539" s="301"/>
    </row>
    <row r="540">
      <c r="B540" s="301"/>
    </row>
    <row r="541">
      <c r="B541" s="301"/>
    </row>
    <row r="542">
      <c r="B542" s="301"/>
    </row>
    <row r="543">
      <c r="B543" s="301"/>
    </row>
    <row r="544">
      <c r="B544" s="301"/>
    </row>
    <row r="545">
      <c r="B545" s="301"/>
    </row>
    <row r="546">
      <c r="B546" s="301"/>
    </row>
    <row r="547">
      <c r="B547" s="301"/>
    </row>
    <row r="548">
      <c r="B548" s="301"/>
    </row>
    <row r="549">
      <c r="B549" s="301"/>
    </row>
    <row r="550">
      <c r="B550" s="301"/>
    </row>
    <row r="551">
      <c r="B551" s="301"/>
    </row>
    <row r="552">
      <c r="B552" s="301"/>
    </row>
    <row r="553">
      <c r="B553" s="301"/>
    </row>
    <row r="554">
      <c r="B554" s="301"/>
    </row>
    <row r="555">
      <c r="B555" s="301"/>
    </row>
    <row r="556">
      <c r="B556" s="301"/>
    </row>
    <row r="557">
      <c r="B557" s="301"/>
    </row>
    <row r="558">
      <c r="B558" s="301"/>
    </row>
    <row r="559">
      <c r="B559" s="301"/>
    </row>
    <row r="560">
      <c r="B560" s="301"/>
    </row>
    <row r="561">
      <c r="B561" s="301"/>
    </row>
    <row r="562">
      <c r="B562" s="301"/>
    </row>
    <row r="563">
      <c r="B563" s="301"/>
    </row>
    <row r="564">
      <c r="B564" s="301"/>
    </row>
    <row r="565">
      <c r="B565" s="301"/>
    </row>
    <row r="566">
      <c r="B566" s="301"/>
    </row>
    <row r="567">
      <c r="B567" s="301"/>
    </row>
    <row r="568">
      <c r="B568" s="301"/>
    </row>
    <row r="569">
      <c r="B569" s="301"/>
    </row>
    <row r="570">
      <c r="B570" s="301"/>
    </row>
    <row r="571">
      <c r="B571" s="301"/>
    </row>
    <row r="572">
      <c r="B572" s="301"/>
    </row>
    <row r="573">
      <c r="B573" s="301"/>
    </row>
    <row r="574">
      <c r="B574" s="301"/>
    </row>
    <row r="575">
      <c r="B575" s="301"/>
    </row>
    <row r="576">
      <c r="B576" s="301"/>
    </row>
    <row r="577">
      <c r="B577" s="301"/>
    </row>
    <row r="578">
      <c r="B578" s="301"/>
    </row>
    <row r="579">
      <c r="B579" s="301"/>
    </row>
    <row r="580">
      <c r="B580" s="301"/>
    </row>
    <row r="581">
      <c r="B581" s="301"/>
    </row>
    <row r="582">
      <c r="B582" s="301"/>
    </row>
    <row r="583">
      <c r="B583" s="301"/>
    </row>
    <row r="584">
      <c r="B584" s="301"/>
    </row>
    <row r="585">
      <c r="B585" s="301"/>
    </row>
    <row r="586">
      <c r="B586" s="301"/>
    </row>
    <row r="587">
      <c r="B587" s="301"/>
    </row>
    <row r="588">
      <c r="B588" s="301"/>
    </row>
    <row r="589">
      <c r="B589" s="301"/>
    </row>
    <row r="590">
      <c r="B590" s="301"/>
    </row>
    <row r="591">
      <c r="B591" s="301"/>
    </row>
    <row r="592">
      <c r="B592" s="301"/>
    </row>
    <row r="593">
      <c r="B593" s="301"/>
    </row>
    <row r="594">
      <c r="B594" s="301"/>
    </row>
    <row r="595">
      <c r="B595" s="301"/>
    </row>
    <row r="596">
      <c r="B596" s="301"/>
    </row>
    <row r="597">
      <c r="B597" s="301"/>
    </row>
    <row r="598">
      <c r="B598" s="301"/>
    </row>
    <row r="599">
      <c r="B599" s="301"/>
    </row>
    <row r="600">
      <c r="B600" s="301"/>
    </row>
    <row r="601">
      <c r="B601" s="301"/>
    </row>
    <row r="602">
      <c r="B602" s="301"/>
    </row>
    <row r="603">
      <c r="B603" s="301"/>
    </row>
    <row r="604">
      <c r="B604" s="301"/>
    </row>
    <row r="605">
      <c r="B605" s="301"/>
    </row>
    <row r="606">
      <c r="B606" s="301"/>
    </row>
    <row r="607">
      <c r="B607" s="301"/>
    </row>
    <row r="608">
      <c r="B608" s="301"/>
    </row>
    <row r="609">
      <c r="B609" s="301"/>
    </row>
    <row r="610">
      <c r="B610" s="301"/>
    </row>
    <row r="611">
      <c r="B611" s="301"/>
    </row>
    <row r="612">
      <c r="B612" s="301"/>
    </row>
    <row r="613">
      <c r="B613" s="301"/>
    </row>
    <row r="614">
      <c r="B614" s="301"/>
    </row>
    <row r="615">
      <c r="B615" s="301"/>
    </row>
    <row r="616">
      <c r="B616" s="301"/>
    </row>
    <row r="617">
      <c r="B617" s="301"/>
    </row>
    <row r="618">
      <c r="B618" s="301"/>
    </row>
    <row r="619">
      <c r="B619" s="301"/>
    </row>
    <row r="620">
      <c r="B620" s="301"/>
    </row>
    <row r="621">
      <c r="B621" s="301"/>
    </row>
    <row r="622">
      <c r="B622" s="301"/>
    </row>
    <row r="623">
      <c r="B623" s="301"/>
    </row>
    <row r="624">
      <c r="B624" s="301"/>
    </row>
    <row r="625">
      <c r="B625" s="301"/>
    </row>
    <row r="626">
      <c r="B626" s="301"/>
    </row>
    <row r="627">
      <c r="B627" s="301"/>
    </row>
    <row r="628">
      <c r="B628" s="301"/>
    </row>
    <row r="629">
      <c r="B629" s="301"/>
    </row>
    <row r="630">
      <c r="B630" s="301"/>
    </row>
    <row r="631">
      <c r="B631" s="301"/>
    </row>
    <row r="632">
      <c r="B632" s="301"/>
    </row>
    <row r="633">
      <c r="B633" s="301"/>
    </row>
    <row r="634">
      <c r="B634" s="301"/>
    </row>
    <row r="635">
      <c r="B635" s="301"/>
    </row>
    <row r="636">
      <c r="B636" s="301"/>
    </row>
    <row r="637">
      <c r="B637" s="301"/>
    </row>
    <row r="638">
      <c r="B638" s="301"/>
    </row>
    <row r="639">
      <c r="B639" s="301"/>
    </row>
    <row r="640">
      <c r="B640" s="301"/>
    </row>
    <row r="641">
      <c r="B641" s="301"/>
    </row>
    <row r="642">
      <c r="B642" s="301"/>
    </row>
    <row r="643">
      <c r="B643" s="301"/>
    </row>
    <row r="644">
      <c r="B644" s="301"/>
    </row>
    <row r="645">
      <c r="B645" s="301"/>
    </row>
    <row r="646">
      <c r="B646" s="301"/>
    </row>
    <row r="647">
      <c r="B647" s="301"/>
    </row>
    <row r="648">
      <c r="B648" s="301"/>
    </row>
    <row r="649">
      <c r="B649" s="301"/>
    </row>
    <row r="650">
      <c r="B650" s="301"/>
    </row>
    <row r="651">
      <c r="B651" s="301"/>
    </row>
    <row r="652">
      <c r="B652" s="301"/>
    </row>
    <row r="653">
      <c r="B653" s="301"/>
    </row>
    <row r="654">
      <c r="B654" s="301"/>
    </row>
    <row r="655">
      <c r="B655" s="301"/>
    </row>
    <row r="656">
      <c r="B656" s="301"/>
    </row>
    <row r="657">
      <c r="B657" s="301"/>
    </row>
    <row r="658">
      <c r="B658" s="301"/>
    </row>
    <row r="659">
      <c r="B659" s="301"/>
    </row>
    <row r="660">
      <c r="B660" s="301"/>
    </row>
    <row r="661">
      <c r="B661" s="301"/>
    </row>
    <row r="662">
      <c r="B662" s="301"/>
    </row>
    <row r="663">
      <c r="B663" s="301"/>
    </row>
    <row r="664">
      <c r="B664" s="301"/>
    </row>
    <row r="665">
      <c r="B665" s="301"/>
    </row>
    <row r="666">
      <c r="B666" s="301"/>
    </row>
    <row r="667">
      <c r="B667" s="301"/>
    </row>
    <row r="668">
      <c r="B668" s="301"/>
    </row>
    <row r="669">
      <c r="B669" s="301"/>
    </row>
    <row r="670">
      <c r="B670" s="301"/>
    </row>
    <row r="671">
      <c r="B671" s="301"/>
    </row>
    <row r="672">
      <c r="B672" s="301"/>
    </row>
    <row r="673">
      <c r="B673" s="301"/>
    </row>
    <row r="674">
      <c r="B674" s="301"/>
    </row>
    <row r="675">
      <c r="B675" s="301"/>
    </row>
    <row r="676">
      <c r="B676" s="301"/>
    </row>
    <row r="677">
      <c r="B677" s="301"/>
    </row>
    <row r="678">
      <c r="B678" s="301"/>
    </row>
    <row r="679">
      <c r="B679" s="301"/>
    </row>
    <row r="680">
      <c r="B680" s="301"/>
    </row>
    <row r="681">
      <c r="B681" s="301"/>
    </row>
    <row r="682">
      <c r="B682" s="301"/>
    </row>
    <row r="683">
      <c r="B683" s="301"/>
    </row>
    <row r="684">
      <c r="B684" s="301"/>
    </row>
    <row r="685">
      <c r="B685" s="301"/>
    </row>
    <row r="686">
      <c r="B686" s="301"/>
    </row>
    <row r="687">
      <c r="B687" s="301"/>
    </row>
    <row r="688">
      <c r="B688" s="301"/>
    </row>
    <row r="689">
      <c r="B689" s="301"/>
    </row>
    <row r="690">
      <c r="B690" s="301"/>
    </row>
    <row r="691">
      <c r="B691" s="301"/>
    </row>
    <row r="692">
      <c r="B692" s="301"/>
    </row>
    <row r="693">
      <c r="B693" s="301"/>
    </row>
    <row r="694">
      <c r="B694" s="301"/>
    </row>
    <row r="695">
      <c r="B695" s="301"/>
    </row>
    <row r="696">
      <c r="B696" s="301"/>
    </row>
    <row r="697">
      <c r="B697" s="301"/>
    </row>
    <row r="698">
      <c r="B698" s="301"/>
    </row>
    <row r="699">
      <c r="B699" s="301"/>
    </row>
    <row r="700">
      <c r="B700" s="301"/>
    </row>
    <row r="701">
      <c r="B701" s="301"/>
    </row>
    <row r="702">
      <c r="B702" s="301"/>
    </row>
    <row r="703">
      <c r="B703" s="301"/>
    </row>
    <row r="704">
      <c r="B704" s="301"/>
    </row>
    <row r="705">
      <c r="B705" s="301"/>
    </row>
    <row r="706">
      <c r="B706" s="301"/>
    </row>
    <row r="707">
      <c r="B707" s="301"/>
    </row>
    <row r="708">
      <c r="B708" s="301"/>
    </row>
    <row r="709">
      <c r="B709" s="301"/>
    </row>
    <row r="710">
      <c r="B710" s="301"/>
    </row>
    <row r="711">
      <c r="B711" s="301"/>
    </row>
    <row r="712">
      <c r="B712" s="301"/>
    </row>
    <row r="713">
      <c r="B713" s="301"/>
    </row>
    <row r="714">
      <c r="B714" s="301"/>
    </row>
    <row r="715">
      <c r="B715" s="301"/>
    </row>
    <row r="716">
      <c r="B716" s="301"/>
    </row>
    <row r="717">
      <c r="B717" s="301"/>
    </row>
    <row r="718">
      <c r="B718" s="301"/>
    </row>
    <row r="719">
      <c r="B719" s="301"/>
    </row>
    <row r="720">
      <c r="B720" s="301"/>
    </row>
    <row r="721">
      <c r="B721" s="301"/>
    </row>
    <row r="722">
      <c r="B722" s="301"/>
    </row>
    <row r="723">
      <c r="B723" s="301"/>
    </row>
    <row r="724">
      <c r="B724" s="301"/>
    </row>
    <row r="725">
      <c r="B725" s="301"/>
    </row>
    <row r="726">
      <c r="B726" s="301"/>
    </row>
    <row r="727">
      <c r="B727" s="301"/>
    </row>
    <row r="728">
      <c r="B728" s="301"/>
    </row>
    <row r="729">
      <c r="B729" s="301"/>
    </row>
    <row r="730">
      <c r="B730" s="301"/>
    </row>
    <row r="731">
      <c r="B731" s="301"/>
    </row>
    <row r="732">
      <c r="B732" s="301"/>
    </row>
    <row r="733">
      <c r="B733" s="301"/>
    </row>
    <row r="734">
      <c r="B734" s="301"/>
    </row>
    <row r="735">
      <c r="B735" s="301"/>
    </row>
    <row r="736">
      <c r="B736" s="301"/>
    </row>
    <row r="737">
      <c r="B737" s="301"/>
    </row>
    <row r="738">
      <c r="B738" s="301"/>
    </row>
    <row r="739">
      <c r="B739" s="301"/>
    </row>
    <row r="740">
      <c r="B740" s="301"/>
    </row>
    <row r="741">
      <c r="B741" s="301"/>
    </row>
    <row r="742">
      <c r="B742" s="301"/>
    </row>
    <row r="743">
      <c r="B743" s="301"/>
    </row>
    <row r="744">
      <c r="B744" s="301"/>
    </row>
    <row r="745">
      <c r="B745" s="301"/>
    </row>
    <row r="746">
      <c r="B746" s="301"/>
    </row>
    <row r="747">
      <c r="B747" s="301"/>
    </row>
    <row r="748">
      <c r="B748" s="301"/>
    </row>
    <row r="749">
      <c r="B749" s="301"/>
    </row>
    <row r="750">
      <c r="B750" s="301"/>
    </row>
    <row r="751">
      <c r="B751" s="301"/>
    </row>
    <row r="752">
      <c r="B752" s="301"/>
    </row>
    <row r="753">
      <c r="B753" s="301"/>
    </row>
    <row r="754">
      <c r="B754" s="301"/>
    </row>
    <row r="755">
      <c r="B755" s="301"/>
    </row>
    <row r="756">
      <c r="B756" s="301"/>
    </row>
    <row r="757">
      <c r="B757" s="301"/>
    </row>
    <row r="758">
      <c r="B758" s="301"/>
    </row>
    <row r="759">
      <c r="B759" s="301"/>
    </row>
    <row r="760">
      <c r="B760" s="301"/>
    </row>
    <row r="761">
      <c r="B761" s="301"/>
    </row>
    <row r="762">
      <c r="B762" s="301"/>
    </row>
    <row r="763">
      <c r="B763" s="301"/>
    </row>
    <row r="764">
      <c r="B764" s="301"/>
    </row>
    <row r="765">
      <c r="B765" s="301"/>
    </row>
    <row r="766">
      <c r="B766" s="301"/>
    </row>
    <row r="767">
      <c r="B767" s="301"/>
    </row>
    <row r="768">
      <c r="B768" s="301"/>
    </row>
    <row r="769">
      <c r="B769" s="301"/>
    </row>
    <row r="770">
      <c r="B770" s="301"/>
    </row>
    <row r="771">
      <c r="B771" s="301"/>
    </row>
    <row r="772">
      <c r="B772" s="301"/>
    </row>
    <row r="773">
      <c r="B773" s="301"/>
    </row>
    <row r="774">
      <c r="B774" s="301"/>
    </row>
    <row r="775">
      <c r="B775" s="301"/>
    </row>
    <row r="776">
      <c r="B776" s="301"/>
    </row>
    <row r="777">
      <c r="B777" s="301"/>
    </row>
    <row r="778">
      <c r="B778" s="301"/>
    </row>
    <row r="779">
      <c r="B779" s="301"/>
    </row>
    <row r="780">
      <c r="B780" s="301"/>
    </row>
    <row r="781">
      <c r="B781" s="301"/>
    </row>
    <row r="782">
      <c r="B782" s="301"/>
    </row>
    <row r="783">
      <c r="B783" s="301"/>
    </row>
    <row r="784">
      <c r="B784" s="301"/>
    </row>
    <row r="785">
      <c r="B785" s="301"/>
    </row>
    <row r="786">
      <c r="B786" s="301"/>
    </row>
    <row r="787">
      <c r="B787" s="301"/>
    </row>
    <row r="788">
      <c r="B788" s="301"/>
    </row>
    <row r="789">
      <c r="B789" s="301"/>
    </row>
    <row r="790">
      <c r="B790" s="301"/>
    </row>
    <row r="791">
      <c r="B791" s="301"/>
    </row>
    <row r="792">
      <c r="B792" s="301"/>
    </row>
    <row r="793">
      <c r="B793" s="301"/>
    </row>
    <row r="794">
      <c r="B794" s="301"/>
    </row>
    <row r="795">
      <c r="B795" s="301"/>
    </row>
    <row r="796">
      <c r="B796" s="301"/>
    </row>
    <row r="797">
      <c r="B797" s="301"/>
    </row>
    <row r="798">
      <c r="B798" s="301"/>
    </row>
    <row r="799">
      <c r="B799" s="301"/>
    </row>
    <row r="800">
      <c r="B800" s="301"/>
    </row>
    <row r="801">
      <c r="B801" s="301"/>
    </row>
    <row r="802">
      <c r="B802" s="301"/>
    </row>
    <row r="803">
      <c r="B803" s="301"/>
    </row>
    <row r="804">
      <c r="B804" s="301"/>
    </row>
    <row r="805">
      <c r="B805" s="301"/>
    </row>
    <row r="806">
      <c r="B806" s="301"/>
    </row>
    <row r="807">
      <c r="B807" s="301"/>
    </row>
    <row r="808">
      <c r="B808" s="301"/>
    </row>
    <row r="809">
      <c r="B809" s="301"/>
    </row>
    <row r="810">
      <c r="B810" s="301"/>
    </row>
    <row r="811">
      <c r="B811" s="301"/>
    </row>
    <row r="812">
      <c r="B812" s="301"/>
    </row>
    <row r="813">
      <c r="B813" s="301"/>
    </row>
    <row r="814">
      <c r="B814" s="301"/>
    </row>
    <row r="815">
      <c r="B815" s="301"/>
    </row>
    <row r="816">
      <c r="B816" s="301"/>
    </row>
    <row r="817">
      <c r="B817" s="301"/>
    </row>
    <row r="818">
      <c r="B818" s="301"/>
    </row>
    <row r="819">
      <c r="B819" s="301"/>
    </row>
    <row r="820">
      <c r="B820" s="301"/>
    </row>
    <row r="821">
      <c r="B821" s="301"/>
    </row>
    <row r="822">
      <c r="B822" s="301"/>
    </row>
    <row r="823">
      <c r="B823" s="301"/>
    </row>
    <row r="824">
      <c r="B824" s="301"/>
    </row>
    <row r="825">
      <c r="B825" s="301"/>
    </row>
    <row r="826">
      <c r="B826" s="301"/>
    </row>
    <row r="827">
      <c r="B827" s="301"/>
    </row>
    <row r="828">
      <c r="B828" s="301"/>
    </row>
    <row r="829">
      <c r="B829" s="301"/>
    </row>
    <row r="830">
      <c r="B830" s="301"/>
    </row>
    <row r="831">
      <c r="B831" s="301"/>
    </row>
    <row r="832">
      <c r="B832" s="301"/>
    </row>
    <row r="833">
      <c r="B833" s="301"/>
    </row>
    <row r="834">
      <c r="B834" s="301"/>
    </row>
    <row r="835">
      <c r="B835" s="301"/>
    </row>
    <row r="836">
      <c r="B836" s="301"/>
    </row>
    <row r="837">
      <c r="B837" s="301"/>
    </row>
    <row r="838">
      <c r="B838" s="301"/>
    </row>
    <row r="839">
      <c r="B839" s="301"/>
    </row>
    <row r="840">
      <c r="B840" s="301"/>
    </row>
    <row r="841">
      <c r="B841" s="301"/>
    </row>
    <row r="842">
      <c r="B842" s="301"/>
    </row>
    <row r="843">
      <c r="B843" s="301"/>
    </row>
    <row r="844">
      <c r="B844" s="301"/>
    </row>
    <row r="845">
      <c r="B845" s="301"/>
    </row>
    <row r="846">
      <c r="B846" s="301"/>
    </row>
    <row r="847">
      <c r="B847" s="301"/>
    </row>
    <row r="848">
      <c r="B848" s="301"/>
    </row>
    <row r="849">
      <c r="B849" s="301"/>
    </row>
    <row r="850">
      <c r="B850" s="301"/>
    </row>
    <row r="851">
      <c r="B851" s="301"/>
    </row>
    <row r="852">
      <c r="B852" s="301"/>
    </row>
    <row r="853">
      <c r="B853" s="301"/>
    </row>
    <row r="854">
      <c r="B854" s="301"/>
    </row>
    <row r="855">
      <c r="B855" s="301"/>
    </row>
    <row r="856">
      <c r="B856" s="301"/>
    </row>
    <row r="857">
      <c r="B857" s="301"/>
    </row>
    <row r="858">
      <c r="B858" s="301"/>
    </row>
    <row r="859">
      <c r="B859" s="301"/>
    </row>
    <row r="860">
      <c r="B860" s="301"/>
    </row>
    <row r="861">
      <c r="B861" s="301"/>
    </row>
    <row r="862">
      <c r="B862" s="301"/>
    </row>
    <row r="863">
      <c r="B863" s="301"/>
    </row>
    <row r="864">
      <c r="B864" s="301"/>
    </row>
    <row r="865">
      <c r="B865" s="301"/>
    </row>
    <row r="866">
      <c r="B866" s="301"/>
    </row>
    <row r="867">
      <c r="B867" s="301"/>
    </row>
    <row r="868">
      <c r="B868" s="301"/>
    </row>
    <row r="869">
      <c r="B869" s="301"/>
    </row>
    <row r="870">
      <c r="B870" s="301"/>
    </row>
    <row r="871">
      <c r="B871" s="301"/>
    </row>
    <row r="872">
      <c r="B872" s="301"/>
    </row>
    <row r="873">
      <c r="B873" s="301"/>
    </row>
    <row r="874">
      <c r="B874" s="301"/>
    </row>
    <row r="875">
      <c r="B875" s="301"/>
    </row>
    <row r="876">
      <c r="B876" s="301"/>
    </row>
    <row r="877">
      <c r="B877" s="301"/>
    </row>
    <row r="878">
      <c r="B878" s="301"/>
    </row>
    <row r="879">
      <c r="B879" s="301"/>
    </row>
    <row r="880">
      <c r="B880" s="301"/>
    </row>
    <row r="881">
      <c r="B881" s="301"/>
    </row>
    <row r="882">
      <c r="B882" s="301"/>
    </row>
    <row r="883">
      <c r="B883" s="301"/>
    </row>
    <row r="884">
      <c r="B884" s="301"/>
    </row>
    <row r="885">
      <c r="B885" s="301"/>
    </row>
    <row r="886">
      <c r="B886" s="301"/>
    </row>
    <row r="887">
      <c r="B887" s="301"/>
    </row>
    <row r="888">
      <c r="B888" s="301"/>
    </row>
    <row r="889">
      <c r="B889" s="301"/>
    </row>
    <row r="890">
      <c r="B890" s="301"/>
    </row>
    <row r="891">
      <c r="B891" s="301"/>
    </row>
    <row r="892">
      <c r="B892" s="301"/>
    </row>
    <row r="893">
      <c r="B893" s="301"/>
    </row>
    <row r="894">
      <c r="B894" s="301"/>
    </row>
    <row r="895">
      <c r="B895" s="301"/>
    </row>
    <row r="896">
      <c r="B896" s="301"/>
    </row>
    <row r="897">
      <c r="B897" s="301"/>
    </row>
    <row r="898">
      <c r="B898" s="301"/>
    </row>
    <row r="899">
      <c r="B899" s="301"/>
    </row>
    <row r="900">
      <c r="B900" s="301"/>
    </row>
    <row r="901">
      <c r="B901" s="301"/>
    </row>
    <row r="902">
      <c r="B902" s="301"/>
    </row>
    <row r="903">
      <c r="B903" s="301"/>
    </row>
    <row r="904">
      <c r="B904" s="301"/>
    </row>
    <row r="905">
      <c r="B905" s="301"/>
    </row>
    <row r="906">
      <c r="B906" s="301"/>
    </row>
    <row r="907">
      <c r="B907" s="301"/>
    </row>
    <row r="908">
      <c r="B908" s="301"/>
    </row>
    <row r="909">
      <c r="B909" s="301"/>
    </row>
    <row r="910">
      <c r="B910" s="301"/>
    </row>
    <row r="911">
      <c r="B911" s="301"/>
    </row>
    <row r="912">
      <c r="B912" s="301"/>
    </row>
    <row r="913">
      <c r="B913" s="301"/>
    </row>
    <row r="914">
      <c r="B914" s="301"/>
    </row>
    <row r="915">
      <c r="B915" s="301"/>
    </row>
    <row r="916">
      <c r="B916" s="301"/>
    </row>
    <row r="917">
      <c r="B917" s="301"/>
    </row>
    <row r="918">
      <c r="B918" s="301"/>
    </row>
    <row r="919">
      <c r="B919" s="301"/>
    </row>
    <row r="920">
      <c r="B920" s="301"/>
    </row>
    <row r="921">
      <c r="B921" s="301"/>
    </row>
    <row r="922">
      <c r="B922" s="301"/>
    </row>
    <row r="923">
      <c r="B923" s="301"/>
    </row>
    <row r="924">
      <c r="B924" s="301"/>
    </row>
    <row r="925">
      <c r="B925" s="301"/>
    </row>
    <row r="926">
      <c r="B926" s="301"/>
    </row>
    <row r="927">
      <c r="B927" s="301"/>
    </row>
    <row r="928">
      <c r="B928" s="301"/>
    </row>
    <row r="929">
      <c r="B929" s="301"/>
    </row>
    <row r="930">
      <c r="B930" s="301"/>
    </row>
    <row r="931">
      <c r="B931" s="301"/>
    </row>
    <row r="932">
      <c r="B932" s="301"/>
    </row>
    <row r="933">
      <c r="B933" s="301"/>
    </row>
    <row r="934">
      <c r="B934" s="301"/>
    </row>
    <row r="935">
      <c r="B935" s="301"/>
    </row>
    <row r="936">
      <c r="B936" s="301"/>
    </row>
    <row r="937">
      <c r="B937" s="301"/>
    </row>
    <row r="938">
      <c r="B938" s="301"/>
    </row>
    <row r="939">
      <c r="B939" s="301"/>
    </row>
    <row r="940">
      <c r="B940" s="301"/>
    </row>
    <row r="941">
      <c r="B941" s="301"/>
    </row>
    <row r="942">
      <c r="B942" s="301"/>
    </row>
    <row r="943">
      <c r="B943" s="301"/>
    </row>
    <row r="944">
      <c r="B944" s="301"/>
    </row>
    <row r="945">
      <c r="B945" s="301"/>
    </row>
    <row r="946">
      <c r="B946" s="301"/>
    </row>
    <row r="947">
      <c r="B947" s="301"/>
    </row>
    <row r="948">
      <c r="B948" s="301"/>
    </row>
    <row r="949">
      <c r="B949" s="301"/>
    </row>
    <row r="950">
      <c r="B950" s="301"/>
    </row>
    <row r="951">
      <c r="B951" s="301"/>
    </row>
    <row r="952">
      <c r="B952" s="301"/>
    </row>
    <row r="953">
      <c r="B953" s="301"/>
    </row>
    <row r="954">
      <c r="B954" s="301"/>
    </row>
    <row r="955">
      <c r="B955" s="301"/>
    </row>
    <row r="956">
      <c r="B956" s="301"/>
    </row>
    <row r="957">
      <c r="B957" s="301"/>
    </row>
    <row r="958">
      <c r="B958" s="301"/>
    </row>
    <row r="959">
      <c r="B959" s="301"/>
    </row>
    <row r="960">
      <c r="B960" s="301"/>
    </row>
    <row r="961">
      <c r="B961" s="301"/>
    </row>
    <row r="962">
      <c r="B962" s="301"/>
    </row>
    <row r="963">
      <c r="B963" s="301"/>
    </row>
    <row r="964">
      <c r="B964" s="301"/>
    </row>
    <row r="965">
      <c r="B965" s="301"/>
    </row>
    <row r="966">
      <c r="B966" s="301"/>
    </row>
    <row r="967">
      <c r="B967" s="301"/>
    </row>
    <row r="968">
      <c r="B968" s="301"/>
    </row>
    <row r="969">
      <c r="B969" s="301"/>
    </row>
    <row r="970">
      <c r="B970" s="301"/>
    </row>
    <row r="971">
      <c r="B971" s="301"/>
    </row>
    <row r="972">
      <c r="B972" s="301"/>
    </row>
    <row r="973">
      <c r="B973" s="301"/>
    </row>
    <row r="974">
      <c r="B974" s="301"/>
    </row>
    <row r="975">
      <c r="B975" s="301"/>
    </row>
    <row r="976">
      <c r="B976" s="301"/>
    </row>
    <row r="977">
      <c r="B977" s="301"/>
    </row>
    <row r="978">
      <c r="B978" s="301"/>
    </row>
    <row r="979">
      <c r="B979" s="301"/>
    </row>
    <row r="980">
      <c r="B980" s="301"/>
    </row>
    <row r="981">
      <c r="B981" s="301"/>
    </row>
    <row r="982">
      <c r="B982" s="301"/>
    </row>
    <row r="983">
      <c r="B983" s="301"/>
    </row>
    <row r="984">
      <c r="B984" s="301"/>
    </row>
    <row r="985">
      <c r="B985" s="301"/>
    </row>
    <row r="986">
      <c r="B986" s="301"/>
    </row>
    <row r="987">
      <c r="B987" s="301"/>
    </row>
    <row r="988">
      <c r="B988" s="301"/>
    </row>
    <row r="989">
      <c r="B989" s="301"/>
    </row>
    <row r="990">
      <c r="B990" s="301"/>
    </row>
    <row r="991">
      <c r="B991" s="301"/>
    </row>
    <row r="992">
      <c r="B992" s="301"/>
    </row>
    <row r="993">
      <c r="B993" s="301"/>
    </row>
    <row r="994">
      <c r="B994" s="301"/>
    </row>
    <row r="995">
      <c r="B995" s="301"/>
    </row>
    <row r="996">
      <c r="B996" s="301"/>
    </row>
    <row r="997">
      <c r="B997" s="301"/>
    </row>
    <row r="998">
      <c r="B998" s="301"/>
    </row>
    <row r="999">
      <c r="B999" s="301"/>
    </row>
    <row r="1000">
      <c r="B1000" s="301"/>
    </row>
  </sheetData>
  <hyperlinks>
    <hyperlink r:id="rId1" ref="S2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38"/>
    <col customWidth="1" min="7" max="7" width="11.63"/>
    <col customWidth="1" min="8" max="8" width="8.38"/>
    <col customWidth="1" min="9" max="9" width="9.5"/>
    <col customWidth="1" min="10" max="10" width="8.88"/>
    <col customWidth="1" min="11" max="11" width="6.25"/>
    <col customWidth="1" min="12" max="12" width="11.38"/>
    <col customWidth="1" min="13" max="13" width="11.0"/>
    <col customWidth="1" min="14" max="14" width="11.75"/>
    <col customWidth="1" min="15" max="15" width="10.38"/>
    <col customWidth="1" min="17" max="17" width="9.13"/>
    <col customWidth="1" min="18" max="18" width="9.5"/>
    <col customWidth="1" min="19" max="22" width="18.88"/>
  </cols>
  <sheetData>
    <row r="1">
      <c r="A1" s="302" t="s">
        <v>3336</v>
      </c>
      <c r="B1" s="302" t="s">
        <v>3337</v>
      </c>
      <c r="C1" s="303" t="s">
        <v>3338</v>
      </c>
      <c r="D1" s="304" t="s">
        <v>3339</v>
      </c>
      <c r="E1" s="303" t="s">
        <v>3340</v>
      </c>
      <c r="F1" s="303" t="s">
        <v>3341</v>
      </c>
      <c r="G1" s="303" t="s">
        <v>3342</v>
      </c>
      <c r="H1" s="303" t="s">
        <v>3343</v>
      </c>
      <c r="I1" s="303" t="s">
        <v>690</v>
      </c>
      <c r="J1" s="303" t="s">
        <v>3344</v>
      </c>
      <c r="K1" s="303" t="s">
        <v>3345</v>
      </c>
      <c r="L1" s="305" t="s">
        <v>3346</v>
      </c>
      <c r="M1" s="306" t="s">
        <v>3347</v>
      </c>
      <c r="N1" s="307" t="s">
        <v>3348</v>
      </c>
      <c r="O1" s="307" t="s">
        <v>3349</v>
      </c>
      <c r="P1" s="307" t="s">
        <v>3350</v>
      </c>
      <c r="Q1" s="308" t="s">
        <v>3351</v>
      </c>
      <c r="R1" s="308" t="s">
        <v>3352</v>
      </c>
      <c r="S1" s="309" t="s">
        <v>3353</v>
      </c>
      <c r="T1" s="309" t="s">
        <v>3354</v>
      </c>
      <c r="U1" s="309" t="s">
        <v>3355</v>
      </c>
      <c r="V1" s="309" t="s">
        <v>3356</v>
      </c>
      <c r="W1" s="310"/>
    </row>
    <row r="2">
      <c r="A2" s="149">
        <v>45497.0</v>
      </c>
      <c r="B2" s="149">
        <v>45552.0</v>
      </c>
      <c r="C2" s="17" t="s">
        <v>3357</v>
      </c>
      <c r="D2" s="311">
        <v>673.0</v>
      </c>
      <c r="E2" s="136" t="s">
        <v>1033</v>
      </c>
      <c r="F2" s="136" t="s">
        <v>1034</v>
      </c>
      <c r="G2" s="136" t="s">
        <v>1035</v>
      </c>
      <c r="H2" s="136" t="s">
        <v>621</v>
      </c>
      <c r="I2" s="136" t="s">
        <v>621</v>
      </c>
      <c r="K2" s="17">
        <v>18.0</v>
      </c>
      <c r="L2" s="17">
        <v>1.0</v>
      </c>
      <c r="M2" s="312">
        <f t="shared" ref="M2:M4" si="1">50000*K2</f>
        <v>900000</v>
      </c>
      <c r="N2" s="284">
        <v>5.0</v>
      </c>
      <c r="O2" s="313">
        <f t="shared" ref="O2:O4" si="2">if(L2=1,5,if(L2=2,5,if(L2=3,10,if(L2=4,10,))))*K2</f>
        <v>90</v>
      </c>
      <c r="P2" s="284">
        <v>15.0</v>
      </c>
      <c r="Q2" s="284">
        <v>5.0</v>
      </c>
      <c r="R2" s="313">
        <f t="shared" ref="R2:R4" si="3">sum(N2:Q2)</f>
        <v>115</v>
      </c>
      <c r="S2" s="17" t="s">
        <v>3358</v>
      </c>
      <c r="T2" s="133" t="s">
        <v>3359</v>
      </c>
      <c r="U2" s="134" t="str">
        <f>HYPERLINK("https://docs.google.com/document/d/19cArVOFlj4ZCYEI1MfFGSFJPmRQNtfQo5z4ajIy4uXE/edit?usp=drivesdk","Rekap Viskositas")</f>
        <v>Rekap Viskositas</v>
      </c>
      <c r="V2" s="17" t="s">
        <v>3360</v>
      </c>
    </row>
    <row r="3">
      <c r="A3" s="149">
        <v>45881.0</v>
      </c>
      <c r="B3" s="149">
        <v>45881.0</v>
      </c>
      <c r="C3" s="17" t="s">
        <v>1051</v>
      </c>
      <c r="D3" s="168">
        <v>501.0</v>
      </c>
      <c r="E3" s="17" t="s">
        <v>2731</v>
      </c>
      <c r="F3" s="17" t="s">
        <v>2732</v>
      </c>
      <c r="G3" s="17" t="s">
        <v>1132</v>
      </c>
      <c r="H3" s="17" t="s">
        <v>621</v>
      </c>
      <c r="I3" s="17" t="s">
        <v>621</v>
      </c>
      <c r="J3" s="17" t="s">
        <v>1051</v>
      </c>
      <c r="K3" s="17">
        <v>6.0</v>
      </c>
      <c r="L3" s="17">
        <v>3.0</v>
      </c>
      <c r="M3" s="312">
        <f t="shared" si="1"/>
        <v>300000</v>
      </c>
      <c r="N3" s="284">
        <v>5.0</v>
      </c>
      <c r="O3" s="313">
        <f t="shared" si="2"/>
        <v>60</v>
      </c>
      <c r="P3" s="284">
        <v>15.0</v>
      </c>
      <c r="Q3" s="284">
        <v>5.0</v>
      </c>
      <c r="R3" s="313">
        <f t="shared" si="3"/>
        <v>85</v>
      </c>
      <c r="S3" s="17" t="s">
        <v>3361</v>
      </c>
      <c r="T3" s="133" t="s">
        <v>3362</v>
      </c>
      <c r="U3" s="134" t="str">
        <f>HYPERLINK("https://docs.google.com/document/d/1tS6e7TpcGiVKWqMhPFGCnL_MtPN3J76taoppm-pPUDI/edit?usp=drivesdk","Rekap Viskositas")</f>
        <v>Rekap Viskositas</v>
      </c>
      <c r="V3" s="17" t="s">
        <v>3360</v>
      </c>
    </row>
    <row r="4">
      <c r="A4" s="149">
        <v>45881.0</v>
      </c>
      <c r="B4" s="149">
        <v>45882.0</v>
      </c>
      <c r="C4" s="17" t="s">
        <v>1051</v>
      </c>
      <c r="D4" s="168">
        <v>533.0</v>
      </c>
      <c r="E4" s="17" t="s">
        <v>2731</v>
      </c>
      <c r="F4" s="17" t="s">
        <v>2732</v>
      </c>
      <c r="G4" s="17" t="s">
        <v>1132</v>
      </c>
      <c r="H4" s="17" t="s">
        <v>621</v>
      </c>
      <c r="I4" s="17" t="s">
        <v>621</v>
      </c>
      <c r="J4" s="17" t="s">
        <v>3363</v>
      </c>
      <c r="K4" s="17">
        <v>5.0</v>
      </c>
      <c r="L4" s="17">
        <v>1.0</v>
      </c>
      <c r="M4" s="312">
        <f t="shared" si="1"/>
        <v>250000</v>
      </c>
      <c r="N4" s="284">
        <v>5.0</v>
      </c>
      <c r="O4" s="313">
        <f t="shared" si="2"/>
        <v>25</v>
      </c>
      <c r="P4" s="284">
        <v>15.0</v>
      </c>
      <c r="Q4" s="284">
        <v>5.0</v>
      </c>
      <c r="R4" s="313">
        <f t="shared" si="3"/>
        <v>50</v>
      </c>
      <c r="S4" s="17" t="s">
        <v>3364</v>
      </c>
      <c r="T4" s="133" t="s">
        <v>3365</v>
      </c>
      <c r="U4" s="134" t="str">
        <f>HYPERLINK("https://docs.google.com/document/d/1hHvNirr-vDT_v1oMRCw6vetZ0XSzFIqP683felfbpxE/edit?usp=drivesdk","Rekap Viskositas")</f>
        <v>Rekap Viskositas</v>
      </c>
      <c r="V4" s="17" t="s">
        <v>3360</v>
      </c>
    </row>
    <row r="5">
      <c r="A5" s="151"/>
      <c r="B5" s="151"/>
      <c r="M5" s="312"/>
      <c r="N5" s="313"/>
      <c r="O5" s="313"/>
      <c r="P5" s="313"/>
      <c r="Q5" s="313"/>
      <c r="R5" s="313"/>
    </row>
    <row r="6">
      <c r="A6" s="151"/>
      <c r="B6" s="151"/>
      <c r="M6" s="312"/>
      <c r="N6" s="313"/>
      <c r="O6" s="313"/>
      <c r="P6" s="313"/>
      <c r="Q6" s="313"/>
      <c r="R6" s="313"/>
    </row>
    <row r="7">
      <c r="A7" s="151"/>
      <c r="B7" s="151"/>
      <c r="M7" s="312"/>
      <c r="N7" s="313"/>
      <c r="O7" s="313"/>
      <c r="P7" s="313"/>
      <c r="Q7" s="313"/>
      <c r="R7" s="313"/>
    </row>
    <row r="8">
      <c r="A8" s="151"/>
      <c r="B8" s="151"/>
      <c r="M8" s="312"/>
      <c r="N8" s="313"/>
      <c r="O8" s="313"/>
      <c r="P8" s="313"/>
      <c r="Q8" s="313"/>
      <c r="R8" s="313"/>
    </row>
    <row r="9">
      <c r="A9" s="151"/>
      <c r="B9" s="151"/>
      <c r="M9" s="312"/>
      <c r="N9" s="313"/>
      <c r="O9" s="313"/>
      <c r="P9" s="313"/>
      <c r="Q9" s="313"/>
      <c r="R9" s="313"/>
    </row>
    <row r="10">
      <c r="A10" s="151"/>
      <c r="B10" s="151"/>
      <c r="M10" s="312"/>
      <c r="N10" s="313"/>
      <c r="O10" s="313"/>
      <c r="P10" s="313"/>
      <c r="Q10" s="313"/>
      <c r="R10" s="313"/>
    </row>
    <row r="11">
      <c r="A11" s="151"/>
      <c r="B11" s="151"/>
      <c r="M11" s="312"/>
      <c r="N11" s="313"/>
      <c r="O11" s="313"/>
      <c r="P11" s="313"/>
      <c r="Q11" s="313"/>
      <c r="R11" s="313"/>
    </row>
    <row r="12">
      <c r="A12" s="151"/>
      <c r="B12" s="151"/>
      <c r="M12" s="312"/>
      <c r="N12" s="313"/>
      <c r="O12" s="313"/>
      <c r="P12" s="313"/>
      <c r="Q12" s="313"/>
      <c r="R12" s="313"/>
    </row>
    <row r="13">
      <c r="A13" s="151"/>
      <c r="B13" s="151"/>
      <c r="M13" s="312"/>
      <c r="N13" s="313"/>
      <c r="O13" s="313"/>
      <c r="P13" s="313"/>
      <c r="Q13" s="313"/>
      <c r="R13" s="313"/>
    </row>
    <row r="14">
      <c r="A14" s="151"/>
      <c r="B14" s="151"/>
      <c r="M14" s="312"/>
      <c r="N14" s="313"/>
      <c r="O14" s="313"/>
      <c r="P14" s="313"/>
      <c r="Q14" s="313"/>
      <c r="R14" s="313"/>
    </row>
    <row r="15">
      <c r="A15" s="151"/>
      <c r="B15" s="151"/>
      <c r="M15" s="312"/>
      <c r="N15" s="313"/>
      <c r="O15" s="313"/>
      <c r="P15" s="313"/>
      <c r="Q15" s="313"/>
      <c r="R15" s="313"/>
    </row>
    <row r="16">
      <c r="A16" s="151"/>
      <c r="B16" s="151"/>
      <c r="M16" s="312"/>
      <c r="N16" s="313"/>
      <c r="O16" s="313"/>
      <c r="P16" s="313"/>
      <c r="Q16" s="313"/>
      <c r="R16" s="313"/>
    </row>
    <row r="17">
      <c r="A17" s="151"/>
      <c r="B17" s="151"/>
      <c r="M17" s="312"/>
      <c r="N17" s="313"/>
      <c r="O17" s="313"/>
      <c r="P17" s="313"/>
      <c r="Q17" s="313"/>
      <c r="R17" s="313"/>
    </row>
    <row r="18">
      <c r="A18" s="151"/>
      <c r="B18" s="151"/>
      <c r="M18" s="312"/>
      <c r="N18" s="313"/>
      <c r="O18" s="313"/>
      <c r="P18" s="313"/>
      <c r="Q18" s="313"/>
      <c r="R18" s="313"/>
    </row>
    <row r="19">
      <c r="A19" s="151"/>
      <c r="B19" s="151"/>
      <c r="M19" s="312"/>
      <c r="N19" s="313"/>
      <c r="O19" s="313"/>
      <c r="P19" s="313"/>
      <c r="Q19" s="313"/>
      <c r="R19" s="313"/>
    </row>
    <row r="20">
      <c r="A20" s="151"/>
      <c r="B20" s="151"/>
      <c r="M20" s="312"/>
      <c r="N20" s="313"/>
      <c r="O20" s="313"/>
      <c r="P20" s="313"/>
      <c r="Q20" s="313"/>
      <c r="R20" s="313"/>
    </row>
    <row r="21">
      <c r="A21" s="151"/>
      <c r="B21" s="151"/>
      <c r="M21" s="312"/>
      <c r="N21" s="313"/>
      <c r="O21" s="313"/>
      <c r="P21" s="313"/>
      <c r="Q21" s="313"/>
      <c r="R21" s="313"/>
    </row>
    <row r="22">
      <c r="A22" s="151"/>
      <c r="B22" s="151"/>
      <c r="M22" s="312"/>
      <c r="N22" s="313"/>
      <c r="O22" s="313"/>
      <c r="P22" s="313"/>
      <c r="Q22" s="313"/>
      <c r="R22" s="313"/>
    </row>
    <row r="23">
      <c r="A23" s="151"/>
      <c r="B23" s="151"/>
      <c r="M23" s="312"/>
      <c r="N23" s="313"/>
      <c r="O23" s="313"/>
      <c r="P23" s="313"/>
      <c r="Q23" s="313"/>
      <c r="R23" s="313"/>
    </row>
    <row r="24">
      <c r="A24" s="151"/>
      <c r="B24" s="151"/>
      <c r="M24" s="312"/>
      <c r="N24" s="313"/>
      <c r="O24" s="313"/>
      <c r="P24" s="313"/>
      <c r="Q24" s="313"/>
      <c r="R24" s="313"/>
    </row>
    <row r="25">
      <c r="A25" s="151"/>
      <c r="B25" s="151"/>
      <c r="M25" s="312"/>
      <c r="N25" s="313"/>
      <c r="O25" s="313"/>
      <c r="P25" s="313"/>
      <c r="Q25" s="313"/>
      <c r="R25" s="313"/>
    </row>
    <row r="26">
      <c r="A26" s="151"/>
      <c r="B26" s="151"/>
      <c r="M26" s="312"/>
      <c r="N26" s="313"/>
      <c r="O26" s="313"/>
      <c r="P26" s="313"/>
      <c r="Q26" s="313"/>
      <c r="R26" s="313"/>
    </row>
    <row r="27">
      <c r="A27" s="151"/>
      <c r="B27" s="151"/>
      <c r="M27" s="312"/>
      <c r="N27" s="313"/>
      <c r="O27" s="313"/>
      <c r="P27" s="313"/>
      <c r="Q27" s="313"/>
      <c r="R27" s="313"/>
    </row>
    <row r="28">
      <c r="A28" s="151"/>
      <c r="B28" s="151"/>
      <c r="M28" s="312"/>
      <c r="N28" s="313"/>
      <c r="O28" s="313"/>
      <c r="P28" s="313"/>
      <c r="Q28" s="313"/>
      <c r="R28" s="313"/>
    </row>
    <row r="29">
      <c r="A29" s="151"/>
      <c r="B29" s="151"/>
      <c r="M29" s="312"/>
      <c r="N29" s="313"/>
      <c r="O29" s="313"/>
      <c r="P29" s="313"/>
      <c r="Q29" s="313"/>
      <c r="R29" s="313"/>
    </row>
    <row r="30">
      <c r="A30" s="151"/>
      <c r="B30" s="151"/>
      <c r="M30" s="312"/>
      <c r="N30" s="313"/>
      <c r="O30" s="313"/>
      <c r="P30" s="313"/>
      <c r="Q30" s="313"/>
      <c r="R30" s="313"/>
    </row>
    <row r="31">
      <c r="A31" s="151"/>
      <c r="B31" s="151"/>
      <c r="M31" s="312"/>
      <c r="N31" s="313"/>
      <c r="O31" s="313"/>
      <c r="P31" s="313"/>
      <c r="Q31" s="313"/>
      <c r="R31" s="313"/>
    </row>
    <row r="32">
      <c r="A32" s="151"/>
      <c r="B32" s="151"/>
      <c r="M32" s="312"/>
      <c r="N32" s="313"/>
      <c r="O32" s="313"/>
      <c r="P32" s="313"/>
      <c r="Q32" s="313"/>
      <c r="R32" s="313"/>
    </row>
    <row r="33">
      <c r="A33" s="151"/>
      <c r="B33" s="151"/>
      <c r="M33" s="312"/>
      <c r="N33" s="313"/>
      <c r="O33" s="313"/>
      <c r="P33" s="313"/>
      <c r="Q33" s="313"/>
      <c r="R33" s="313"/>
    </row>
    <row r="34">
      <c r="A34" s="151"/>
      <c r="B34" s="151"/>
      <c r="M34" s="312"/>
      <c r="N34" s="313"/>
      <c r="O34" s="313"/>
      <c r="P34" s="313"/>
      <c r="Q34" s="313"/>
      <c r="R34" s="313"/>
    </row>
    <row r="35">
      <c r="A35" s="151"/>
      <c r="B35" s="151"/>
      <c r="M35" s="312"/>
      <c r="N35" s="313"/>
      <c r="O35" s="313"/>
      <c r="P35" s="313"/>
      <c r="Q35" s="313"/>
      <c r="R35" s="313"/>
    </row>
    <row r="36">
      <c r="A36" s="151"/>
      <c r="B36" s="151"/>
      <c r="M36" s="312"/>
      <c r="N36" s="313"/>
      <c r="O36" s="313"/>
      <c r="P36" s="313"/>
      <c r="Q36" s="313"/>
      <c r="R36" s="313"/>
    </row>
    <row r="37">
      <c r="A37" s="151"/>
      <c r="B37" s="151"/>
      <c r="M37" s="312"/>
      <c r="N37" s="313"/>
      <c r="O37" s="313"/>
      <c r="P37" s="313"/>
      <c r="Q37" s="313"/>
      <c r="R37" s="313"/>
    </row>
    <row r="38">
      <c r="A38" s="151"/>
      <c r="B38" s="151"/>
      <c r="M38" s="312"/>
      <c r="N38" s="313"/>
      <c r="O38" s="313"/>
      <c r="P38" s="313"/>
      <c r="Q38" s="313"/>
      <c r="R38" s="313"/>
    </row>
    <row r="39">
      <c r="A39" s="151"/>
      <c r="B39" s="151"/>
      <c r="M39" s="312"/>
      <c r="N39" s="313"/>
      <c r="O39" s="313"/>
      <c r="P39" s="313"/>
      <c r="Q39" s="313"/>
      <c r="R39" s="313"/>
    </row>
    <row r="40">
      <c r="A40" s="151"/>
      <c r="B40" s="151"/>
      <c r="M40" s="312"/>
      <c r="N40" s="313"/>
      <c r="O40" s="313"/>
      <c r="P40" s="313"/>
      <c r="Q40" s="313"/>
      <c r="R40" s="313"/>
    </row>
    <row r="41">
      <c r="A41" s="151"/>
      <c r="B41" s="151"/>
      <c r="M41" s="312"/>
      <c r="N41" s="313"/>
      <c r="O41" s="313"/>
      <c r="P41" s="313"/>
      <c r="Q41" s="313"/>
      <c r="R41" s="313"/>
    </row>
    <row r="42">
      <c r="A42" s="151"/>
      <c r="B42" s="151"/>
      <c r="M42" s="312"/>
      <c r="N42" s="313"/>
      <c r="O42" s="313"/>
      <c r="P42" s="313"/>
      <c r="Q42" s="313"/>
      <c r="R42" s="313"/>
    </row>
    <row r="43">
      <c r="A43" s="151"/>
      <c r="B43" s="151"/>
      <c r="M43" s="312"/>
      <c r="N43" s="313"/>
      <c r="O43" s="313"/>
      <c r="P43" s="313"/>
      <c r="Q43" s="313"/>
      <c r="R43" s="313"/>
    </row>
    <row r="44">
      <c r="A44" s="151"/>
      <c r="B44" s="151"/>
      <c r="M44" s="312"/>
      <c r="N44" s="313"/>
      <c r="O44" s="313"/>
      <c r="P44" s="313"/>
      <c r="Q44" s="313"/>
      <c r="R44" s="313"/>
    </row>
    <row r="45">
      <c r="A45" s="151"/>
      <c r="B45" s="151"/>
      <c r="M45" s="312"/>
      <c r="N45" s="313"/>
      <c r="O45" s="313"/>
      <c r="P45" s="313"/>
      <c r="Q45" s="313"/>
      <c r="R45" s="313"/>
    </row>
    <row r="46">
      <c r="A46" s="151"/>
      <c r="B46" s="151"/>
      <c r="M46" s="312"/>
      <c r="N46" s="313"/>
      <c r="O46" s="313"/>
      <c r="P46" s="313"/>
      <c r="Q46" s="313"/>
      <c r="R46" s="313"/>
    </row>
    <row r="47">
      <c r="A47" s="151"/>
      <c r="B47" s="151"/>
      <c r="M47" s="312"/>
      <c r="N47" s="313"/>
      <c r="O47" s="313"/>
      <c r="P47" s="313"/>
      <c r="Q47" s="313"/>
      <c r="R47" s="313"/>
    </row>
    <row r="48">
      <c r="A48" s="151"/>
      <c r="B48" s="151"/>
      <c r="M48" s="312"/>
      <c r="N48" s="313"/>
      <c r="O48" s="313"/>
      <c r="P48" s="313"/>
      <c r="Q48" s="313"/>
      <c r="R48" s="313"/>
    </row>
    <row r="49">
      <c r="A49" s="151"/>
      <c r="B49" s="151"/>
      <c r="M49" s="312"/>
      <c r="N49" s="313"/>
      <c r="O49" s="313"/>
      <c r="P49" s="313"/>
      <c r="Q49" s="313"/>
      <c r="R49" s="313"/>
    </row>
    <row r="50">
      <c r="A50" s="151"/>
      <c r="B50" s="151"/>
      <c r="M50" s="312"/>
      <c r="N50" s="313"/>
      <c r="O50" s="313"/>
      <c r="P50" s="313"/>
      <c r="Q50" s="313"/>
      <c r="R50" s="313"/>
    </row>
    <row r="51">
      <c r="A51" s="151"/>
      <c r="B51" s="151"/>
      <c r="M51" s="312"/>
      <c r="N51" s="313"/>
      <c r="O51" s="313"/>
      <c r="P51" s="313"/>
      <c r="Q51" s="313"/>
      <c r="R51" s="313"/>
    </row>
    <row r="52">
      <c r="A52" s="151"/>
      <c r="B52" s="151"/>
      <c r="M52" s="312"/>
      <c r="N52" s="313"/>
      <c r="O52" s="313"/>
      <c r="P52" s="313"/>
      <c r="Q52" s="313"/>
      <c r="R52" s="313"/>
    </row>
    <row r="53">
      <c r="A53" s="151"/>
      <c r="B53" s="151"/>
      <c r="M53" s="312"/>
      <c r="N53" s="313"/>
      <c r="O53" s="313"/>
      <c r="P53" s="313"/>
      <c r="Q53" s="313"/>
      <c r="R53" s="313"/>
    </row>
    <row r="54">
      <c r="A54" s="151"/>
      <c r="B54" s="151"/>
      <c r="M54" s="312"/>
      <c r="N54" s="313"/>
      <c r="O54" s="313"/>
      <c r="P54" s="313"/>
      <c r="Q54" s="313"/>
      <c r="R54" s="313"/>
    </row>
    <row r="55">
      <c r="A55" s="151"/>
      <c r="B55" s="151"/>
      <c r="M55" s="312"/>
      <c r="N55" s="313"/>
      <c r="O55" s="313"/>
      <c r="P55" s="313"/>
      <c r="Q55" s="313"/>
      <c r="R55" s="313"/>
    </row>
    <row r="56">
      <c r="A56" s="151"/>
      <c r="B56" s="151"/>
      <c r="M56" s="312"/>
      <c r="N56" s="313"/>
      <c r="O56" s="313"/>
      <c r="P56" s="313"/>
      <c r="Q56" s="313"/>
      <c r="R56" s="313"/>
    </row>
    <row r="57">
      <c r="A57" s="151"/>
      <c r="B57" s="151"/>
      <c r="M57" s="312"/>
      <c r="N57" s="313"/>
      <c r="O57" s="313"/>
      <c r="P57" s="313"/>
      <c r="Q57" s="313"/>
      <c r="R57" s="313"/>
    </row>
    <row r="58">
      <c r="A58" s="151"/>
      <c r="B58" s="151"/>
      <c r="M58" s="312"/>
      <c r="N58" s="313"/>
      <c r="O58" s="313"/>
      <c r="P58" s="313"/>
      <c r="Q58" s="313"/>
      <c r="R58" s="313"/>
    </row>
    <row r="59">
      <c r="A59" s="151"/>
      <c r="B59" s="151"/>
      <c r="M59" s="312"/>
      <c r="N59" s="313"/>
      <c r="O59" s="313"/>
      <c r="P59" s="313"/>
      <c r="Q59" s="313"/>
      <c r="R59" s="313"/>
    </row>
    <row r="60">
      <c r="A60" s="151"/>
      <c r="B60" s="151"/>
      <c r="M60" s="312"/>
      <c r="N60" s="313"/>
      <c r="O60" s="313"/>
      <c r="P60" s="313"/>
      <c r="Q60" s="313"/>
      <c r="R60" s="313"/>
    </row>
    <row r="61">
      <c r="A61" s="151"/>
      <c r="B61" s="151"/>
      <c r="M61" s="312"/>
      <c r="N61" s="313"/>
      <c r="O61" s="313"/>
      <c r="P61" s="313"/>
      <c r="Q61" s="313"/>
      <c r="R61" s="313"/>
    </row>
    <row r="62">
      <c r="A62" s="151"/>
      <c r="B62" s="151"/>
      <c r="M62" s="312"/>
      <c r="N62" s="313"/>
      <c r="O62" s="313"/>
      <c r="P62" s="313"/>
      <c r="Q62" s="313"/>
      <c r="R62" s="313"/>
    </row>
    <row r="63">
      <c r="A63" s="151"/>
      <c r="B63" s="151"/>
      <c r="M63" s="312"/>
      <c r="N63" s="313"/>
      <c r="O63" s="313"/>
      <c r="P63" s="313"/>
      <c r="Q63" s="313"/>
      <c r="R63" s="313"/>
    </row>
    <row r="64">
      <c r="A64" s="151"/>
      <c r="B64" s="151"/>
      <c r="M64" s="312"/>
      <c r="N64" s="313"/>
      <c r="O64" s="313"/>
      <c r="P64" s="313"/>
      <c r="Q64" s="313"/>
      <c r="R64" s="313"/>
    </row>
    <row r="65">
      <c r="A65" s="151"/>
      <c r="B65" s="151"/>
      <c r="M65" s="312"/>
      <c r="N65" s="313"/>
      <c r="O65" s="313"/>
      <c r="P65" s="313"/>
      <c r="Q65" s="313"/>
      <c r="R65" s="313"/>
    </row>
    <row r="66">
      <c r="A66" s="151"/>
      <c r="B66" s="151"/>
      <c r="M66" s="312"/>
      <c r="N66" s="313"/>
      <c r="O66" s="313"/>
      <c r="P66" s="313"/>
      <c r="Q66" s="313"/>
      <c r="R66" s="313"/>
    </row>
    <row r="67">
      <c r="A67" s="151"/>
      <c r="B67" s="151"/>
      <c r="M67" s="312"/>
      <c r="N67" s="313"/>
      <c r="O67" s="313"/>
      <c r="P67" s="313"/>
      <c r="Q67" s="313"/>
      <c r="R67" s="313"/>
    </row>
    <row r="68">
      <c r="A68" s="151"/>
      <c r="B68" s="151"/>
      <c r="M68" s="312"/>
      <c r="N68" s="313"/>
      <c r="O68" s="313"/>
      <c r="P68" s="313"/>
      <c r="Q68" s="313"/>
      <c r="R68" s="313"/>
    </row>
    <row r="69">
      <c r="A69" s="151"/>
      <c r="B69" s="151"/>
      <c r="M69" s="312"/>
      <c r="N69" s="313"/>
      <c r="O69" s="313"/>
      <c r="P69" s="313"/>
      <c r="Q69" s="313"/>
      <c r="R69" s="313"/>
    </row>
    <row r="70">
      <c r="A70" s="151"/>
      <c r="B70" s="151"/>
      <c r="M70" s="312"/>
      <c r="N70" s="313"/>
      <c r="O70" s="313"/>
      <c r="P70" s="313"/>
      <c r="Q70" s="313"/>
      <c r="R70" s="313"/>
    </row>
    <row r="71">
      <c r="A71" s="151"/>
      <c r="B71" s="151"/>
      <c r="M71" s="312"/>
      <c r="N71" s="313"/>
      <c r="O71" s="313"/>
      <c r="P71" s="313"/>
      <c r="Q71" s="313"/>
      <c r="R71" s="313"/>
    </row>
    <row r="72">
      <c r="A72" s="151"/>
      <c r="B72" s="151"/>
      <c r="M72" s="312"/>
      <c r="N72" s="313"/>
      <c r="O72" s="313"/>
      <c r="P72" s="313"/>
      <c r="Q72" s="313"/>
      <c r="R72" s="313"/>
    </row>
    <row r="73">
      <c r="A73" s="151"/>
      <c r="B73" s="151"/>
      <c r="M73" s="312"/>
      <c r="N73" s="313"/>
      <c r="O73" s="313"/>
      <c r="P73" s="313"/>
      <c r="Q73" s="313"/>
      <c r="R73" s="313"/>
    </row>
    <row r="74">
      <c r="A74" s="151"/>
      <c r="B74" s="151"/>
      <c r="M74" s="312"/>
      <c r="N74" s="313"/>
      <c r="O74" s="313"/>
      <c r="P74" s="313"/>
      <c r="Q74" s="313"/>
      <c r="R74" s="313"/>
    </row>
    <row r="75">
      <c r="A75" s="151"/>
      <c r="B75" s="151"/>
      <c r="M75" s="312"/>
      <c r="N75" s="313"/>
      <c r="O75" s="313"/>
      <c r="P75" s="313"/>
      <c r="Q75" s="313"/>
      <c r="R75" s="313"/>
    </row>
    <row r="76">
      <c r="A76" s="151"/>
      <c r="B76" s="151"/>
      <c r="M76" s="312"/>
      <c r="N76" s="313"/>
      <c r="O76" s="313"/>
      <c r="P76" s="313"/>
      <c r="Q76" s="313"/>
      <c r="R76" s="313"/>
    </row>
    <row r="77">
      <c r="A77" s="151"/>
      <c r="B77" s="151"/>
      <c r="M77" s="312"/>
      <c r="N77" s="313"/>
      <c r="O77" s="313"/>
      <c r="P77" s="313"/>
      <c r="Q77" s="313"/>
      <c r="R77" s="313"/>
    </row>
    <row r="78">
      <c r="A78" s="151"/>
      <c r="B78" s="151"/>
      <c r="M78" s="312"/>
      <c r="N78" s="313"/>
      <c r="O78" s="313"/>
      <c r="P78" s="313"/>
      <c r="Q78" s="313"/>
      <c r="R78" s="313"/>
    </row>
    <row r="79">
      <c r="A79" s="151"/>
      <c r="B79" s="151"/>
      <c r="M79" s="312"/>
      <c r="N79" s="313"/>
      <c r="O79" s="313"/>
      <c r="P79" s="313"/>
      <c r="Q79" s="313"/>
      <c r="R79" s="313"/>
    </row>
    <row r="80">
      <c r="A80" s="151"/>
      <c r="B80" s="151"/>
      <c r="M80" s="312"/>
      <c r="N80" s="313"/>
      <c r="O80" s="313"/>
      <c r="P80" s="313"/>
      <c r="Q80" s="313"/>
      <c r="R80" s="313"/>
    </row>
    <row r="81">
      <c r="A81" s="151"/>
      <c r="B81" s="151"/>
      <c r="M81" s="312"/>
      <c r="N81" s="313"/>
      <c r="O81" s="313"/>
      <c r="P81" s="313"/>
      <c r="Q81" s="313"/>
      <c r="R81" s="313"/>
    </row>
    <row r="82">
      <c r="A82" s="151"/>
      <c r="B82" s="151"/>
      <c r="M82" s="312"/>
      <c r="N82" s="313"/>
      <c r="O82" s="313"/>
      <c r="P82" s="313"/>
      <c r="Q82" s="313"/>
      <c r="R82" s="313"/>
    </row>
    <row r="83">
      <c r="A83" s="151"/>
      <c r="B83" s="151"/>
      <c r="M83" s="312"/>
      <c r="N83" s="313"/>
      <c r="O83" s="313"/>
      <c r="P83" s="313"/>
      <c r="Q83" s="313"/>
      <c r="R83" s="313"/>
    </row>
    <row r="84">
      <c r="A84" s="151"/>
      <c r="B84" s="151"/>
      <c r="M84" s="312"/>
      <c r="N84" s="313"/>
      <c r="O84" s="313"/>
      <c r="P84" s="313"/>
      <c r="Q84" s="313"/>
      <c r="R84" s="313"/>
    </row>
    <row r="85">
      <c r="A85" s="151"/>
      <c r="B85" s="151"/>
      <c r="M85" s="312"/>
      <c r="N85" s="313"/>
      <c r="O85" s="313"/>
      <c r="P85" s="313"/>
      <c r="Q85" s="313"/>
      <c r="R85" s="313"/>
    </row>
    <row r="86">
      <c r="A86" s="151"/>
      <c r="B86" s="151"/>
      <c r="M86" s="312"/>
      <c r="N86" s="313"/>
      <c r="O86" s="313"/>
      <c r="P86" s="313"/>
      <c r="Q86" s="313"/>
      <c r="R86" s="313"/>
    </row>
    <row r="87">
      <c r="A87" s="151"/>
      <c r="B87" s="151"/>
      <c r="M87" s="312"/>
      <c r="N87" s="313"/>
      <c r="O87" s="313"/>
      <c r="P87" s="313"/>
      <c r="Q87" s="313"/>
      <c r="R87" s="313"/>
    </row>
    <row r="88">
      <c r="A88" s="151"/>
      <c r="B88" s="151"/>
      <c r="M88" s="312"/>
      <c r="N88" s="313"/>
      <c r="O88" s="313"/>
      <c r="P88" s="313"/>
      <c r="Q88" s="313"/>
      <c r="R88" s="313"/>
    </row>
    <row r="89">
      <c r="A89" s="151"/>
      <c r="B89" s="151"/>
      <c r="M89" s="312"/>
      <c r="N89" s="313"/>
      <c r="O89" s="313"/>
      <c r="P89" s="313"/>
      <c r="Q89" s="313"/>
      <c r="R89" s="313"/>
    </row>
    <row r="90">
      <c r="A90" s="151"/>
      <c r="B90" s="151"/>
      <c r="M90" s="312"/>
      <c r="N90" s="313"/>
      <c r="O90" s="313"/>
      <c r="P90" s="313"/>
      <c r="Q90" s="313"/>
      <c r="R90" s="313"/>
    </row>
    <row r="91">
      <c r="A91" s="151"/>
      <c r="B91" s="151"/>
      <c r="M91" s="312"/>
      <c r="N91" s="313"/>
      <c r="O91" s="313"/>
      <c r="P91" s="313"/>
      <c r="Q91" s="313"/>
      <c r="R91" s="313"/>
    </row>
    <row r="92">
      <c r="A92" s="151"/>
      <c r="B92" s="151"/>
      <c r="M92" s="312"/>
      <c r="N92" s="313"/>
      <c r="O92" s="313"/>
      <c r="P92" s="313"/>
      <c r="Q92" s="313"/>
      <c r="R92" s="313"/>
    </row>
    <row r="93">
      <c r="A93" s="151"/>
      <c r="B93" s="151"/>
      <c r="M93" s="312"/>
      <c r="N93" s="313"/>
      <c r="O93" s="313"/>
      <c r="P93" s="313"/>
      <c r="Q93" s="313"/>
      <c r="R93" s="313"/>
    </row>
    <row r="94">
      <c r="A94" s="151"/>
      <c r="B94" s="151"/>
      <c r="M94" s="312"/>
      <c r="N94" s="313"/>
      <c r="O94" s="313"/>
      <c r="P94" s="313"/>
      <c r="Q94" s="313"/>
      <c r="R94" s="313"/>
    </row>
    <row r="95">
      <c r="A95" s="151"/>
      <c r="B95" s="151"/>
      <c r="M95" s="312"/>
      <c r="N95" s="313"/>
      <c r="O95" s="313"/>
      <c r="P95" s="313"/>
      <c r="Q95" s="313"/>
      <c r="R95" s="313"/>
    </row>
    <row r="96">
      <c r="A96" s="151"/>
      <c r="B96" s="151"/>
      <c r="M96" s="312"/>
      <c r="N96" s="313"/>
      <c r="O96" s="313"/>
      <c r="P96" s="313"/>
      <c r="Q96" s="313"/>
      <c r="R96" s="313"/>
    </row>
    <row r="97">
      <c r="A97" s="151"/>
      <c r="B97" s="151"/>
      <c r="M97" s="312"/>
      <c r="N97" s="313"/>
      <c r="O97" s="313"/>
      <c r="P97" s="313"/>
      <c r="Q97" s="313"/>
      <c r="R97" s="313"/>
    </row>
    <row r="98">
      <c r="A98" s="151"/>
      <c r="B98" s="151"/>
      <c r="M98" s="312"/>
      <c r="N98" s="313"/>
      <c r="O98" s="313"/>
      <c r="P98" s="313"/>
      <c r="Q98" s="313"/>
      <c r="R98" s="313"/>
    </row>
    <row r="99">
      <c r="A99" s="151"/>
      <c r="B99" s="151"/>
      <c r="M99" s="312"/>
      <c r="N99" s="313"/>
      <c r="O99" s="313"/>
      <c r="P99" s="313"/>
      <c r="Q99" s="313"/>
      <c r="R99" s="313"/>
    </row>
    <row r="100">
      <c r="A100" s="151"/>
      <c r="B100" s="151"/>
      <c r="M100" s="312"/>
      <c r="N100" s="313"/>
      <c r="O100" s="313"/>
      <c r="P100" s="313"/>
      <c r="Q100" s="313"/>
      <c r="R100" s="313"/>
    </row>
    <row r="101">
      <c r="A101" s="151"/>
      <c r="B101" s="151"/>
      <c r="M101" s="312"/>
      <c r="N101" s="313"/>
      <c r="O101" s="313"/>
      <c r="P101" s="313"/>
      <c r="Q101" s="313"/>
      <c r="R101" s="313"/>
    </row>
    <row r="102">
      <c r="A102" s="151"/>
      <c r="B102" s="151"/>
      <c r="M102" s="312"/>
      <c r="N102" s="313"/>
      <c r="O102" s="313"/>
      <c r="P102" s="313"/>
      <c r="Q102" s="313"/>
      <c r="R102" s="313"/>
    </row>
    <row r="103">
      <c r="A103" s="151"/>
      <c r="B103" s="151"/>
      <c r="M103" s="312"/>
      <c r="N103" s="313"/>
      <c r="O103" s="313"/>
      <c r="P103" s="313"/>
      <c r="Q103" s="313"/>
      <c r="R103" s="313"/>
    </row>
    <row r="104">
      <c r="A104" s="151"/>
      <c r="B104" s="151"/>
      <c r="M104" s="312"/>
      <c r="N104" s="313"/>
      <c r="O104" s="313"/>
      <c r="P104" s="313"/>
      <c r="Q104" s="313"/>
      <c r="R104" s="313"/>
    </row>
    <row r="105">
      <c r="A105" s="151"/>
      <c r="B105" s="151"/>
      <c r="M105" s="312"/>
      <c r="N105" s="313"/>
      <c r="O105" s="313"/>
      <c r="P105" s="313"/>
      <c r="Q105" s="313"/>
      <c r="R105" s="313"/>
    </row>
    <row r="106">
      <c r="A106" s="151"/>
      <c r="B106" s="151"/>
      <c r="M106" s="312"/>
      <c r="N106" s="313"/>
      <c r="O106" s="313"/>
      <c r="P106" s="313"/>
      <c r="Q106" s="313"/>
      <c r="R106" s="313"/>
    </row>
    <row r="107">
      <c r="A107" s="151"/>
      <c r="B107" s="151"/>
      <c r="M107" s="312"/>
      <c r="N107" s="313"/>
      <c r="O107" s="313"/>
      <c r="P107" s="313"/>
      <c r="Q107" s="313"/>
      <c r="R107" s="313"/>
    </row>
    <row r="108">
      <c r="A108" s="151"/>
      <c r="B108" s="151"/>
      <c r="M108" s="312"/>
      <c r="N108" s="313"/>
      <c r="O108" s="313"/>
      <c r="P108" s="313"/>
      <c r="Q108" s="313"/>
      <c r="R108" s="313"/>
    </row>
    <row r="109">
      <c r="A109" s="151"/>
      <c r="B109" s="151"/>
      <c r="M109" s="312"/>
      <c r="N109" s="313"/>
      <c r="O109" s="313"/>
      <c r="P109" s="313"/>
      <c r="Q109" s="313"/>
      <c r="R109" s="313"/>
    </row>
    <row r="110">
      <c r="A110" s="151"/>
      <c r="B110" s="151"/>
      <c r="M110" s="312"/>
      <c r="N110" s="313"/>
      <c r="O110" s="313"/>
      <c r="P110" s="313"/>
      <c r="Q110" s="313"/>
      <c r="R110" s="313"/>
    </row>
    <row r="111">
      <c r="A111" s="151"/>
      <c r="B111" s="151"/>
      <c r="M111" s="312"/>
      <c r="N111" s="313"/>
      <c r="O111" s="313"/>
      <c r="P111" s="313"/>
      <c r="Q111" s="313"/>
      <c r="R111" s="313"/>
    </row>
    <row r="112">
      <c r="A112" s="151"/>
      <c r="B112" s="151"/>
      <c r="M112" s="312"/>
      <c r="N112" s="313"/>
      <c r="O112" s="313"/>
      <c r="P112" s="313"/>
      <c r="Q112" s="313"/>
      <c r="R112" s="313"/>
    </row>
    <row r="113">
      <c r="A113" s="151"/>
      <c r="B113" s="151"/>
      <c r="M113" s="312"/>
      <c r="N113" s="313"/>
      <c r="O113" s="313"/>
      <c r="P113" s="313"/>
      <c r="Q113" s="313"/>
      <c r="R113" s="313"/>
    </row>
    <row r="114">
      <c r="A114" s="151"/>
      <c r="B114" s="151"/>
      <c r="M114" s="312"/>
      <c r="N114" s="313"/>
      <c r="O114" s="313"/>
      <c r="P114" s="313"/>
      <c r="Q114" s="313"/>
      <c r="R114" s="313"/>
    </row>
    <row r="115">
      <c r="A115" s="151"/>
      <c r="B115" s="151"/>
      <c r="M115" s="312"/>
      <c r="N115" s="313"/>
      <c r="O115" s="313"/>
      <c r="P115" s="313"/>
      <c r="Q115" s="313"/>
      <c r="R115" s="313"/>
    </row>
    <row r="116">
      <c r="A116" s="151"/>
      <c r="B116" s="151"/>
      <c r="M116" s="312"/>
      <c r="N116" s="313"/>
      <c r="O116" s="313"/>
      <c r="P116" s="313"/>
      <c r="Q116" s="313"/>
      <c r="R116" s="313"/>
    </row>
    <row r="117">
      <c r="A117" s="151"/>
      <c r="B117" s="151"/>
      <c r="M117" s="312"/>
      <c r="N117" s="313"/>
      <c r="O117" s="313"/>
      <c r="P117" s="313"/>
      <c r="Q117" s="313"/>
      <c r="R117" s="313"/>
    </row>
    <row r="118">
      <c r="A118" s="151"/>
      <c r="B118" s="151"/>
      <c r="M118" s="312"/>
      <c r="N118" s="313"/>
      <c r="O118" s="313"/>
      <c r="P118" s="313"/>
      <c r="Q118" s="313"/>
      <c r="R118" s="313"/>
    </row>
    <row r="119">
      <c r="A119" s="151"/>
      <c r="B119" s="151"/>
      <c r="M119" s="312"/>
      <c r="N119" s="313"/>
      <c r="O119" s="313"/>
      <c r="P119" s="313"/>
      <c r="Q119" s="313"/>
      <c r="R119" s="313"/>
    </row>
    <row r="120">
      <c r="A120" s="151"/>
      <c r="B120" s="151"/>
      <c r="M120" s="312"/>
      <c r="N120" s="313"/>
      <c r="O120" s="313"/>
      <c r="P120" s="313"/>
      <c r="Q120" s="313"/>
      <c r="R120" s="313"/>
    </row>
    <row r="121">
      <c r="A121" s="151"/>
      <c r="B121" s="151"/>
      <c r="M121" s="312"/>
      <c r="N121" s="313"/>
      <c r="O121" s="313"/>
      <c r="P121" s="313"/>
      <c r="Q121" s="313"/>
      <c r="R121" s="313"/>
    </row>
    <row r="122">
      <c r="A122" s="151"/>
      <c r="B122" s="151"/>
      <c r="M122" s="312"/>
      <c r="N122" s="313"/>
      <c r="O122" s="313"/>
      <c r="P122" s="313"/>
      <c r="Q122" s="313"/>
      <c r="R122" s="313"/>
    </row>
    <row r="123">
      <c r="A123" s="151"/>
      <c r="B123" s="151"/>
      <c r="M123" s="312"/>
      <c r="N123" s="313"/>
      <c r="O123" s="313"/>
      <c r="P123" s="313"/>
      <c r="Q123" s="313"/>
      <c r="R123" s="313"/>
    </row>
    <row r="124">
      <c r="A124" s="151"/>
      <c r="B124" s="151"/>
      <c r="M124" s="312"/>
      <c r="N124" s="313"/>
      <c r="O124" s="313"/>
      <c r="P124" s="313"/>
      <c r="Q124" s="313"/>
      <c r="R124" s="313"/>
    </row>
    <row r="125">
      <c r="A125" s="151"/>
      <c r="B125" s="151"/>
      <c r="M125" s="312"/>
      <c r="N125" s="313"/>
      <c r="O125" s="313"/>
      <c r="P125" s="313"/>
      <c r="Q125" s="313"/>
      <c r="R125" s="313"/>
    </row>
    <row r="126">
      <c r="A126" s="151"/>
      <c r="B126" s="151"/>
      <c r="M126" s="312"/>
      <c r="N126" s="313"/>
      <c r="O126" s="313"/>
      <c r="P126" s="313"/>
      <c r="Q126" s="313"/>
      <c r="R126" s="313"/>
    </row>
    <row r="127">
      <c r="A127" s="151"/>
      <c r="B127" s="151"/>
      <c r="M127" s="312"/>
      <c r="N127" s="313"/>
      <c r="O127" s="313"/>
      <c r="P127" s="313"/>
      <c r="Q127" s="313"/>
      <c r="R127" s="313"/>
    </row>
    <row r="128">
      <c r="A128" s="151"/>
      <c r="B128" s="151"/>
      <c r="M128" s="312"/>
      <c r="N128" s="313"/>
      <c r="O128" s="313"/>
      <c r="P128" s="313"/>
      <c r="Q128" s="313"/>
      <c r="R128" s="313"/>
    </row>
    <row r="129">
      <c r="A129" s="151"/>
      <c r="B129" s="151"/>
      <c r="M129" s="312"/>
      <c r="N129" s="313"/>
      <c r="O129" s="313"/>
      <c r="P129" s="313"/>
      <c r="Q129" s="313"/>
      <c r="R129" s="313"/>
    </row>
    <row r="130">
      <c r="A130" s="151"/>
      <c r="B130" s="151"/>
      <c r="M130" s="312"/>
      <c r="N130" s="313"/>
      <c r="O130" s="313"/>
      <c r="P130" s="313"/>
      <c r="Q130" s="313"/>
      <c r="R130" s="313"/>
    </row>
    <row r="131">
      <c r="A131" s="151"/>
      <c r="B131" s="151"/>
      <c r="M131" s="312"/>
      <c r="N131" s="313"/>
      <c r="O131" s="313"/>
      <c r="P131" s="313"/>
      <c r="Q131" s="313"/>
      <c r="R131" s="313"/>
    </row>
    <row r="132">
      <c r="A132" s="151"/>
      <c r="B132" s="151"/>
      <c r="M132" s="312"/>
      <c r="N132" s="313"/>
      <c r="O132" s="313"/>
      <c r="P132" s="313"/>
      <c r="Q132" s="313"/>
      <c r="R132" s="313"/>
    </row>
    <row r="133">
      <c r="A133" s="151"/>
      <c r="B133" s="151"/>
      <c r="M133" s="312"/>
      <c r="N133" s="313"/>
      <c r="O133" s="313"/>
      <c r="P133" s="313"/>
      <c r="Q133" s="313"/>
      <c r="R133" s="313"/>
    </row>
    <row r="134">
      <c r="A134" s="151"/>
      <c r="B134" s="151"/>
      <c r="M134" s="312"/>
      <c r="N134" s="313"/>
      <c r="O134" s="313"/>
      <c r="P134" s="313"/>
      <c r="Q134" s="313"/>
      <c r="R134" s="313"/>
    </row>
    <row r="135">
      <c r="A135" s="151"/>
      <c r="B135" s="151"/>
      <c r="M135" s="312"/>
      <c r="N135" s="313"/>
      <c r="O135" s="313"/>
      <c r="P135" s="313"/>
      <c r="Q135" s="313"/>
      <c r="R135" s="313"/>
    </row>
    <row r="136">
      <c r="A136" s="151"/>
      <c r="B136" s="151"/>
      <c r="M136" s="312"/>
      <c r="N136" s="313"/>
      <c r="O136" s="313"/>
      <c r="P136" s="313"/>
      <c r="Q136" s="313"/>
      <c r="R136" s="313"/>
    </row>
    <row r="137">
      <c r="A137" s="151"/>
      <c r="B137" s="151"/>
      <c r="M137" s="312"/>
      <c r="N137" s="313"/>
      <c r="O137" s="313"/>
      <c r="P137" s="313"/>
      <c r="Q137" s="313"/>
      <c r="R137" s="313"/>
    </row>
    <row r="138">
      <c r="A138" s="151"/>
      <c r="B138" s="151"/>
      <c r="M138" s="312"/>
      <c r="N138" s="313"/>
      <c r="O138" s="313"/>
      <c r="P138" s="313"/>
      <c r="Q138" s="313"/>
      <c r="R138" s="313"/>
    </row>
    <row r="139">
      <c r="A139" s="151"/>
      <c r="B139" s="151"/>
      <c r="M139" s="312"/>
      <c r="N139" s="313"/>
      <c r="O139" s="313"/>
      <c r="P139" s="313"/>
      <c r="Q139" s="313"/>
      <c r="R139" s="313"/>
    </row>
    <row r="140">
      <c r="A140" s="151"/>
      <c r="B140" s="151"/>
      <c r="M140" s="312"/>
      <c r="N140" s="313"/>
      <c r="O140" s="313"/>
      <c r="P140" s="313"/>
      <c r="Q140" s="313"/>
      <c r="R140" s="313"/>
    </row>
    <row r="141">
      <c r="A141" s="151"/>
      <c r="B141" s="151"/>
      <c r="M141" s="312"/>
      <c r="N141" s="313"/>
      <c r="O141" s="313"/>
      <c r="P141" s="313"/>
      <c r="Q141" s="313"/>
      <c r="R141" s="313"/>
    </row>
    <row r="142">
      <c r="A142" s="151"/>
      <c r="B142" s="151"/>
      <c r="M142" s="312"/>
      <c r="N142" s="313"/>
      <c r="O142" s="313"/>
      <c r="P142" s="313"/>
      <c r="Q142" s="313"/>
      <c r="R142" s="313"/>
    </row>
    <row r="143">
      <c r="A143" s="151"/>
      <c r="B143" s="151"/>
      <c r="M143" s="312"/>
      <c r="N143" s="313"/>
      <c r="O143" s="313"/>
      <c r="P143" s="313"/>
      <c r="Q143" s="313"/>
      <c r="R143" s="313"/>
    </row>
    <row r="144">
      <c r="A144" s="151"/>
      <c r="B144" s="151"/>
      <c r="M144" s="312"/>
      <c r="N144" s="313"/>
      <c r="O144" s="313"/>
      <c r="P144" s="313"/>
      <c r="Q144" s="313"/>
      <c r="R144" s="313"/>
    </row>
    <row r="145">
      <c r="A145" s="151"/>
      <c r="B145" s="151"/>
      <c r="M145" s="312"/>
      <c r="N145" s="313"/>
      <c r="O145" s="313"/>
      <c r="P145" s="313"/>
      <c r="Q145" s="313"/>
      <c r="R145" s="313"/>
    </row>
    <row r="146">
      <c r="A146" s="151"/>
      <c r="B146" s="151"/>
      <c r="M146" s="312"/>
      <c r="N146" s="313"/>
      <c r="O146" s="313"/>
      <c r="P146" s="313"/>
      <c r="Q146" s="313"/>
      <c r="R146" s="313"/>
    </row>
    <row r="147">
      <c r="A147" s="151"/>
      <c r="B147" s="151"/>
      <c r="M147" s="312"/>
      <c r="N147" s="313"/>
      <c r="O147" s="313"/>
      <c r="P147" s="313"/>
      <c r="Q147" s="313"/>
      <c r="R147" s="313"/>
    </row>
    <row r="148">
      <c r="A148" s="151"/>
      <c r="B148" s="151"/>
      <c r="M148" s="312"/>
      <c r="N148" s="313"/>
      <c r="O148" s="313"/>
      <c r="P148" s="313"/>
      <c r="Q148" s="313"/>
      <c r="R148" s="313"/>
    </row>
    <row r="149">
      <c r="A149" s="151"/>
      <c r="B149" s="151"/>
      <c r="M149" s="312"/>
      <c r="N149" s="313"/>
      <c r="O149" s="313"/>
      <c r="P149" s="313"/>
      <c r="Q149" s="313"/>
      <c r="R149" s="313"/>
    </row>
    <row r="150">
      <c r="A150" s="151"/>
      <c r="B150" s="151"/>
      <c r="M150" s="312"/>
      <c r="N150" s="313"/>
      <c r="O150" s="313"/>
      <c r="P150" s="313"/>
      <c r="Q150" s="313"/>
      <c r="R150" s="313"/>
    </row>
    <row r="151">
      <c r="A151" s="151"/>
      <c r="B151" s="151"/>
      <c r="M151" s="312"/>
      <c r="N151" s="313"/>
      <c r="O151" s="313"/>
      <c r="P151" s="313"/>
      <c r="Q151" s="313"/>
      <c r="R151" s="313"/>
    </row>
    <row r="152">
      <c r="A152" s="151"/>
      <c r="B152" s="151"/>
      <c r="M152" s="312"/>
      <c r="N152" s="313"/>
      <c r="O152" s="313"/>
      <c r="P152" s="313"/>
      <c r="Q152" s="313"/>
      <c r="R152" s="313"/>
    </row>
    <row r="153">
      <c r="A153" s="151"/>
      <c r="B153" s="151"/>
      <c r="M153" s="312"/>
      <c r="N153" s="313"/>
      <c r="O153" s="313"/>
      <c r="P153" s="313"/>
      <c r="Q153" s="313"/>
      <c r="R153" s="313"/>
    </row>
    <row r="154">
      <c r="A154" s="151"/>
      <c r="B154" s="151"/>
      <c r="M154" s="312"/>
      <c r="N154" s="313"/>
      <c r="O154" s="313"/>
      <c r="P154" s="313"/>
      <c r="Q154" s="313"/>
      <c r="R154" s="313"/>
    </row>
    <row r="155">
      <c r="A155" s="151"/>
      <c r="B155" s="151"/>
      <c r="M155" s="312"/>
      <c r="N155" s="313"/>
      <c r="O155" s="313"/>
      <c r="P155" s="313"/>
      <c r="Q155" s="313"/>
      <c r="R155" s="313"/>
    </row>
    <row r="156">
      <c r="A156" s="151"/>
      <c r="B156" s="151"/>
      <c r="M156" s="312"/>
      <c r="N156" s="313"/>
      <c r="O156" s="313"/>
      <c r="P156" s="313"/>
      <c r="Q156" s="313"/>
      <c r="R156" s="313"/>
    </row>
    <row r="157">
      <c r="A157" s="151"/>
      <c r="B157" s="151"/>
      <c r="M157" s="312"/>
      <c r="N157" s="313"/>
      <c r="O157" s="313"/>
      <c r="P157" s="313"/>
      <c r="Q157" s="313"/>
      <c r="R157" s="313"/>
    </row>
    <row r="158">
      <c r="A158" s="151"/>
      <c r="B158" s="151"/>
      <c r="M158" s="312"/>
      <c r="N158" s="313"/>
      <c r="O158" s="313"/>
      <c r="P158" s="313"/>
      <c r="Q158" s="313"/>
      <c r="R158" s="313"/>
    </row>
    <row r="159">
      <c r="A159" s="151"/>
      <c r="B159" s="151"/>
      <c r="M159" s="312"/>
      <c r="N159" s="313"/>
      <c r="O159" s="313"/>
      <c r="P159" s="313"/>
      <c r="Q159" s="313"/>
      <c r="R159" s="313"/>
    </row>
    <row r="160">
      <c r="A160" s="151"/>
      <c r="B160" s="151"/>
      <c r="M160" s="312"/>
      <c r="N160" s="313"/>
      <c r="O160" s="313"/>
      <c r="P160" s="313"/>
      <c r="Q160" s="313"/>
      <c r="R160" s="313"/>
    </row>
    <row r="161">
      <c r="A161" s="151"/>
      <c r="B161" s="151"/>
      <c r="M161" s="312"/>
      <c r="N161" s="313"/>
      <c r="O161" s="313"/>
      <c r="P161" s="313"/>
      <c r="Q161" s="313"/>
      <c r="R161" s="313"/>
    </row>
    <row r="162">
      <c r="A162" s="151"/>
      <c r="B162" s="151"/>
      <c r="M162" s="312"/>
      <c r="N162" s="313"/>
      <c r="O162" s="313"/>
      <c r="P162" s="313"/>
      <c r="Q162" s="313"/>
      <c r="R162" s="313"/>
    </row>
    <row r="163">
      <c r="A163" s="151"/>
      <c r="B163" s="151"/>
      <c r="M163" s="312"/>
      <c r="N163" s="313"/>
      <c r="O163" s="313"/>
      <c r="P163" s="313"/>
      <c r="Q163" s="313"/>
      <c r="R163" s="313"/>
    </row>
    <row r="164">
      <c r="A164" s="151"/>
      <c r="B164" s="151"/>
      <c r="M164" s="312"/>
      <c r="N164" s="313"/>
      <c r="O164" s="313"/>
      <c r="P164" s="313"/>
      <c r="Q164" s="313"/>
      <c r="R164" s="313"/>
    </row>
    <row r="165">
      <c r="A165" s="151"/>
      <c r="B165" s="151"/>
      <c r="M165" s="312"/>
      <c r="N165" s="313"/>
      <c r="O165" s="313"/>
      <c r="P165" s="313"/>
      <c r="Q165" s="313"/>
      <c r="R165" s="313"/>
    </row>
    <row r="166">
      <c r="A166" s="151"/>
      <c r="B166" s="151"/>
      <c r="M166" s="312"/>
      <c r="N166" s="313"/>
      <c r="O166" s="313"/>
      <c r="P166" s="313"/>
      <c r="Q166" s="313"/>
      <c r="R166" s="313"/>
    </row>
    <row r="167">
      <c r="A167" s="151"/>
      <c r="B167" s="151"/>
      <c r="M167" s="312"/>
      <c r="N167" s="313"/>
      <c r="O167" s="313"/>
      <c r="P167" s="313"/>
      <c r="Q167" s="313"/>
      <c r="R167" s="313"/>
    </row>
    <row r="168">
      <c r="A168" s="151"/>
      <c r="B168" s="151"/>
      <c r="M168" s="312"/>
      <c r="N168" s="313"/>
      <c r="O168" s="313"/>
      <c r="P168" s="313"/>
      <c r="Q168" s="313"/>
      <c r="R168" s="313"/>
    </row>
    <row r="169">
      <c r="A169" s="151"/>
      <c r="B169" s="151"/>
      <c r="M169" s="312"/>
      <c r="N169" s="313"/>
      <c r="O169" s="313"/>
      <c r="P169" s="313"/>
      <c r="Q169" s="313"/>
      <c r="R169" s="313"/>
    </row>
    <row r="170">
      <c r="A170" s="151"/>
      <c r="B170" s="151"/>
      <c r="M170" s="312"/>
      <c r="N170" s="313"/>
      <c r="O170" s="313"/>
      <c r="P170" s="313"/>
      <c r="Q170" s="313"/>
      <c r="R170" s="313"/>
    </row>
    <row r="171">
      <c r="A171" s="151"/>
      <c r="B171" s="151"/>
      <c r="M171" s="312"/>
      <c r="N171" s="313"/>
      <c r="O171" s="313"/>
      <c r="P171" s="313"/>
      <c r="Q171" s="313"/>
      <c r="R171" s="313"/>
    </row>
    <row r="172">
      <c r="A172" s="151"/>
      <c r="B172" s="151"/>
      <c r="M172" s="312"/>
      <c r="N172" s="313"/>
      <c r="O172" s="313"/>
      <c r="P172" s="313"/>
      <c r="Q172" s="313"/>
      <c r="R172" s="313"/>
    </row>
    <row r="173">
      <c r="A173" s="151"/>
      <c r="B173" s="151"/>
      <c r="M173" s="312"/>
      <c r="N173" s="313"/>
      <c r="O173" s="313"/>
      <c r="P173" s="313"/>
      <c r="Q173" s="313"/>
      <c r="R173" s="313"/>
    </row>
    <row r="174">
      <c r="A174" s="151"/>
      <c r="B174" s="151"/>
      <c r="M174" s="312"/>
      <c r="N174" s="313"/>
      <c r="O174" s="313"/>
      <c r="P174" s="313"/>
      <c r="Q174" s="313"/>
      <c r="R174" s="313"/>
    </row>
    <row r="175">
      <c r="A175" s="151"/>
      <c r="B175" s="151"/>
      <c r="M175" s="312"/>
      <c r="N175" s="313"/>
      <c r="O175" s="313"/>
      <c r="P175" s="313"/>
      <c r="Q175" s="313"/>
      <c r="R175" s="313"/>
    </row>
    <row r="176">
      <c r="A176" s="151"/>
      <c r="B176" s="151"/>
      <c r="M176" s="312"/>
      <c r="N176" s="313"/>
      <c r="O176" s="313"/>
      <c r="P176" s="313"/>
      <c r="Q176" s="313"/>
      <c r="R176" s="313"/>
    </row>
    <row r="177">
      <c r="A177" s="151"/>
      <c r="B177" s="151"/>
      <c r="M177" s="312"/>
      <c r="N177" s="313"/>
      <c r="O177" s="313"/>
      <c r="P177" s="313"/>
      <c r="Q177" s="313"/>
      <c r="R177" s="313"/>
    </row>
    <row r="178">
      <c r="A178" s="151"/>
      <c r="B178" s="151"/>
      <c r="M178" s="312"/>
      <c r="N178" s="313"/>
      <c r="O178" s="313"/>
      <c r="P178" s="313"/>
      <c r="Q178" s="313"/>
      <c r="R178" s="313"/>
    </row>
    <row r="179">
      <c r="A179" s="151"/>
      <c r="B179" s="151"/>
      <c r="M179" s="312"/>
      <c r="N179" s="313"/>
      <c r="O179" s="313"/>
      <c r="P179" s="313"/>
      <c r="Q179" s="313"/>
      <c r="R179" s="313"/>
    </row>
    <row r="180">
      <c r="A180" s="151"/>
      <c r="B180" s="151"/>
      <c r="M180" s="312"/>
      <c r="N180" s="313"/>
      <c r="O180" s="313"/>
      <c r="P180" s="313"/>
      <c r="Q180" s="313"/>
      <c r="R180" s="313"/>
    </row>
    <row r="181">
      <c r="A181" s="151"/>
      <c r="B181" s="151"/>
      <c r="M181" s="312"/>
      <c r="N181" s="313"/>
      <c r="O181" s="313"/>
      <c r="P181" s="313"/>
      <c r="Q181" s="313"/>
      <c r="R181" s="313"/>
    </row>
    <row r="182">
      <c r="A182" s="151"/>
      <c r="B182" s="151"/>
      <c r="M182" s="312"/>
      <c r="N182" s="313"/>
      <c r="O182" s="313"/>
      <c r="P182" s="313"/>
      <c r="Q182" s="313"/>
      <c r="R182" s="313"/>
    </row>
    <row r="183">
      <c r="A183" s="151"/>
      <c r="B183" s="151"/>
      <c r="M183" s="312"/>
      <c r="N183" s="313"/>
      <c r="O183" s="313"/>
      <c r="P183" s="313"/>
      <c r="Q183" s="313"/>
      <c r="R183" s="313"/>
    </row>
    <row r="184">
      <c r="A184" s="151"/>
      <c r="B184" s="151"/>
      <c r="M184" s="312"/>
      <c r="N184" s="313"/>
      <c r="O184" s="313"/>
      <c r="P184" s="313"/>
      <c r="Q184" s="313"/>
      <c r="R184" s="313"/>
    </row>
    <row r="185">
      <c r="A185" s="151"/>
      <c r="B185" s="151"/>
      <c r="M185" s="312"/>
      <c r="N185" s="313"/>
      <c r="O185" s="313"/>
      <c r="P185" s="313"/>
      <c r="Q185" s="313"/>
      <c r="R185" s="313"/>
    </row>
    <row r="186">
      <c r="A186" s="151"/>
      <c r="B186" s="151"/>
      <c r="M186" s="312"/>
      <c r="N186" s="313"/>
      <c r="O186" s="313"/>
      <c r="P186" s="313"/>
      <c r="Q186" s="313"/>
      <c r="R186" s="313"/>
    </row>
    <row r="187">
      <c r="A187" s="151"/>
      <c r="B187" s="151"/>
      <c r="M187" s="312"/>
      <c r="N187" s="313"/>
      <c r="O187" s="313"/>
      <c r="P187" s="313"/>
      <c r="Q187" s="313"/>
      <c r="R187" s="313"/>
    </row>
    <row r="188">
      <c r="A188" s="151"/>
      <c r="B188" s="151"/>
      <c r="M188" s="312"/>
      <c r="N188" s="313"/>
      <c r="O188" s="313"/>
      <c r="P188" s="313"/>
      <c r="Q188" s="313"/>
      <c r="R188" s="313"/>
    </row>
    <row r="189">
      <c r="A189" s="151"/>
      <c r="B189" s="151"/>
      <c r="M189" s="312"/>
      <c r="N189" s="313"/>
      <c r="O189" s="313"/>
      <c r="P189" s="313"/>
      <c r="Q189" s="313"/>
      <c r="R189" s="313"/>
    </row>
    <row r="190">
      <c r="A190" s="151"/>
      <c r="B190" s="151"/>
      <c r="M190" s="312"/>
      <c r="N190" s="313"/>
      <c r="O190" s="313"/>
      <c r="P190" s="313"/>
      <c r="Q190" s="313"/>
      <c r="R190" s="313"/>
    </row>
    <row r="191">
      <c r="A191" s="151"/>
      <c r="B191" s="151"/>
      <c r="M191" s="312"/>
      <c r="N191" s="313"/>
      <c r="O191" s="313"/>
      <c r="P191" s="313"/>
      <c r="Q191" s="313"/>
      <c r="R191" s="313"/>
    </row>
    <row r="192">
      <c r="A192" s="151"/>
      <c r="B192" s="151"/>
      <c r="M192" s="312"/>
      <c r="N192" s="313"/>
      <c r="O192" s="313"/>
      <c r="P192" s="313"/>
      <c r="Q192" s="313"/>
      <c r="R192" s="313"/>
    </row>
    <row r="193">
      <c r="A193" s="151"/>
      <c r="B193" s="151"/>
      <c r="M193" s="312"/>
      <c r="N193" s="313"/>
      <c r="O193" s="313"/>
      <c r="P193" s="313"/>
      <c r="Q193" s="313"/>
      <c r="R193" s="313"/>
    </row>
    <row r="194">
      <c r="A194" s="151"/>
      <c r="B194" s="151"/>
      <c r="M194" s="312"/>
      <c r="N194" s="313"/>
      <c r="O194" s="313"/>
      <c r="P194" s="313"/>
      <c r="Q194" s="313"/>
      <c r="R194" s="313"/>
    </row>
    <row r="195">
      <c r="A195" s="151"/>
      <c r="B195" s="151"/>
      <c r="M195" s="312"/>
      <c r="N195" s="313"/>
      <c r="O195" s="313"/>
      <c r="P195" s="313"/>
      <c r="Q195" s="313"/>
      <c r="R195" s="313"/>
    </row>
    <row r="196">
      <c r="A196" s="151"/>
      <c r="B196" s="151"/>
      <c r="M196" s="312"/>
      <c r="N196" s="313"/>
      <c r="O196" s="313"/>
      <c r="P196" s="313"/>
      <c r="Q196" s="313"/>
      <c r="R196" s="313"/>
    </row>
    <row r="197">
      <c r="A197" s="151"/>
      <c r="B197" s="151"/>
      <c r="M197" s="312"/>
      <c r="N197" s="313"/>
      <c r="O197" s="313"/>
      <c r="P197" s="313"/>
      <c r="Q197" s="313"/>
      <c r="R197" s="313"/>
    </row>
    <row r="198">
      <c r="A198" s="151"/>
      <c r="B198" s="151"/>
      <c r="M198" s="312"/>
      <c r="N198" s="313"/>
      <c r="O198" s="313"/>
      <c r="P198" s="313"/>
      <c r="Q198" s="313"/>
      <c r="R198" s="313"/>
    </row>
    <row r="199">
      <c r="A199" s="151"/>
      <c r="B199" s="151"/>
      <c r="M199" s="312"/>
      <c r="N199" s="313"/>
      <c r="O199" s="313"/>
      <c r="P199" s="313"/>
      <c r="Q199" s="313"/>
      <c r="R199" s="313"/>
    </row>
    <row r="200">
      <c r="A200" s="151"/>
      <c r="B200" s="151"/>
      <c r="M200" s="312"/>
      <c r="N200" s="313"/>
      <c r="O200" s="313"/>
      <c r="P200" s="313"/>
      <c r="Q200" s="313"/>
      <c r="R200" s="313"/>
    </row>
    <row r="201">
      <c r="A201" s="151"/>
      <c r="B201" s="151"/>
      <c r="M201" s="312"/>
      <c r="N201" s="313"/>
      <c r="O201" s="313"/>
      <c r="P201" s="313"/>
      <c r="Q201" s="313"/>
      <c r="R201" s="313"/>
    </row>
    <row r="202">
      <c r="A202" s="151"/>
      <c r="B202" s="151"/>
      <c r="M202" s="312"/>
      <c r="N202" s="313"/>
      <c r="O202" s="313"/>
      <c r="P202" s="313"/>
      <c r="Q202" s="313"/>
      <c r="R202" s="313"/>
    </row>
    <row r="203">
      <c r="A203" s="151"/>
      <c r="B203" s="151"/>
      <c r="M203" s="312"/>
      <c r="N203" s="313"/>
      <c r="O203" s="313"/>
      <c r="P203" s="313"/>
      <c r="Q203" s="313"/>
      <c r="R203" s="313"/>
    </row>
    <row r="204">
      <c r="A204" s="151"/>
      <c r="B204" s="151"/>
      <c r="M204" s="312"/>
      <c r="N204" s="313"/>
      <c r="O204" s="313"/>
      <c r="P204" s="313"/>
      <c r="Q204" s="313"/>
      <c r="R204" s="313"/>
    </row>
    <row r="205">
      <c r="A205" s="151"/>
      <c r="B205" s="151"/>
      <c r="M205" s="312"/>
      <c r="N205" s="313"/>
      <c r="O205" s="313"/>
      <c r="P205" s="313"/>
      <c r="Q205" s="313"/>
      <c r="R205" s="313"/>
    </row>
    <row r="206">
      <c r="A206" s="151"/>
      <c r="B206" s="151"/>
      <c r="M206" s="312"/>
      <c r="N206" s="313"/>
      <c r="O206" s="313"/>
      <c r="P206" s="313"/>
      <c r="Q206" s="313"/>
      <c r="R206" s="313"/>
    </row>
    <row r="207">
      <c r="A207" s="151"/>
      <c r="B207" s="151"/>
      <c r="M207" s="312"/>
      <c r="N207" s="313"/>
      <c r="O207" s="313"/>
      <c r="P207" s="313"/>
      <c r="Q207" s="313"/>
      <c r="R207" s="313"/>
    </row>
    <row r="208">
      <c r="A208" s="151"/>
      <c r="B208" s="151"/>
      <c r="M208" s="312"/>
      <c r="N208" s="313"/>
      <c r="O208" s="313"/>
      <c r="P208" s="313"/>
      <c r="Q208" s="313"/>
      <c r="R208" s="313"/>
    </row>
    <row r="209">
      <c r="A209" s="151"/>
      <c r="B209" s="151"/>
      <c r="M209" s="312"/>
      <c r="N209" s="313"/>
      <c r="O209" s="313"/>
      <c r="P209" s="313"/>
      <c r="Q209" s="313"/>
      <c r="R209" s="313"/>
    </row>
    <row r="210">
      <c r="A210" s="151"/>
      <c r="B210" s="151"/>
      <c r="M210" s="312"/>
      <c r="N210" s="313"/>
      <c r="O210" s="313"/>
      <c r="P210" s="313"/>
      <c r="Q210" s="313"/>
      <c r="R210" s="313"/>
    </row>
    <row r="211">
      <c r="A211" s="151"/>
      <c r="B211" s="151"/>
      <c r="M211" s="312"/>
      <c r="N211" s="313"/>
      <c r="O211" s="313"/>
      <c r="P211" s="313"/>
      <c r="Q211" s="313"/>
      <c r="R211" s="313"/>
    </row>
    <row r="212">
      <c r="A212" s="151"/>
      <c r="B212" s="151"/>
      <c r="M212" s="312"/>
      <c r="N212" s="313"/>
      <c r="O212" s="313"/>
      <c r="P212" s="313"/>
      <c r="Q212" s="313"/>
      <c r="R212" s="313"/>
    </row>
    <row r="213">
      <c r="A213" s="151"/>
      <c r="B213" s="151"/>
      <c r="M213" s="312"/>
      <c r="N213" s="313"/>
      <c r="O213" s="313"/>
      <c r="P213" s="313"/>
      <c r="Q213" s="313"/>
      <c r="R213" s="313"/>
    </row>
    <row r="214">
      <c r="A214" s="151"/>
      <c r="B214" s="151"/>
      <c r="M214" s="312"/>
      <c r="N214" s="313"/>
      <c r="O214" s="313"/>
      <c r="P214" s="313"/>
      <c r="Q214" s="313"/>
      <c r="R214" s="313"/>
    </row>
    <row r="215">
      <c r="A215" s="151"/>
      <c r="B215" s="151"/>
      <c r="M215" s="312"/>
      <c r="N215" s="313"/>
      <c r="O215" s="313"/>
      <c r="P215" s="313"/>
      <c r="Q215" s="313"/>
      <c r="R215" s="313"/>
    </row>
    <row r="216">
      <c r="A216" s="151"/>
      <c r="B216" s="151"/>
      <c r="M216" s="312"/>
      <c r="N216" s="313"/>
      <c r="O216" s="313"/>
      <c r="P216" s="313"/>
      <c r="Q216" s="313"/>
      <c r="R216" s="313"/>
    </row>
    <row r="217">
      <c r="A217" s="151"/>
      <c r="B217" s="151"/>
      <c r="M217" s="312"/>
      <c r="N217" s="313"/>
      <c r="O217" s="313"/>
      <c r="P217" s="313"/>
      <c r="Q217" s="313"/>
      <c r="R217" s="313"/>
    </row>
    <row r="218">
      <c r="A218" s="151"/>
      <c r="B218" s="151"/>
      <c r="M218" s="312"/>
      <c r="N218" s="313"/>
      <c r="O218" s="313"/>
      <c r="P218" s="313"/>
      <c r="Q218" s="313"/>
      <c r="R218" s="313"/>
    </row>
    <row r="219">
      <c r="A219" s="151"/>
      <c r="B219" s="151"/>
      <c r="M219" s="312"/>
      <c r="N219" s="313"/>
      <c r="O219" s="313"/>
      <c r="P219" s="313"/>
      <c r="Q219" s="313"/>
      <c r="R219" s="313"/>
    </row>
    <row r="220">
      <c r="A220" s="151"/>
      <c r="B220" s="151"/>
      <c r="M220" s="312"/>
      <c r="N220" s="313"/>
      <c r="O220" s="313"/>
      <c r="P220" s="313"/>
      <c r="Q220" s="313"/>
      <c r="R220" s="313"/>
    </row>
    <row r="221">
      <c r="A221" s="151"/>
      <c r="B221" s="151"/>
      <c r="M221" s="312"/>
      <c r="N221" s="313"/>
      <c r="O221" s="313"/>
      <c r="P221" s="313"/>
      <c r="Q221" s="313"/>
      <c r="R221" s="313"/>
    </row>
    <row r="222">
      <c r="A222" s="151"/>
      <c r="B222" s="151"/>
      <c r="M222" s="312"/>
      <c r="N222" s="313"/>
      <c r="O222" s="313"/>
      <c r="P222" s="313"/>
      <c r="Q222" s="313"/>
      <c r="R222" s="313"/>
    </row>
    <row r="223">
      <c r="A223" s="151"/>
      <c r="B223" s="151"/>
      <c r="M223" s="312"/>
      <c r="N223" s="313"/>
      <c r="O223" s="313"/>
      <c r="P223" s="313"/>
      <c r="Q223" s="313"/>
      <c r="R223" s="313"/>
    </row>
    <row r="224">
      <c r="A224" s="151"/>
      <c r="B224" s="151"/>
      <c r="M224" s="312"/>
      <c r="N224" s="313"/>
      <c r="O224" s="313"/>
      <c r="P224" s="313"/>
      <c r="Q224" s="313"/>
      <c r="R224" s="313"/>
    </row>
    <row r="225">
      <c r="A225" s="151"/>
      <c r="B225" s="151"/>
      <c r="M225" s="312"/>
      <c r="N225" s="313"/>
      <c r="O225" s="313"/>
      <c r="P225" s="313"/>
      <c r="Q225" s="313"/>
      <c r="R225" s="313"/>
    </row>
    <row r="226">
      <c r="A226" s="151"/>
      <c r="B226" s="151"/>
      <c r="M226" s="312"/>
      <c r="N226" s="313"/>
      <c r="O226" s="313"/>
      <c r="P226" s="313"/>
      <c r="Q226" s="313"/>
      <c r="R226" s="313"/>
    </row>
    <row r="227">
      <c r="A227" s="151"/>
      <c r="B227" s="151"/>
      <c r="M227" s="312"/>
      <c r="N227" s="313"/>
      <c r="O227" s="313"/>
      <c r="P227" s="313"/>
      <c r="Q227" s="313"/>
      <c r="R227" s="313"/>
    </row>
    <row r="228">
      <c r="A228" s="151"/>
      <c r="B228" s="151"/>
      <c r="M228" s="312"/>
      <c r="N228" s="313"/>
      <c r="O228" s="313"/>
      <c r="P228" s="313"/>
      <c r="Q228" s="313"/>
      <c r="R228" s="313"/>
    </row>
    <row r="229">
      <c r="A229" s="151"/>
      <c r="B229" s="151"/>
      <c r="M229" s="312"/>
      <c r="N229" s="313"/>
      <c r="O229" s="313"/>
      <c r="P229" s="313"/>
      <c r="Q229" s="313"/>
      <c r="R229" s="313"/>
    </row>
    <row r="230">
      <c r="A230" s="151"/>
      <c r="B230" s="151"/>
      <c r="M230" s="312"/>
      <c r="N230" s="313"/>
      <c r="O230" s="313"/>
      <c r="P230" s="313"/>
      <c r="Q230" s="313"/>
      <c r="R230" s="313"/>
    </row>
    <row r="231">
      <c r="A231" s="151"/>
      <c r="B231" s="151"/>
      <c r="M231" s="312"/>
      <c r="N231" s="313"/>
      <c r="O231" s="313"/>
      <c r="P231" s="313"/>
      <c r="Q231" s="313"/>
      <c r="R231" s="313"/>
    </row>
    <row r="232">
      <c r="A232" s="151"/>
      <c r="B232" s="151"/>
      <c r="M232" s="312"/>
      <c r="N232" s="313"/>
      <c r="O232" s="313"/>
      <c r="P232" s="313"/>
      <c r="Q232" s="313"/>
      <c r="R232" s="313"/>
    </row>
    <row r="233">
      <c r="A233" s="151"/>
      <c r="B233" s="151"/>
      <c r="M233" s="312"/>
      <c r="N233" s="313"/>
      <c r="O233" s="313"/>
      <c r="P233" s="313"/>
      <c r="Q233" s="313"/>
      <c r="R233" s="313"/>
    </row>
    <row r="234">
      <c r="A234" s="151"/>
      <c r="B234" s="151"/>
      <c r="M234" s="312"/>
      <c r="N234" s="313"/>
      <c r="O234" s="313"/>
      <c r="P234" s="313"/>
      <c r="Q234" s="313"/>
      <c r="R234" s="313"/>
    </row>
    <row r="235">
      <c r="A235" s="151"/>
      <c r="B235" s="151"/>
      <c r="M235" s="312"/>
      <c r="N235" s="313"/>
      <c r="O235" s="313"/>
      <c r="P235" s="313"/>
      <c r="Q235" s="313"/>
      <c r="R235" s="313"/>
    </row>
    <row r="236">
      <c r="A236" s="151"/>
      <c r="B236" s="151"/>
      <c r="M236" s="312"/>
      <c r="N236" s="313"/>
      <c r="O236" s="313"/>
      <c r="P236" s="313"/>
      <c r="Q236" s="313"/>
      <c r="R236" s="313"/>
    </row>
    <row r="237">
      <c r="A237" s="151"/>
      <c r="B237" s="151"/>
      <c r="M237" s="312"/>
      <c r="N237" s="313"/>
      <c r="O237" s="313"/>
      <c r="P237" s="313"/>
      <c r="Q237" s="313"/>
      <c r="R237" s="313"/>
    </row>
    <row r="238">
      <c r="A238" s="151"/>
      <c r="B238" s="151"/>
      <c r="M238" s="312"/>
      <c r="N238" s="313"/>
      <c r="O238" s="313"/>
      <c r="P238" s="313"/>
      <c r="Q238" s="313"/>
      <c r="R238" s="313"/>
    </row>
    <row r="239">
      <c r="A239" s="151"/>
      <c r="B239" s="151"/>
      <c r="M239" s="312"/>
      <c r="N239" s="313"/>
      <c r="O239" s="313"/>
      <c r="P239" s="313"/>
      <c r="Q239" s="313"/>
      <c r="R239" s="313"/>
    </row>
    <row r="240">
      <c r="A240" s="151"/>
      <c r="B240" s="151"/>
      <c r="M240" s="312"/>
      <c r="N240" s="313"/>
      <c r="O240" s="313"/>
      <c r="P240" s="313"/>
      <c r="Q240" s="313"/>
      <c r="R240" s="313"/>
    </row>
    <row r="241">
      <c r="A241" s="151"/>
      <c r="B241" s="151"/>
      <c r="M241" s="312"/>
      <c r="N241" s="313"/>
      <c r="O241" s="313"/>
      <c r="P241" s="313"/>
      <c r="Q241" s="313"/>
      <c r="R241" s="313"/>
    </row>
    <row r="242">
      <c r="A242" s="151"/>
      <c r="B242" s="151"/>
      <c r="M242" s="312"/>
      <c r="N242" s="313"/>
      <c r="O242" s="313"/>
      <c r="P242" s="313"/>
      <c r="Q242" s="313"/>
      <c r="R242" s="313"/>
    </row>
    <row r="243">
      <c r="A243" s="151"/>
      <c r="B243" s="151"/>
      <c r="M243" s="312"/>
      <c r="N243" s="313"/>
      <c r="O243" s="313"/>
      <c r="P243" s="313"/>
      <c r="Q243" s="313"/>
      <c r="R243" s="313"/>
    </row>
    <row r="244">
      <c r="A244" s="151"/>
      <c r="B244" s="151"/>
      <c r="M244" s="312"/>
      <c r="N244" s="313"/>
      <c r="O244" s="313"/>
      <c r="P244" s="313"/>
      <c r="Q244" s="313"/>
      <c r="R244" s="313"/>
    </row>
    <row r="245">
      <c r="A245" s="151"/>
      <c r="B245" s="151"/>
      <c r="M245" s="312"/>
      <c r="N245" s="313"/>
      <c r="O245" s="313"/>
      <c r="P245" s="313"/>
      <c r="Q245" s="313"/>
      <c r="R245" s="313"/>
    </row>
    <row r="246">
      <c r="A246" s="151"/>
      <c r="B246" s="151"/>
      <c r="M246" s="312"/>
      <c r="N246" s="313"/>
      <c r="O246" s="313"/>
      <c r="P246" s="313"/>
      <c r="Q246" s="313"/>
      <c r="R246" s="313"/>
    </row>
    <row r="247">
      <c r="A247" s="151"/>
      <c r="B247" s="151"/>
      <c r="M247" s="312"/>
      <c r="N247" s="313"/>
      <c r="O247" s="313"/>
      <c r="P247" s="313"/>
      <c r="Q247" s="313"/>
      <c r="R247" s="313"/>
    </row>
    <row r="248">
      <c r="A248" s="151"/>
      <c r="B248" s="151"/>
      <c r="M248" s="312"/>
      <c r="N248" s="313"/>
      <c r="O248" s="313"/>
      <c r="P248" s="313"/>
      <c r="Q248" s="313"/>
      <c r="R248" s="313"/>
    </row>
    <row r="249">
      <c r="A249" s="151"/>
      <c r="B249" s="151"/>
      <c r="M249" s="312"/>
      <c r="N249" s="313"/>
      <c r="O249" s="313"/>
      <c r="P249" s="313"/>
      <c r="Q249" s="313"/>
      <c r="R249" s="313"/>
    </row>
    <row r="250">
      <c r="A250" s="151"/>
      <c r="B250" s="151"/>
      <c r="M250" s="312"/>
      <c r="N250" s="313"/>
      <c r="O250" s="313"/>
      <c r="P250" s="313"/>
      <c r="Q250" s="313"/>
      <c r="R250" s="313"/>
    </row>
    <row r="251">
      <c r="A251" s="151"/>
      <c r="B251" s="151"/>
      <c r="M251" s="312"/>
      <c r="N251" s="313"/>
      <c r="O251" s="313"/>
      <c r="P251" s="313"/>
      <c r="Q251" s="313"/>
      <c r="R251" s="313"/>
    </row>
    <row r="252">
      <c r="A252" s="151"/>
      <c r="B252" s="151"/>
      <c r="M252" s="312"/>
      <c r="N252" s="313"/>
      <c r="O252" s="313"/>
      <c r="P252" s="313"/>
      <c r="Q252" s="313"/>
      <c r="R252" s="313"/>
    </row>
    <row r="253">
      <c r="A253" s="151"/>
      <c r="B253" s="151"/>
      <c r="M253" s="312"/>
      <c r="N253" s="313"/>
      <c r="O253" s="313"/>
      <c r="P253" s="313"/>
      <c r="Q253" s="313"/>
      <c r="R253" s="313"/>
    </row>
    <row r="254">
      <c r="A254" s="151"/>
      <c r="B254" s="151"/>
      <c r="M254" s="312"/>
      <c r="N254" s="313"/>
      <c r="O254" s="313"/>
      <c r="P254" s="313"/>
      <c r="Q254" s="313"/>
      <c r="R254" s="313"/>
    </row>
    <row r="255">
      <c r="A255" s="151"/>
      <c r="B255" s="151"/>
      <c r="M255" s="312"/>
      <c r="N255" s="313"/>
      <c r="O255" s="313"/>
      <c r="P255" s="313"/>
      <c r="Q255" s="313"/>
      <c r="R255" s="313"/>
    </row>
    <row r="256">
      <c r="A256" s="151"/>
      <c r="B256" s="151"/>
      <c r="M256" s="312"/>
      <c r="N256" s="313"/>
      <c r="O256" s="313"/>
      <c r="P256" s="313"/>
      <c r="Q256" s="313"/>
      <c r="R256" s="313"/>
    </row>
    <row r="257">
      <c r="A257" s="151"/>
      <c r="B257" s="151"/>
      <c r="M257" s="312"/>
      <c r="N257" s="313"/>
      <c r="O257" s="313"/>
      <c r="P257" s="313"/>
      <c r="Q257" s="313"/>
      <c r="R257" s="313"/>
    </row>
    <row r="258">
      <c r="A258" s="151"/>
      <c r="B258" s="151"/>
      <c r="M258" s="312"/>
      <c r="N258" s="313"/>
      <c r="O258" s="313"/>
      <c r="P258" s="313"/>
      <c r="Q258" s="313"/>
      <c r="R258" s="313"/>
    </row>
    <row r="259">
      <c r="A259" s="151"/>
      <c r="B259" s="151"/>
      <c r="M259" s="312"/>
      <c r="N259" s="313"/>
      <c r="O259" s="313"/>
      <c r="P259" s="313"/>
      <c r="Q259" s="313"/>
      <c r="R259" s="313"/>
    </row>
    <row r="260">
      <c r="A260" s="151"/>
      <c r="B260" s="151"/>
      <c r="M260" s="312"/>
      <c r="N260" s="313"/>
      <c r="O260" s="313"/>
      <c r="P260" s="313"/>
      <c r="Q260" s="313"/>
      <c r="R260" s="313"/>
    </row>
    <row r="261">
      <c r="A261" s="151"/>
      <c r="B261" s="151"/>
      <c r="M261" s="312"/>
      <c r="N261" s="313"/>
      <c r="O261" s="313"/>
      <c r="P261" s="313"/>
      <c r="Q261" s="313"/>
      <c r="R261" s="313"/>
    </row>
    <row r="262">
      <c r="A262" s="151"/>
      <c r="B262" s="151"/>
      <c r="M262" s="312"/>
      <c r="N262" s="313"/>
      <c r="O262" s="313"/>
      <c r="P262" s="313"/>
      <c r="Q262" s="313"/>
      <c r="R262" s="313"/>
    </row>
    <row r="263">
      <c r="A263" s="151"/>
      <c r="B263" s="151"/>
      <c r="M263" s="312"/>
      <c r="N263" s="313"/>
      <c r="O263" s="313"/>
      <c r="P263" s="313"/>
      <c r="Q263" s="313"/>
      <c r="R263" s="313"/>
    </row>
    <row r="264">
      <c r="A264" s="151"/>
      <c r="B264" s="151"/>
      <c r="M264" s="312"/>
      <c r="N264" s="313"/>
      <c r="O264" s="313"/>
      <c r="P264" s="313"/>
      <c r="Q264" s="313"/>
      <c r="R264" s="313"/>
    </row>
    <row r="265">
      <c r="A265" s="151"/>
      <c r="B265" s="151"/>
      <c r="M265" s="312"/>
      <c r="N265" s="313"/>
      <c r="O265" s="313"/>
      <c r="P265" s="313"/>
      <c r="Q265" s="313"/>
      <c r="R265" s="313"/>
    </row>
    <row r="266">
      <c r="A266" s="151"/>
      <c r="B266" s="151"/>
      <c r="M266" s="312"/>
      <c r="N266" s="313"/>
      <c r="O266" s="313"/>
      <c r="P266" s="313"/>
      <c r="Q266" s="313"/>
      <c r="R266" s="313"/>
    </row>
    <row r="267">
      <c r="A267" s="151"/>
      <c r="B267" s="151"/>
      <c r="M267" s="312"/>
      <c r="N267" s="313"/>
      <c r="O267" s="313"/>
      <c r="P267" s="313"/>
      <c r="Q267" s="313"/>
      <c r="R267" s="313"/>
    </row>
    <row r="268">
      <c r="A268" s="151"/>
      <c r="B268" s="151"/>
      <c r="M268" s="312"/>
      <c r="N268" s="313"/>
      <c r="O268" s="313"/>
      <c r="P268" s="313"/>
      <c r="Q268" s="313"/>
      <c r="R268" s="313"/>
    </row>
    <row r="269">
      <c r="A269" s="151"/>
      <c r="B269" s="151"/>
      <c r="M269" s="312"/>
      <c r="N269" s="313"/>
      <c r="O269" s="313"/>
      <c r="P269" s="313"/>
      <c r="Q269" s="313"/>
      <c r="R269" s="313"/>
    </row>
    <row r="270">
      <c r="A270" s="151"/>
      <c r="B270" s="151"/>
      <c r="M270" s="312"/>
      <c r="N270" s="313"/>
      <c r="O270" s="313"/>
      <c r="P270" s="313"/>
      <c r="Q270" s="313"/>
      <c r="R270" s="313"/>
    </row>
    <row r="271">
      <c r="A271" s="151"/>
      <c r="B271" s="151"/>
      <c r="M271" s="312"/>
      <c r="N271" s="313"/>
      <c r="O271" s="313"/>
      <c r="P271" s="313"/>
      <c r="Q271" s="313"/>
      <c r="R271" s="313"/>
    </row>
    <row r="272">
      <c r="A272" s="151"/>
      <c r="B272" s="151"/>
      <c r="M272" s="312"/>
      <c r="N272" s="313"/>
      <c r="O272" s="313"/>
      <c r="P272" s="313"/>
      <c r="Q272" s="313"/>
      <c r="R272" s="313"/>
    </row>
    <row r="273">
      <c r="A273" s="151"/>
      <c r="B273" s="151"/>
      <c r="M273" s="312"/>
      <c r="N273" s="313"/>
      <c r="O273" s="313"/>
      <c r="P273" s="313"/>
      <c r="Q273" s="313"/>
      <c r="R273" s="313"/>
    </row>
    <row r="274">
      <c r="A274" s="151"/>
      <c r="B274" s="151"/>
      <c r="M274" s="312"/>
      <c r="N274" s="313"/>
      <c r="O274" s="313"/>
      <c r="P274" s="313"/>
      <c r="Q274" s="313"/>
      <c r="R274" s="313"/>
    </row>
    <row r="275">
      <c r="A275" s="151"/>
      <c r="B275" s="151"/>
      <c r="M275" s="312"/>
      <c r="N275" s="313"/>
      <c r="O275" s="313"/>
      <c r="P275" s="313"/>
      <c r="Q275" s="313"/>
      <c r="R275" s="313"/>
    </row>
    <row r="276">
      <c r="A276" s="151"/>
      <c r="B276" s="151"/>
      <c r="M276" s="312"/>
      <c r="N276" s="313"/>
      <c r="O276" s="313"/>
      <c r="P276" s="313"/>
      <c r="Q276" s="313"/>
      <c r="R276" s="313"/>
    </row>
    <row r="277">
      <c r="A277" s="151"/>
      <c r="B277" s="151"/>
      <c r="M277" s="312"/>
      <c r="N277" s="313"/>
      <c r="O277" s="313"/>
      <c r="P277" s="313"/>
      <c r="Q277" s="313"/>
      <c r="R277" s="313"/>
    </row>
    <row r="278">
      <c r="A278" s="151"/>
      <c r="B278" s="151"/>
      <c r="M278" s="312"/>
      <c r="N278" s="313"/>
      <c r="O278" s="313"/>
      <c r="P278" s="313"/>
      <c r="Q278" s="313"/>
      <c r="R278" s="313"/>
    </row>
    <row r="279">
      <c r="A279" s="151"/>
      <c r="B279" s="151"/>
      <c r="M279" s="312"/>
      <c r="N279" s="313"/>
      <c r="O279" s="313"/>
      <c r="P279" s="313"/>
      <c r="Q279" s="313"/>
      <c r="R279" s="313"/>
    </row>
    <row r="280">
      <c r="A280" s="151"/>
      <c r="B280" s="151"/>
      <c r="M280" s="312"/>
      <c r="N280" s="313"/>
      <c r="O280" s="313"/>
      <c r="P280" s="313"/>
      <c r="Q280" s="313"/>
      <c r="R280" s="313"/>
    </row>
    <row r="281">
      <c r="A281" s="151"/>
      <c r="B281" s="151"/>
      <c r="M281" s="312"/>
      <c r="N281" s="313"/>
      <c r="O281" s="313"/>
      <c r="P281" s="313"/>
      <c r="Q281" s="313"/>
      <c r="R281" s="313"/>
    </row>
    <row r="282">
      <c r="A282" s="151"/>
      <c r="B282" s="151"/>
      <c r="M282" s="312"/>
      <c r="N282" s="313"/>
      <c r="O282" s="313"/>
      <c r="P282" s="313"/>
      <c r="Q282" s="313"/>
      <c r="R282" s="313"/>
    </row>
    <row r="283">
      <c r="A283" s="151"/>
      <c r="B283" s="151"/>
      <c r="M283" s="312"/>
      <c r="N283" s="313"/>
      <c r="O283" s="313"/>
      <c r="P283" s="313"/>
      <c r="Q283" s="313"/>
      <c r="R283" s="313"/>
    </row>
    <row r="284">
      <c r="A284" s="151"/>
      <c r="B284" s="151"/>
      <c r="M284" s="312"/>
      <c r="N284" s="313"/>
      <c r="O284" s="313"/>
      <c r="P284" s="313"/>
      <c r="Q284" s="313"/>
      <c r="R284" s="313"/>
    </row>
    <row r="285">
      <c r="A285" s="151"/>
      <c r="B285" s="151"/>
      <c r="M285" s="312"/>
      <c r="N285" s="313"/>
      <c r="O285" s="313"/>
      <c r="P285" s="313"/>
      <c r="Q285" s="313"/>
      <c r="R285" s="313"/>
    </row>
    <row r="286">
      <c r="A286" s="151"/>
      <c r="B286" s="151"/>
      <c r="M286" s="312"/>
      <c r="N286" s="313"/>
      <c r="O286" s="313"/>
      <c r="P286" s="313"/>
      <c r="Q286" s="313"/>
      <c r="R286" s="313"/>
    </row>
    <row r="287">
      <c r="A287" s="151"/>
      <c r="B287" s="151"/>
      <c r="M287" s="312"/>
      <c r="N287" s="313"/>
      <c r="O287" s="313"/>
      <c r="P287" s="313"/>
      <c r="Q287" s="313"/>
      <c r="R287" s="313"/>
    </row>
    <row r="288">
      <c r="A288" s="151"/>
      <c r="B288" s="151"/>
      <c r="M288" s="312"/>
      <c r="N288" s="313"/>
      <c r="O288" s="313"/>
      <c r="P288" s="313"/>
      <c r="Q288" s="313"/>
      <c r="R288" s="313"/>
    </row>
    <row r="289">
      <c r="A289" s="151"/>
      <c r="B289" s="151"/>
      <c r="M289" s="312"/>
      <c r="N289" s="313"/>
      <c r="O289" s="313"/>
      <c r="P289" s="313"/>
      <c r="Q289" s="313"/>
      <c r="R289" s="313"/>
    </row>
    <row r="290">
      <c r="A290" s="151"/>
      <c r="B290" s="151"/>
      <c r="M290" s="312"/>
      <c r="N290" s="313"/>
      <c r="O290" s="313"/>
      <c r="P290" s="313"/>
      <c r="Q290" s="313"/>
      <c r="R290" s="313"/>
    </row>
    <row r="291">
      <c r="A291" s="151"/>
      <c r="B291" s="151"/>
      <c r="M291" s="312"/>
      <c r="N291" s="313"/>
      <c r="O291" s="313"/>
      <c r="P291" s="313"/>
      <c r="Q291" s="313"/>
      <c r="R291" s="313"/>
    </row>
    <row r="292">
      <c r="A292" s="151"/>
      <c r="B292" s="151"/>
      <c r="M292" s="312"/>
      <c r="N292" s="313"/>
      <c r="O292" s="313"/>
      <c r="P292" s="313"/>
      <c r="Q292" s="313"/>
      <c r="R292" s="313"/>
    </row>
    <row r="293">
      <c r="A293" s="151"/>
      <c r="B293" s="151"/>
      <c r="M293" s="312"/>
      <c r="N293" s="313"/>
      <c r="O293" s="313"/>
      <c r="P293" s="313"/>
      <c r="Q293" s="313"/>
      <c r="R293" s="313"/>
    </row>
    <row r="294">
      <c r="A294" s="151"/>
      <c r="B294" s="151"/>
      <c r="M294" s="312"/>
      <c r="N294" s="313"/>
      <c r="O294" s="313"/>
      <c r="P294" s="313"/>
      <c r="Q294" s="313"/>
      <c r="R294" s="313"/>
    </row>
    <row r="295">
      <c r="A295" s="151"/>
      <c r="B295" s="151"/>
      <c r="M295" s="312"/>
      <c r="N295" s="313"/>
      <c r="O295" s="313"/>
      <c r="P295" s="313"/>
      <c r="Q295" s="313"/>
      <c r="R295" s="313"/>
    </row>
    <row r="296">
      <c r="A296" s="151"/>
      <c r="B296" s="151"/>
      <c r="M296" s="312"/>
      <c r="N296" s="313"/>
      <c r="O296" s="313"/>
      <c r="P296" s="313"/>
      <c r="Q296" s="313"/>
      <c r="R296" s="313"/>
    </row>
    <row r="297">
      <c r="A297" s="151"/>
      <c r="B297" s="151"/>
      <c r="M297" s="312"/>
      <c r="N297" s="313"/>
      <c r="O297" s="313"/>
      <c r="P297" s="313"/>
      <c r="Q297" s="313"/>
      <c r="R297" s="313"/>
    </row>
    <row r="298">
      <c r="A298" s="151"/>
      <c r="B298" s="151"/>
      <c r="M298" s="312"/>
      <c r="N298" s="313"/>
      <c r="O298" s="313"/>
      <c r="P298" s="313"/>
      <c r="Q298" s="313"/>
      <c r="R298" s="313"/>
    </row>
    <row r="299">
      <c r="A299" s="151"/>
      <c r="B299" s="151"/>
      <c r="M299" s="312"/>
      <c r="N299" s="313"/>
      <c r="O299" s="313"/>
      <c r="P299" s="313"/>
      <c r="Q299" s="313"/>
      <c r="R299" s="313"/>
    </row>
    <row r="300">
      <c r="A300" s="151"/>
      <c r="B300" s="151"/>
      <c r="M300" s="312"/>
      <c r="N300" s="313"/>
      <c r="O300" s="313"/>
      <c r="P300" s="313"/>
      <c r="Q300" s="313"/>
      <c r="R300" s="313"/>
    </row>
    <row r="301">
      <c r="A301" s="151"/>
      <c r="B301" s="151"/>
      <c r="M301" s="312"/>
      <c r="N301" s="313"/>
      <c r="O301" s="313"/>
      <c r="P301" s="313"/>
      <c r="Q301" s="313"/>
      <c r="R301" s="313"/>
    </row>
    <row r="302">
      <c r="A302" s="151"/>
      <c r="B302" s="151"/>
      <c r="M302" s="312"/>
      <c r="N302" s="313"/>
      <c r="O302" s="313"/>
      <c r="P302" s="313"/>
      <c r="Q302" s="313"/>
      <c r="R302" s="313"/>
    </row>
    <row r="303">
      <c r="A303" s="151"/>
      <c r="B303" s="151"/>
      <c r="M303" s="312"/>
      <c r="N303" s="313"/>
      <c r="O303" s="313"/>
      <c r="P303" s="313"/>
      <c r="Q303" s="313"/>
      <c r="R303" s="313"/>
    </row>
    <row r="304">
      <c r="A304" s="151"/>
      <c r="B304" s="151"/>
      <c r="M304" s="312"/>
      <c r="N304" s="313"/>
      <c r="O304" s="313"/>
      <c r="P304" s="313"/>
      <c r="Q304" s="313"/>
      <c r="R304" s="313"/>
    </row>
    <row r="305">
      <c r="A305" s="151"/>
      <c r="B305" s="151"/>
      <c r="M305" s="312"/>
      <c r="N305" s="313"/>
      <c r="O305" s="313"/>
      <c r="P305" s="313"/>
      <c r="Q305" s="313"/>
      <c r="R305" s="313"/>
    </row>
    <row r="306">
      <c r="A306" s="151"/>
      <c r="B306" s="151"/>
      <c r="M306" s="312"/>
      <c r="N306" s="313"/>
      <c r="O306" s="313"/>
      <c r="P306" s="313"/>
      <c r="Q306" s="313"/>
      <c r="R306" s="313"/>
    </row>
    <row r="307">
      <c r="A307" s="151"/>
      <c r="B307" s="151"/>
      <c r="M307" s="312"/>
      <c r="N307" s="313"/>
      <c r="O307" s="313"/>
      <c r="P307" s="313"/>
      <c r="Q307" s="313"/>
      <c r="R307" s="313"/>
    </row>
    <row r="308">
      <c r="A308" s="151"/>
      <c r="B308" s="151"/>
      <c r="M308" s="312"/>
      <c r="N308" s="313"/>
      <c r="O308" s="313"/>
      <c r="P308" s="313"/>
      <c r="Q308" s="313"/>
      <c r="R308" s="313"/>
    </row>
    <row r="309">
      <c r="A309" s="151"/>
      <c r="B309" s="151"/>
      <c r="M309" s="312"/>
      <c r="N309" s="313"/>
      <c r="O309" s="313"/>
      <c r="P309" s="313"/>
      <c r="Q309" s="313"/>
      <c r="R309" s="313"/>
    </row>
    <row r="310">
      <c r="A310" s="151"/>
      <c r="B310" s="151"/>
      <c r="M310" s="312"/>
      <c r="N310" s="313"/>
      <c r="O310" s="313"/>
      <c r="P310" s="313"/>
      <c r="Q310" s="313"/>
      <c r="R310" s="313"/>
    </row>
    <row r="311">
      <c r="A311" s="151"/>
      <c r="B311" s="151"/>
      <c r="M311" s="312"/>
      <c r="N311" s="313"/>
      <c r="O311" s="313"/>
      <c r="P311" s="313"/>
      <c r="Q311" s="313"/>
      <c r="R311" s="313"/>
    </row>
    <row r="312">
      <c r="A312" s="151"/>
      <c r="B312" s="151"/>
      <c r="M312" s="312"/>
      <c r="N312" s="313"/>
      <c r="O312" s="313"/>
      <c r="P312" s="313"/>
      <c r="Q312" s="313"/>
      <c r="R312" s="313"/>
    </row>
    <row r="313">
      <c r="A313" s="151"/>
      <c r="B313" s="151"/>
      <c r="M313" s="312"/>
      <c r="N313" s="313"/>
      <c r="O313" s="313"/>
      <c r="P313" s="313"/>
      <c r="Q313" s="313"/>
      <c r="R313" s="313"/>
    </row>
    <row r="314">
      <c r="A314" s="151"/>
      <c r="B314" s="151"/>
      <c r="M314" s="312"/>
      <c r="N314" s="313"/>
      <c r="O314" s="313"/>
      <c r="P314" s="313"/>
      <c r="Q314" s="313"/>
      <c r="R314" s="313"/>
    </row>
    <row r="315">
      <c r="A315" s="151"/>
      <c r="B315" s="151"/>
      <c r="M315" s="312"/>
      <c r="N315" s="313"/>
      <c r="O315" s="313"/>
      <c r="P315" s="313"/>
      <c r="Q315" s="313"/>
      <c r="R315" s="313"/>
    </row>
    <row r="316">
      <c r="A316" s="151"/>
      <c r="B316" s="151"/>
      <c r="M316" s="312"/>
      <c r="N316" s="313"/>
      <c r="O316" s="313"/>
      <c r="P316" s="313"/>
      <c r="Q316" s="313"/>
      <c r="R316" s="313"/>
    </row>
    <row r="317">
      <c r="A317" s="151"/>
      <c r="B317" s="151"/>
      <c r="M317" s="312"/>
      <c r="N317" s="313"/>
      <c r="O317" s="313"/>
      <c r="P317" s="313"/>
      <c r="Q317" s="313"/>
      <c r="R317" s="313"/>
    </row>
    <row r="318">
      <c r="A318" s="151"/>
      <c r="B318" s="151"/>
      <c r="M318" s="312"/>
      <c r="N318" s="313"/>
      <c r="O318" s="313"/>
      <c r="P318" s="313"/>
      <c r="Q318" s="313"/>
      <c r="R318" s="313"/>
    </row>
    <row r="319">
      <c r="A319" s="151"/>
      <c r="B319" s="151"/>
      <c r="M319" s="312"/>
      <c r="N319" s="313"/>
      <c r="O319" s="313"/>
      <c r="P319" s="313"/>
      <c r="Q319" s="313"/>
      <c r="R319" s="313"/>
    </row>
    <row r="320">
      <c r="A320" s="151"/>
      <c r="B320" s="151"/>
      <c r="M320" s="312"/>
      <c r="N320" s="313"/>
      <c r="O320" s="313"/>
      <c r="P320" s="313"/>
      <c r="Q320" s="313"/>
      <c r="R320" s="313"/>
    </row>
    <row r="321">
      <c r="A321" s="151"/>
      <c r="B321" s="151"/>
      <c r="M321" s="312"/>
      <c r="N321" s="313"/>
      <c r="O321" s="313"/>
      <c r="P321" s="313"/>
      <c r="Q321" s="313"/>
      <c r="R321" s="313"/>
    </row>
    <row r="322">
      <c r="A322" s="151"/>
      <c r="B322" s="151"/>
      <c r="M322" s="312"/>
      <c r="N322" s="313"/>
      <c r="O322" s="313"/>
      <c r="P322" s="313"/>
      <c r="Q322" s="313"/>
      <c r="R322" s="313"/>
    </row>
    <row r="323">
      <c r="A323" s="151"/>
      <c r="B323" s="151"/>
      <c r="M323" s="312"/>
      <c r="N323" s="313"/>
      <c r="O323" s="313"/>
      <c r="P323" s="313"/>
      <c r="Q323" s="313"/>
      <c r="R323" s="313"/>
    </row>
    <row r="324">
      <c r="A324" s="151"/>
      <c r="B324" s="151"/>
      <c r="M324" s="312"/>
      <c r="N324" s="313"/>
      <c r="O324" s="313"/>
      <c r="P324" s="313"/>
      <c r="Q324" s="313"/>
      <c r="R324" s="313"/>
    </row>
    <row r="325">
      <c r="A325" s="151"/>
      <c r="B325" s="151"/>
      <c r="M325" s="312"/>
      <c r="N325" s="313"/>
      <c r="O325" s="313"/>
      <c r="P325" s="313"/>
      <c r="Q325" s="313"/>
      <c r="R325" s="313"/>
    </row>
    <row r="326">
      <c r="A326" s="151"/>
      <c r="B326" s="151"/>
      <c r="M326" s="312"/>
      <c r="N326" s="313"/>
      <c r="O326" s="313"/>
      <c r="P326" s="313"/>
      <c r="Q326" s="313"/>
      <c r="R326" s="313"/>
    </row>
    <row r="327">
      <c r="A327" s="151"/>
      <c r="B327" s="151"/>
      <c r="M327" s="312"/>
      <c r="N327" s="313"/>
      <c r="O327" s="313"/>
      <c r="P327" s="313"/>
      <c r="Q327" s="313"/>
      <c r="R327" s="313"/>
    </row>
    <row r="328">
      <c r="A328" s="151"/>
      <c r="B328" s="151"/>
      <c r="M328" s="312"/>
      <c r="N328" s="313"/>
      <c r="O328" s="313"/>
      <c r="P328" s="313"/>
      <c r="Q328" s="313"/>
      <c r="R328" s="313"/>
    </row>
    <row r="329">
      <c r="A329" s="151"/>
      <c r="B329" s="151"/>
      <c r="M329" s="312"/>
      <c r="N329" s="313"/>
      <c r="O329" s="313"/>
      <c r="P329" s="313"/>
      <c r="Q329" s="313"/>
      <c r="R329" s="313"/>
    </row>
    <row r="330">
      <c r="A330" s="151"/>
      <c r="B330" s="151"/>
      <c r="M330" s="312"/>
      <c r="N330" s="313"/>
      <c r="O330" s="313"/>
      <c r="P330" s="313"/>
      <c r="Q330" s="313"/>
      <c r="R330" s="313"/>
    </row>
    <row r="331">
      <c r="A331" s="151"/>
      <c r="B331" s="151"/>
      <c r="M331" s="312"/>
      <c r="N331" s="313"/>
      <c r="O331" s="313"/>
      <c r="P331" s="313"/>
      <c r="Q331" s="313"/>
      <c r="R331" s="313"/>
    </row>
    <row r="332">
      <c r="A332" s="151"/>
      <c r="B332" s="151"/>
      <c r="M332" s="312"/>
      <c r="N332" s="313"/>
      <c r="O332" s="313"/>
      <c r="P332" s="313"/>
      <c r="Q332" s="313"/>
      <c r="R332" s="313"/>
    </row>
    <row r="333">
      <c r="A333" s="151"/>
      <c r="B333" s="151"/>
      <c r="M333" s="312"/>
      <c r="N333" s="313"/>
      <c r="O333" s="313"/>
      <c r="P333" s="313"/>
      <c r="Q333" s="313"/>
      <c r="R333" s="313"/>
    </row>
    <row r="334">
      <c r="A334" s="151"/>
      <c r="B334" s="151"/>
      <c r="M334" s="312"/>
      <c r="N334" s="313"/>
      <c r="O334" s="313"/>
      <c r="P334" s="313"/>
      <c r="Q334" s="313"/>
      <c r="R334" s="313"/>
    </row>
    <row r="335">
      <c r="A335" s="151"/>
      <c r="B335" s="151"/>
      <c r="M335" s="312"/>
      <c r="N335" s="313"/>
      <c r="O335" s="313"/>
      <c r="P335" s="313"/>
      <c r="Q335" s="313"/>
      <c r="R335" s="313"/>
    </row>
    <row r="336">
      <c r="A336" s="151"/>
      <c r="B336" s="151"/>
      <c r="M336" s="312"/>
      <c r="N336" s="313"/>
      <c r="O336" s="313"/>
      <c r="P336" s="313"/>
      <c r="Q336" s="313"/>
      <c r="R336" s="313"/>
    </row>
    <row r="337">
      <c r="A337" s="151"/>
      <c r="B337" s="151"/>
      <c r="M337" s="312"/>
      <c r="N337" s="313"/>
      <c r="O337" s="313"/>
      <c r="P337" s="313"/>
      <c r="Q337" s="313"/>
      <c r="R337" s="313"/>
    </row>
    <row r="338">
      <c r="A338" s="151"/>
      <c r="B338" s="151"/>
      <c r="M338" s="312"/>
      <c r="N338" s="313"/>
      <c r="O338" s="313"/>
      <c r="P338" s="313"/>
      <c r="Q338" s="313"/>
      <c r="R338" s="313"/>
    </row>
    <row r="339">
      <c r="A339" s="151"/>
      <c r="B339" s="151"/>
      <c r="M339" s="312"/>
      <c r="N339" s="313"/>
      <c r="O339" s="313"/>
      <c r="P339" s="313"/>
      <c r="Q339" s="313"/>
      <c r="R339" s="313"/>
    </row>
    <row r="340">
      <c r="A340" s="151"/>
      <c r="B340" s="151"/>
      <c r="M340" s="312"/>
      <c r="N340" s="313"/>
      <c r="O340" s="313"/>
      <c r="P340" s="313"/>
      <c r="Q340" s="313"/>
      <c r="R340" s="313"/>
    </row>
    <row r="341">
      <c r="A341" s="151"/>
      <c r="B341" s="151"/>
      <c r="M341" s="312"/>
      <c r="N341" s="313"/>
      <c r="O341" s="313"/>
      <c r="P341" s="313"/>
      <c r="Q341" s="313"/>
      <c r="R341" s="313"/>
    </row>
    <row r="342">
      <c r="A342" s="151"/>
      <c r="B342" s="151"/>
      <c r="M342" s="312"/>
      <c r="N342" s="313"/>
      <c r="O342" s="313"/>
      <c r="P342" s="313"/>
      <c r="Q342" s="313"/>
      <c r="R342" s="313"/>
    </row>
    <row r="343">
      <c r="A343" s="151"/>
      <c r="B343" s="151"/>
      <c r="M343" s="312"/>
      <c r="N343" s="313"/>
      <c r="O343" s="313"/>
      <c r="P343" s="313"/>
      <c r="Q343" s="313"/>
      <c r="R343" s="313"/>
    </row>
    <row r="344">
      <c r="A344" s="151"/>
      <c r="B344" s="151"/>
      <c r="M344" s="312"/>
      <c r="N344" s="313"/>
      <c r="O344" s="313"/>
      <c r="P344" s="313"/>
      <c r="Q344" s="313"/>
      <c r="R344" s="313"/>
    </row>
    <row r="345">
      <c r="A345" s="151"/>
      <c r="B345" s="151"/>
      <c r="M345" s="312"/>
      <c r="N345" s="313"/>
      <c r="O345" s="313"/>
      <c r="P345" s="313"/>
      <c r="Q345" s="313"/>
      <c r="R345" s="313"/>
    </row>
    <row r="346">
      <c r="A346" s="151"/>
      <c r="B346" s="151"/>
      <c r="M346" s="312"/>
      <c r="N346" s="313"/>
      <c r="O346" s="313"/>
      <c r="P346" s="313"/>
      <c r="Q346" s="313"/>
      <c r="R346" s="313"/>
    </row>
    <row r="347">
      <c r="A347" s="151"/>
      <c r="B347" s="151"/>
      <c r="M347" s="312"/>
      <c r="N347" s="313"/>
      <c r="O347" s="313"/>
      <c r="P347" s="313"/>
      <c r="Q347" s="313"/>
      <c r="R347" s="313"/>
    </row>
    <row r="348">
      <c r="A348" s="151"/>
      <c r="B348" s="151"/>
      <c r="M348" s="312"/>
      <c r="N348" s="313"/>
      <c r="O348" s="313"/>
      <c r="P348" s="313"/>
      <c r="Q348" s="313"/>
      <c r="R348" s="313"/>
    </row>
    <row r="349">
      <c r="A349" s="151"/>
      <c r="B349" s="151"/>
      <c r="M349" s="312"/>
      <c r="N349" s="313"/>
      <c r="O349" s="313"/>
      <c r="P349" s="313"/>
      <c r="Q349" s="313"/>
      <c r="R349" s="313"/>
    </row>
    <row r="350">
      <c r="A350" s="151"/>
      <c r="B350" s="151"/>
      <c r="M350" s="312"/>
      <c r="N350" s="313"/>
      <c r="O350" s="313"/>
      <c r="P350" s="313"/>
      <c r="Q350" s="313"/>
      <c r="R350" s="313"/>
    </row>
    <row r="351">
      <c r="A351" s="151"/>
      <c r="B351" s="151"/>
      <c r="M351" s="312"/>
      <c r="N351" s="313"/>
      <c r="O351" s="313"/>
      <c r="P351" s="313"/>
      <c r="Q351" s="313"/>
      <c r="R351" s="313"/>
    </row>
    <row r="352">
      <c r="A352" s="151"/>
      <c r="B352" s="151"/>
      <c r="M352" s="312"/>
      <c r="N352" s="313"/>
      <c r="O352" s="313"/>
      <c r="P352" s="313"/>
      <c r="Q352" s="313"/>
      <c r="R352" s="313"/>
    </row>
    <row r="353">
      <c r="A353" s="151"/>
      <c r="B353" s="151"/>
      <c r="M353" s="312"/>
      <c r="N353" s="313"/>
      <c r="O353" s="313"/>
      <c r="P353" s="313"/>
      <c r="Q353" s="313"/>
      <c r="R353" s="313"/>
    </row>
    <row r="354">
      <c r="A354" s="151"/>
      <c r="B354" s="151"/>
      <c r="M354" s="312"/>
      <c r="N354" s="313"/>
      <c r="O354" s="313"/>
      <c r="P354" s="313"/>
      <c r="Q354" s="313"/>
      <c r="R354" s="313"/>
    </row>
    <row r="355">
      <c r="A355" s="151"/>
      <c r="B355" s="151"/>
      <c r="M355" s="312"/>
      <c r="N355" s="313"/>
      <c r="O355" s="313"/>
      <c r="P355" s="313"/>
      <c r="Q355" s="313"/>
      <c r="R355" s="313"/>
    </row>
    <row r="356">
      <c r="A356" s="151"/>
      <c r="B356" s="151"/>
      <c r="M356" s="312"/>
      <c r="N356" s="313"/>
      <c r="O356" s="313"/>
      <c r="P356" s="313"/>
      <c r="Q356" s="313"/>
      <c r="R356" s="313"/>
    </row>
    <row r="357">
      <c r="A357" s="151"/>
      <c r="B357" s="151"/>
      <c r="M357" s="312"/>
      <c r="N357" s="313"/>
      <c r="O357" s="313"/>
      <c r="P357" s="313"/>
      <c r="Q357" s="313"/>
      <c r="R357" s="313"/>
    </row>
    <row r="358">
      <c r="A358" s="151"/>
      <c r="B358" s="151"/>
      <c r="M358" s="312"/>
      <c r="N358" s="313"/>
      <c r="O358" s="313"/>
      <c r="P358" s="313"/>
      <c r="Q358" s="313"/>
      <c r="R358" s="313"/>
    </row>
    <row r="359">
      <c r="A359" s="151"/>
      <c r="B359" s="151"/>
      <c r="M359" s="312"/>
      <c r="N359" s="313"/>
      <c r="O359" s="313"/>
      <c r="P359" s="313"/>
      <c r="Q359" s="313"/>
      <c r="R359" s="313"/>
    </row>
    <row r="360">
      <c r="A360" s="151"/>
      <c r="B360" s="151"/>
      <c r="M360" s="312"/>
      <c r="N360" s="313"/>
      <c r="O360" s="313"/>
      <c r="P360" s="313"/>
      <c r="Q360" s="313"/>
      <c r="R360" s="313"/>
    </row>
    <row r="361">
      <c r="A361" s="151"/>
      <c r="B361" s="151"/>
      <c r="M361" s="312"/>
      <c r="N361" s="313"/>
      <c r="O361" s="313"/>
      <c r="P361" s="313"/>
      <c r="Q361" s="313"/>
      <c r="R361" s="313"/>
    </row>
    <row r="362">
      <c r="A362" s="151"/>
      <c r="B362" s="151"/>
      <c r="M362" s="312"/>
      <c r="N362" s="313"/>
      <c r="O362" s="313"/>
      <c r="P362" s="313"/>
      <c r="Q362" s="313"/>
      <c r="R362" s="313"/>
    </row>
    <row r="363">
      <c r="A363" s="151"/>
      <c r="B363" s="151"/>
      <c r="M363" s="312"/>
      <c r="N363" s="313"/>
      <c r="O363" s="313"/>
      <c r="P363" s="313"/>
      <c r="Q363" s="313"/>
      <c r="R363" s="313"/>
    </row>
    <row r="364">
      <c r="A364" s="151"/>
      <c r="B364" s="151"/>
      <c r="M364" s="312"/>
      <c r="N364" s="313"/>
      <c r="O364" s="313"/>
      <c r="P364" s="313"/>
      <c r="Q364" s="313"/>
      <c r="R364" s="313"/>
    </row>
    <row r="365">
      <c r="A365" s="151"/>
      <c r="B365" s="151"/>
      <c r="M365" s="312"/>
      <c r="N365" s="313"/>
      <c r="O365" s="313"/>
      <c r="P365" s="313"/>
      <c r="Q365" s="313"/>
      <c r="R365" s="313"/>
    </row>
    <row r="366">
      <c r="A366" s="151"/>
      <c r="B366" s="151"/>
      <c r="M366" s="312"/>
      <c r="N366" s="313"/>
      <c r="O366" s="313"/>
      <c r="P366" s="313"/>
      <c r="Q366" s="313"/>
      <c r="R366" s="313"/>
    </row>
    <row r="367">
      <c r="A367" s="151"/>
      <c r="B367" s="151"/>
      <c r="M367" s="312"/>
      <c r="N367" s="313"/>
      <c r="O367" s="313"/>
      <c r="P367" s="313"/>
      <c r="Q367" s="313"/>
      <c r="R367" s="313"/>
    </row>
    <row r="368">
      <c r="A368" s="151"/>
      <c r="B368" s="151"/>
      <c r="M368" s="312"/>
      <c r="N368" s="313"/>
      <c r="O368" s="313"/>
      <c r="P368" s="313"/>
      <c r="Q368" s="313"/>
      <c r="R368" s="313"/>
    </row>
    <row r="369">
      <c r="A369" s="151"/>
      <c r="B369" s="151"/>
      <c r="M369" s="312"/>
      <c r="N369" s="313"/>
      <c r="O369" s="313"/>
      <c r="P369" s="313"/>
      <c r="Q369" s="313"/>
      <c r="R369" s="313"/>
    </row>
    <row r="370">
      <c r="A370" s="151"/>
      <c r="B370" s="151"/>
      <c r="M370" s="312"/>
      <c r="N370" s="313"/>
      <c r="O370" s="313"/>
      <c r="P370" s="313"/>
      <c r="Q370" s="313"/>
      <c r="R370" s="313"/>
    </row>
    <row r="371">
      <c r="A371" s="151"/>
      <c r="B371" s="151"/>
      <c r="M371" s="312"/>
      <c r="N371" s="313"/>
      <c r="O371" s="313"/>
      <c r="P371" s="313"/>
      <c r="Q371" s="313"/>
      <c r="R371" s="313"/>
    </row>
    <row r="372">
      <c r="A372" s="151"/>
      <c r="B372" s="151"/>
      <c r="M372" s="312"/>
      <c r="N372" s="313"/>
      <c r="O372" s="313"/>
      <c r="P372" s="313"/>
      <c r="Q372" s="313"/>
      <c r="R372" s="313"/>
    </row>
    <row r="373">
      <c r="A373" s="151"/>
      <c r="B373" s="151"/>
      <c r="M373" s="312"/>
      <c r="N373" s="313"/>
      <c r="O373" s="313"/>
      <c r="P373" s="313"/>
      <c r="Q373" s="313"/>
      <c r="R373" s="313"/>
    </row>
    <row r="374">
      <c r="A374" s="151"/>
      <c r="B374" s="151"/>
      <c r="M374" s="312"/>
      <c r="N374" s="313"/>
      <c r="O374" s="313"/>
      <c r="P374" s="313"/>
      <c r="Q374" s="313"/>
      <c r="R374" s="313"/>
    </row>
    <row r="375">
      <c r="A375" s="151"/>
      <c r="B375" s="151"/>
      <c r="M375" s="312"/>
      <c r="N375" s="313"/>
      <c r="O375" s="313"/>
      <c r="P375" s="313"/>
      <c r="Q375" s="313"/>
      <c r="R375" s="313"/>
    </row>
    <row r="376">
      <c r="A376" s="151"/>
      <c r="B376" s="151"/>
      <c r="M376" s="312"/>
      <c r="N376" s="313"/>
      <c r="O376" s="313"/>
      <c r="P376" s="313"/>
      <c r="Q376" s="313"/>
      <c r="R376" s="313"/>
    </row>
    <row r="377">
      <c r="A377" s="151"/>
      <c r="B377" s="151"/>
      <c r="M377" s="312"/>
      <c r="N377" s="313"/>
      <c r="O377" s="313"/>
      <c r="P377" s="313"/>
      <c r="Q377" s="313"/>
      <c r="R377" s="313"/>
    </row>
    <row r="378">
      <c r="A378" s="151"/>
      <c r="B378" s="151"/>
      <c r="M378" s="312"/>
      <c r="N378" s="313"/>
      <c r="O378" s="313"/>
      <c r="P378" s="313"/>
      <c r="Q378" s="313"/>
      <c r="R378" s="313"/>
    </row>
    <row r="379">
      <c r="A379" s="151"/>
      <c r="B379" s="151"/>
      <c r="M379" s="312"/>
      <c r="N379" s="313"/>
      <c r="O379" s="313"/>
      <c r="P379" s="313"/>
      <c r="Q379" s="313"/>
      <c r="R379" s="313"/>
    </row>
    <row r="380">
      <c r="A380" s="151"/>
      <c r="B380" s="151"/>
      <c r="M380" s="312"/>
      <c r="N380" s="313"/>
      <c r="O380" s="313"/>
      <c r="P380" s="313"/>
      <c r="Q380" s="313"/>
      <c r="R380" s="313"/>
    </row>
    <row r="381">
      <c r="A381" s="151"/>
      <c r="B381" s="151"/>
      <c r="M381" s="312"/>
      <c r="N381" s="313"/>
      <c r="O381" s="313"/>
      <c r="P381" s="313"/>
      <c r="Q381" s="313"/>
      <c r="R381" s="313"/>
    </row>
    <row r="382">
      <c r="A382" s="151"/>
      <c r="B382" s="151"/>
      <c r="M382" s="312"/>
      <c r="N382" s="313"/>
      <c r="O382" s="313"/>
      <c r="P382" s="313"/>
      <c r="Q382" s="313"/>
      <c r="R382" s="313"/>
    </row>
    <row r="383">
      <c r="A383" s="151"/>
      <c r="B383" s="151"/>
      <c r="M383" s="312"/>
      <c r="N383" s="313"/>
      <c r="O383" s="313"/>
      <c r="P383" s="313"/>
      <c r="Q383" s="313"/>
      <c r="R383" s="313"/>
    </row>
    <row r="384">
      <c r="A384" s="151"/>
      <c r="B384" s="151"/>
      <c r="M384" s="312"/>
      <c r="N384" s="313"/>
      <c r="O384" s="313"/>
      <c r="P384" s="313"/>
      <c r="Q384" s="313"/>
      <c r="R384" s="313"/>
    </row>
    <row r="385">
      <c r="A385" s="151"/>
      <c r="B385" s="151"/>
      <c r="M385" s="312"/>
      <c r="N385" s="313"/>
      <c r="O385" s="313"/>
      <c r="P385" s="313"/>
      <c r="Q385" s="313"/>
      <c r="R385" s="313"/>
    </row>
    <row r="386">
      <c r="A386" s="151"/>
      <c r="B386" s="151"/>
      <c r="M386" s="312"/>
      <c r="N386" s="313"/>
      <c r="O386" s="313"/>
      <c r="P386" s="313"/>
      <c r="Q386" s="313"/>
      <c r="R386" s="313"/>
    </row>
    <row r="387">
      <c r="A387" s="151"/>
      <c r="B387" s="151"/>
      <c r="M387" s="312"/>
      <c r="N387" s="313"/>
      <c r="O387" s="313"/>
      <c r="P387" s="313"/>
      <c r="Q387" s="313"/>
      <c r="R387" s="313"/>
    </row>
    <row r="388">
      <c r="A388" s="151"/>
      <c r="B388" s="151"/>
      <c r="M388" s="312"/>
      <c r="N388" s="313"/>
      <c r="O388" s="313"/>
      <c r="P388" s="313"/>
      <c r="Q388" s="313"/>
      <c r="R388" s="313"/>
    </row>
    <row r="389">
      <c r="A389" s="151"/>
      <c r="B389" s="151"/>
      <c r="M389" s="312"/>
      <c r="N389" s="313"/>
      <c r="O389" s="313"/>
      <c r="P389" s="313"/>
      <c r="Q389" s="313"/>
      <c r="R389" s="313"/>
    </row>
    <row r="390">
      <c r="A390" s="151"/>
      <c r="B390" s="151"/>
      <c r="M390" s="312"/>
      <c r="N390" s="313"/>
      <c r="O390" s="313"/>
      <c r="P390" s="313"/>
      <c r="Q390" s="313"/>
      <c r="R390" s="313"/>
    </row>
    <row r="391">
      <c r="A391" s="151"/>
      <c r="B391" s="151"/>
      <c r="M391" s="312"/>
      <c r="N391" s="313"/>
      <c r="O391" s="313"/>
      <c r="P391" s="313"/>
      <c r="Q391" s="313"/>
      <c r="R391" s="313"/>
    </row>
    <row r="392">
      <c r="A392" s="151"/>
      <c r="B392" s="151"/>
      <c r="M392" s="312"/>
      <c r="N392" s="313"/>
      <c r="O392" s="313"/>
      <c r="P392" s="313"/>
      <c r="Q392" s="313"/>
      <c r="R392" s="313"/>
    </row>
    <row r="393">
      <c r="A393" s="151"/>
      <c r="B393" s="151"/>
      <c r="M393" s="312"/>
      <c r="N393" s="313"/>
      <c r="O393" s="313"/>
      <c r="P393" s="313"/>
      <c r="Q393" s="313"/>
      <c r="R393" s="313"/>
    </row>
    <row r="394">
      <c r="A394" s="151"/>
      <c r="B394" s="151"/>
      <c r="M394" s="312"/>
      <c r="N394" s="313"/>
      <c r="O394" s="313"/>
      <c r="P394" s="313"/>
      <c r="Q394" s="313"/>
      <c r="R394" s="313"/>
    </row>
    <row r="395">
      <c r="A395" s="151"/>
      <c r="B395" s="151"/>
      <c r="M395" s="312"/>
      <c r="N395" s="313"/>
      <c r="O395" s="313"/>
      <c r="P395" s="313"/>
      <c r="Q395" s="313"/>
      <c r="R395" s="313"/>
    </row>
    <row r="396">
      <c r="A396" s="151"/>
      <c r="B396" s="151"/>
      <c r="M396" s="312"/>
      <c r="N396" s="313"/>
      <c r="O396" s="313"/>
      <c r="P396" s="313"/>
      <c r="Q396" s="313"/>
      <c r="R396" s="313"/>
    </row>
    <row r="397">
      <c r="A397" s="151"/>
      <c r="B397" s="151"/>
      <c r="M397" s="312"/>
      <c r="N397" s="313"/>
      <c r="O397" s="313"/>
      <c r="P397" s="313"/>
      <c r="Q397" s="313"/>
      <c r="R397" s="313"/>
    </row>
    <row r="398">
      <c r="A398" s="151"/>
      <c r="B398" s="151"/>
      <c r="M398" s="312"/>
      <c r="N398" s="313"/>
      <c r="O398" s="313"/>
      <c r="P398" s="313"/>
      <c r="Q398" s="313"/>
      <c r="R398" s="313"/>
    </row>
    <row r="399">
      <c r="A399" s="151"/>
      <c r="B399" s="151"/>
      <c r="M399" s="312"/>
      <c r="N399" s="313"/>
      <c r="O399" s="313"/>
      <c r="P399" s="313"/>
      <c r="Q399" s="313"/>
      <c r="R399" s="313"/>
    </row>
    <row r="400">
      <c r="A400" s="151"/>
      <c r="B400" s="151"/>
      <c r="M400" s="312"/>
      <c r="N400" s="313"/>
      <c r="O400" s="313"/>
      <c r="P400" s="313"/>
      <c r="Q400" s="313"/>
      <c r="R400" s="313"/>
    </row>
    <row r="401">
      <c r="A401" s="151"/>
      <c r="B401" s="151"/>
      <c r="M401" s="312"/>
      <c r="N401" s="313"/>
      <c r="O401" s="313"/>
      <c r="P401" s="313"/>
      <c r="Q401" s="313"/>
      <c r="R401" s="313"/>
    </row>
    <row r="402">
      <c r="A402" s="151"/>
      <c r="B402" s="151"/>
      <c r="M402" s="312"/>
      <c r="N402" s="313"/>
      <c r="O402" s="313"/>
      <c r="P402" s="313"/>
      <c r="Q402" s="313"/>
      <c r="R402" s="313"/>
    </row>
    <row r="403">
      <c r="A403" s="151"/>
      <c r="B403" s="151"/>
      <c r="M403" s="312"/>
      <c r="N403" s="313"/>
      <c r="O403" s="313"/>
      <c r="P403" s="313"/>
      <c r="Q403" s="313"/>
      <c r="R403" s="313"/>
    </row>
    <row r="404">
      <c r="A404" s="151"/>
      <c r="B404" s="151"/>
      <c r="M404" s="312"/>
      <c r="N404" s="313"/>
      <c r="O404" s="313"/>
      <c r="P404" s="313"/>
      <c r="Q404" s="313"/>
      <c r="R404" s="313"/>
    </row>
    <row r="405">
      <c r="A405" s="151"/>
      <c r="B405" s="151"/>
      <c r="M405" s="312"/>
      <c r="N405" s="313"/>
      <c r="O405" s="313"/>
      <c r="P405" s="313"/>
      <c r="Q405" s="313"/>
      <c r="R405" s="313"/>
    </row>
    <row r="406">
      <c r="A406" s="151"/>
      <c r="B406" s="151"/>
      <c r="M406" s="312"/>
      <c r="N406" s="313"/>
      <c r="O406" s="313"/>
      <c r="P406" s="313"/>
      <c r="Q406" s="313"/>
      <c r="R406" s="313"/>
    </row>
    <row r="407">
      <c r="A407" s="151"/>
      <c r="B407" s="151"/>
      <c r="M407" s="312"/>
      <c r="N407" s="313"/>
      <c r="O407" s="313"/>
      <c r="P407" s="313"/>
      <c r="Q407" s="313"/>
      <c r="R407" s="313"/>
    </row>
    <row r="408">
      <c r="A408" s="151"/>
      <c r="B408" s="151"/>
      <c r="M408" s="312"/>
      <c r="N408" s="313"/>
      <c r="O408" s="313"/>
      <c r="P408" s="313"/>
      <c r="Q408" s="313"/>
      <c r="R408" s="313"/>
    </row>
    <row r="409">
      <c r="A409" s="151"/>
      <c r="B409" s="151"/>
      <c r="M409" s="312"/>
      <c r="N409" s="313"/>
      <c r="O409" s="313"/>
      <c r="P409" s="313"/>
      <c r="Q409" s="313"/>
      <c r="R409" s="313"/>
    </row>
    <row r="410">
      <c r="A410" s="151"/>
      <c r="B410" s="151"/>
      <c r="M410" s="312"/>
      <c r="N410" s="313"/>
      <c r="O410" s="313"/>
      <c r="P410" s="313"/>
      <c r="Q410" s="313"/>
      <c r="R410" s="313"/>
    </row>
    <row r="411">
      <c r="A411" s="151"/>
      <c r="B411" s="151"/>
      <c r="M411" s="312"/>
      <c r="N411" s="313"/>
      <c r="O411" s="313"/>
      <c r="P411" s="313"/>
      <c r="Q411" s="313"/>
      <c r="R411" s="313"/>
    </row>
    <row r="412">
      <c r="A412" s="151"/>
      <c r="B412" s="151"/>
      <c r="M412" s="312"/>
      <c r="N412" s="313"/>
      <c r="O412" s="313"/>
      <c r="P412" s="313"/>
      <c r="Q412" s="313"/>
      <c r="R412" s="313"/>
    </row>
    <row r="413">
      <c r="A413" s="151"/>
      <c r="B413" s="151"/>
      <c r="M413" s="312"/>
      <c r="N413" s="313"/>
      <c r="O413" s="313"/>
      <c r="P413" s="313"/>
      <c r="Q413" s="313"/>
      <c r="R413" s="313"/>
    </row>
    <row r="414">
      <c r="A414" s="151"/>
      <c r="B414" s="151"/>
      <c r="M414" s="312"/>
      <c r="N414" s="313"/>
      <c r="O414" s="313"/>
      <c r="P414" s="313"/>
      <c r="Q414" s="313"/>
      <c r="R414" s="313"/>
    </row>
    <row r="415">
      <c r="A415" s="151"/>
      <c r="B415" s="151"/>
      <c r="M415" s="312"/>
      <c r="N415" s="313"/>
      <c r="O415" s="313"/>
      <c r="P415" s="313"/>
      <c r="Q415" s="313"/>
      <c r="R415" s="313"/>
    </row>
    <row r="416">
      <c r="A416" s="151"/>
      <c r="B416" s="151"/>
      <c r="M416" s="312"/>
      <c r="N416" s="313"/>
      <c r="O416" s="313"/>
      <c r="P416" s="313"/>
      <c r="Q416" s="313"/>
      <c r="R416" s="313"/>
    </row>
    <row r="417">
      <c r="A417" s="151"/>
      <c r="B417" s="151"/>
      <c r="M417" s="312"/>
      <c r="N417" s="313"/>
      <c r="O417" s="313"/>
      <c r="P417" s="313"/>
      <c r="Q417" s="313"/>
      <c r="R417" s="313"/>
    </row>
    <row r="418">
      <c r="A418" s="151"/>
      <c r="B418" s="151"/>
      <c r="M418" s="312"/>
      <c r="N418" s="313"/>
      <c r="O418" s="313"/>
      <c r="P418" s="313"/>
      <c r="Q418" s="313"/>
      <c r="R418" s="313"/>
    </row>
    <row r="419">
      <c r="A419" s="151"/>
      <c r="B419" s="151"/>
      <c r="M419" s="312"/>
      <c r="N419" s="313"/>
      <c r="O419" s="313"/>
      <c r="P419" s="313"/>
      <c r="Q419" s="313"/>
      <c r="R419" s="313"/>
    </row>
    <row r="420">
      <c r="A420" s="151"/>
      <c r="B420" s="151"/>
      <c r="M420" s="312"/>
      <c r="N420" s="313"/>
      <c r="O420" s="313"/>
      <c r="P420" s="313"/>
      <c r="Q420" s="313"/>
      <c r="R420" s="313"/>
    </row>
    <row r="421">
      <c r="A421" s="151"/>
      <c r="B421" s="151"/>
      <c r="M421" s="312"/>
      <c r="N421" s="313"/>
      <c r="O421" s="313"/>
      <c r="P421" s="313"/>
      <c r="Q421" s="313"/>
      <c r="R421" s="313"/>
    </row>
    <row r="422">
      <c r="A422" s="151"/>
      <c r="B422" s="151"/>
      <c r="M422" s="312"/>
      <c r="N422" s="313"/>
      <c r="O422" s="313"/>
      <c r="P422" s="313"/>
      <c r="Q422" s="313"/>
      <c r="R422" s="313"/>
    </row>
    <row r="423">
      <c r="A423" s="151"/>
      <c r="B423" s="151"/>
      <c r="M423" s="312"/>
      <c r="N423" s="313"/>
      <c r="O423" s="313"/>
      <c r="P423" s="313"/>
      <c r="Q423" s="313"/>
      <c r="R423" s="313"/>
    </row>
    <row r="424">
      <c r="A424" s="151"/>
      <c r="B424" s="151"/>
      <c r="M424" s="312"/>
      <c r="N424" s="313"/>
      <c r="O424" s="313"/>
      <c r="P424" s="313"/>
      <c r="Q424" s="313"/>
      <c r="R424" s="313"/>
    </row>
    <row r="425">
      <c r="A425" s="151"/>
      <c r="B425" s="151"/>
      <c r="M425" s="312"/>
      <c r="N425" s="313"/>
      <c r="O425" s="313"/>
      <c r="P425" s="313"/>
      <c r="Q425" s="313"/>
      <c r="R425" s="313"/>
    </row>
    <row r="426">
      <c r="A426" s="151"/>
      <c r="B426" s="151"/>
      <c r="M426" s="312"/>
      <c r="N426" s="313"/>
      <c r="O426" s="313"/>
      <c r="P426" s="313"/>
      <c r="Q426" s="313"/>
      <c r="R426" s="313"/>
    </row>
    <row r="427">
      <c r="A427" s="151"/>
      <c r="B427" s="151"/>
      <c r="M427" s="312"/>
      <c r="N427" s="313"/>
      <c r="O427" s="313"/>
      <c r="P427" s="313"/>
      <c r="Q427" s="313"/>
      <c r="R427" s="313"/>
    </row>
    <row r="428">
      <c r="A428" s="151"/>
      <c r="B428" s="151"/>
      <c r="M428" s="312"/>
      <c r="N428" s="313"/>
      <c r="O428" s="313"/>
      <c r="P428" s="313"/>
      <c r="Q428" s="313"/>
      <c r="R428" s="313"/>
    </row>
    <row r="429">
      <c r="A429" s="151"/>
      <c r="B429" s="151"/>
      <c r="M429" s="312"/>
      <c r="N429" s="313"/>
      <c r="O429" s="313"/>
      <c r="P429" s="313"/>
      <c r="Q429" s="313"/>
      <c r="R429" s="313"/>
    </row>
    <row r="430">
      <c r="A430" s="151"/>
      <c r="B430" s="151"/>
      <c r="M430" s="312"/>
      <c r="N430" s="313"/>
      <c r="O430" s="313"/>
      <c r="P430" s="313"/>
      <c r="Q430" s="313"/>
      <c r="R430" s="313"/>
    </row>
    <row r="431">
      <c r="A431" s="151"/>
      <c r="B431" s="151"/>
      <c r="M431" s="312"/>
      <c r="N431" s="313"/>
      <c r="O431" s="313"/>
      <c r="P431" s="313"/>
      <c r="Q431" s="313"/>
      <c r="R431" s="313"/>
    </row>
    <row r="432">
      <c r="A432" s="151"/>
      <c r="B432" s="151"/>
      <c r="M432" s="312"/>
      <c r="N432" s="313"/>
      <c r="O432" s="313"/>
      <c r="P432" s="313"/>
      <c r="Q432" s="313"/>
      <c r="R432" s="313"/>
    </row>
    <row r="433">
      <c r="A433" s="151"/>
      <c r="B433" s="151"/>
      <c r="M433" s="312"/>
      <c r="N433" s="313"/>
      <c r="O433" s="313"/>
      <c r="P433" s="313"/>
      <c r="Q433" s="313"/>
      <c r="R433" s="313"/>
    </row>
    <row r="434">
      <c r="A434" s="151"/>
      <c r="B434" s="151"/>
      <c r="M434" s="312"/>
      <c r="N434" s="313"/>
      <c r="O434" s="313"/>
      <c r="P434" s="313"/>
      <c r="Q434" s="313"/>
      <c r="R434" s="313"/>
    </row>
    <row r="435">
      <c r="A435" s="151"/>
      <c r="B435" s="151"/>
      <c r="M435" s="312"/>
      <c r="N435" s="313"/>
      <c r="O435" s="313"/>
      <c r="P435" s="313"/>
      <c r="Q435" s="313"/>
      <c r="R435" s="313"/>
    </row>
    <row r="436">
      <c r="A436" s="151"/>
      <c r="B436" s="151"/>
      <c r="M436" s="312"/>
      <c r="N436" s="313"/>
      <c r="O436" s="313"/>
      <c r="P436" s="313"/>
      <c r="Q436" s="313"/>
      <c r="R436" s="313"/>
    </row>
    <row r="437">
      <c r="A437" s="151"/>
      <c r="B437" s="151"/>
      <c r="M437" s="312"/>
      <c r="N437" s="313"/>
      <c r="O437" s="313"/>
      <c r="P437" s="313"/>
      <c r="Q437" s="313"/>
      <c r="R437" s="313"/>
    </row>
    <row r="438">
      <c r="A438" s="151"/>
      <c r="B438" s="151"/>
      <c r="M438" s="312"/>
      <c r="N438" s="313"/>
      <c r="O438" s="313"/>
      <c r="P438" s="313"/>
      <c r="Q438" s="313"/>
      <c r="R438" s="313"/>
    </row>
    <row r="439">
      <c r="A439" s="151"/>
      <c r="B439" s="151"/>
      <c r="M439" s="312"/>
      <c r="N439" s="313"/>
      <c r="O439" s="313"/>
      <c r="P439" s="313"/>
      <c r="Q439" s="313"/>
      <c r="R439" s="313"/>
    </row>
    <row r="440">
      <c r="A440" s="151"/>
      <c r="B440" s="151"/>
      <c r="M440" s="312"/>
      <c r="N440" s="313"/>
      <c r="O440" s="313"/>
      <c r="P440" s="313"/>
      <c r="Q440" s="313"/>
      <c r="R440" s="313"/>
    </row>
    <row r="441">
      <c r="A441" s="151"/>
      <c r="B441" s="151"/>
      <c r="M441" s="312"/>
      <c r="N441" s="313"/>
      <c r="O441" s="313"/>
      <c r="P441" s="313"/>
      <c r="Q441" s="313"/>
      <c r="R441" s="313"/>
    </row>
    <row r="442">
      <c r="A442" s="151"/>
      <c r="B442" s="151"/>
      <c r="M442" s="312"/>
      <c r="N442" s="313"/>
      <c r="O442" s="313"/>
      <c r="P442" s="313"/>
      <c r="Q442" s="313"/>
      <c r="R442" s="313"/>
    </row>
    <row r="443">
      <c r="A443" s="151"/>
      <c r="B443" s="151"/>
      <c r="M443" s="312"/>
      <c r="N443" s="313"/>
      <c r="O443" s="313"/>
      <c r="P443" s="313"/>
      <c r="Q443" s="313"/>
      <c r="R443" s="313"/>
    </row>
    <row r="444">
      <c r="A444" s="151"/>
      <c r="B444" s="151"/>
      <c r="M444" s="312"/>
      <c r="N444" s="313"/>
      <c r="O444" s="313"/>
      <c r="P444" s="313"/>
      <c r="Q444" s="313"/>
      <c r="R444" s="313"/>
    </row>
    <row r="445">
      <c r="A445" s="151"/>
      <c r="B445" s="151"/>
      <c r="M445" s="312"/>
      <c r="N445" s="313"/>
      <c r="O445" s="313"/>
      <c r="P445" s="313"/>
      <c r="Q445" s="313"/>
      <c r="R445" s="313"/>
    </row>
    <row r="446">
      <c r="A446" s="151"/>
      <c r="B446" s="151"/>
      <c r="M446" s="312"/>
      <c r="N446" s="313"/>
      <c r="O446" s="313"/>
      <c r="P446" s="313"/>
      <c r="Q446" s="313"/>
      <c r="R446" s="313"/>
    </row>
    <row r="447">
      <c r="A447" s="151"/>
      <c r="B447" s="151"/>
      <c r="M447" s="312"/>
      <c r="N447" s="313"/>
      <c r="O447" s="313"/>
      <c r="P447" s="313"/>
      <c r="Q447" s="313"/>
      <c r="R447" s="313"/>
    </row>
    <row r="448">
      <c r="A448" s="151"/>
      <c r="B448" s="151"/>
      <c r="M448" s="312"/>
      <c r="N448" s="313"/>
      <c r="O448" s="313"/>
      <c r="P448" s="313"/>
      <c r="Q448" s="313"/>
      <c r="R448" s="313"/>
    </row>
    <row r="449">
      <c r="A449" s="151"/>
      <c r="B449" s="151"/>
      <c r="M449" s="312"/>
      <c r="N449" s="313"/>
      <c r="O449" s="313"/>
      <c r="P449" s="313"/>
      <c r="Q449" s="313"/>
      <c r="R449" s="313"/>
    </row>
    <row r="450">
      <c r="A450" s="151"/>
      <c r="B450" s="151"/>
      <c r="M450" s="312"/>
      <c r="N450" s="313"/>
      <c r="O450" s="313"/>
      <c r="P450" s="313"/>
      <c r="Q450" s="313"/>
      <c r="R450" s="313"/>
    </row>
    <row r="451">
      <c r="A451" s="151"/>
      <c r="B451" s="151"/>
      <c r="M451" s="312"/>
      <c r="N451" s="313"/>
      <c r="O451" s="313"/>
      <c r="P451" s="313"/>
      <c r="Q451" s="313"/>
      <c r="R451" s="313"/>
    </row>
    <row r="452">
      <c r="A452" s="151"/>
      <c r="B452" s="151"/>
      <c r="M452" s="312"/>
      <c r="N452" s="313"/>
      <c r="O452" s="313"/>
      <c r="P452" s="313"/>
      <c r="Q452" s="313"/>
      <c r="R452" s="313"/>
    </row>
    <row r="453">
      <c r="A453" s="151"/>
      <c r="B453" s="151"/>
      <c r="M453" s="312"/>
      <c r="N453" s="313"/>
      <c r="O453" s="313"/>
      <c r="P453" s="313"/>
      <c r="Q453" s="313"/>
      <c r="R453" s="313"/>
    </row>
    <row r="454">
      <c r="A454" s="151"/>
      <c r="B454" s="151"/>
      <c r="M454" s="312"/>
      <c r="N454" s="313"/>
      <c r="O454" s="313"/>
      <c r="P454" s="313"/>
      <c r="Q454" s="313"/>
      <c r="R454" s="313"/>
    </row>
    <row r="455">
      <c r="A455" s="151"/>
      <c r="B455" s="151"/>
      <c r="M455" s="312"/>
      <c r="N455" s="313"/>
      <c r="O455" s="313"/>
      <c r="P455" s="313"/>
      <c r="Q455" s="313"/>
      <c r="R455" s="313"/>
    </row>
    <row r="456">
      <c r="A456" s="151"/>
      <c r="B456" s="151"/>
      <c r="M456" s="312"/>
      <c r="N456" s="313"/>
      <c r="O456" s="313"/>
      <c r="P456" s="313"/>
      <c r="Q456" s="313"/>
      <c r="R456" s="313"/>
    </row>
    <row r="457">
      <c r="A457" s="151"/>
      <c r="B457" s="151"/>
      <c r="M457" s="312"/>
      <c r="N457" s="313"/>
      <c r="O457" s="313"/>
      <c r="P457" s="313"/>
      <c r="Q457" s="313"/>
      <c r="R457" s="313"/>
    </row>
    <row r="458">
      <c r="A458" s="151"/>
      <c r="B458" s="151"/>
      <c r="M458" s="312"/>
      <c r="N458" s="313"/>
      <c r="O458" s="313"/>
      <c r="P458" s="313"/>
      <c r="Q458" s="313"/>
      <c r="R458" s="313"/>
    </row>
    <row r="459">
      <c r="A459" s="151"/>
      <c r="B459" s="151"/>
      <c r="M459" s="312"/>
      <c r="N459" s="313"/>
      <c r="O459" s="313"/>
      <c r="P459" s="313"/>
      <c r="Q459" s="313"/>
      <c r="R459" s="313"/>
    </row>
    <row r="460">
      <c r="A460" s="151"/>
      <c r="B460" s="151"/>
      <c r="M460" s="312"/>
      <c r="N460" s="313"/>
      <c r="O460" s="313"/>
      <c r="P460" s="313"/>
      <c r="Q460" s="313"/>
      <c r="R460" s="313"/>
    </row>
    <row r="461">
      <c r="A461" s="151"/>
      <c r="B461" s="151"/>
      <c r="M461" s="312"/>
      <c r="N461" s="313"/>
      <c r="O461" s="313"/>
      <c r="P461" s="313"/>
      <c r="Q461" s="313"/>
      <c r="R461" s="313"/>
    </row>
    <row r="462">
      <c r="A462" s="151"/>
      <c r="B462" s="151"/>
      <c r="M462" s="312"/>
      <c r="N462" s="313"/>
      <c r="O462" s="313"/>
      <c r="P462" s="313"/>
      <c r="Q462" s="313"/>
      <c r="R462" s="313"/>
    </row>
    <row r="463">
      <c r="A463" s="151"/>
      <c r="B463" s="151"/>
      <c r="M463" s="312"/>
      <c r="N463" s="313"/>
      <c r="O463" s="313"/>
      <c r="P463" s="313"/>
      <c r="Q463" s="313"/>
      <c r="R463" s="313"/>
    </row>
    <row r="464">
      <c r="A464" s="151"/>
      <c r="B464" s="151"/>
      <c r="M464" s="312"/>
      <c r="N464" s="313"/>
      <c r="O464" s="313"/>
      <c r="P464" s="313"/>
      <c r="Q464" s="313"/>
      <c r="R464" s="313"/>
    </row>
    <row r="465">
      <c r="A465" s="151"/>
      <c r="B465" s="151"/>
      <c r="M465" s="312"/>
      <c r="N465" s="313"/>
      <c r="O465" s="313"/>
      <c r="P465" s="313"/>
      <c r="Q465" s="313"/>
      <c r="R465" s="313"/>
    </row>
    <row r="466">
      <c r="A466" s="151"/>
      <c r="B466" s="151"/>
      <c r="M466" s="312"/>
      <c r="N466" s="313"/>
      <c r="O466" s="313"/>
      <c r="P466" s="313"/>
      <c r="Q466" s="313"/>
      <c r="R466" s="313"/>
    </row>
    <row r="467">
      <c r="A467" s="151"/>
      <c r="B467" s="151"/>
      <c r="M467" s="312"/>
      <c r="N467" s="313"/>
      <c r="O467" s="313"/>
      <c r="P467" s="313"/>
      <c r="Q467" s="313"/>
      <c r="R467" s="313"/>
    </row>
    <row r="468">
      <c r="A468" s="151"/>
      <c r="B468" s="151"/>
      <c r="M468" s="312"/>
      <c r="N468" s="313"/>
      <c r="O468" s="313"/>
      <c r="P468" s="313"/>
      <c r="Q468" s="313"/>
      <c r="R468" s="313"/>
    </row>
    <row r="469">
      <c r="A469" s="151"/>
      <c r="B469" s="151"/>
      <c r="M469" s="312"/>
      <c r="N469" s="313"/>
      <c r="O469" s="313"/>
      <c r="P469" s="313"/>
      <c r="Q469" s="313"/>
      <c r="R469" s="313"/>
    </row>
    <row r="470">
      <c r="A470" s="151"/>
      <c r="B470" s="151"/>
      <c r="M470" s="312"/>
      <c r="N470" s="313"/>
      <c r="O470" s="313"/>
      <c r="P470" s="313"/>
      <c r="Q470" s="313"/>
      <c r="R470" s="313"/>
    </row>
    <row r="471">
      <c r="A471" s="151"/>
      <c r="B471" s="151"/>
      <c r="M471" s="312"/>
      <c r="N471" s="313"/>
      <c r="O471" s="313"/>
      <c r="P471" s="313"/>
      <c r="Q471" s="313"/>
      <c r="R471" s="313"/>
    </row>
    <row r="472">
      <c r="A472" s="151"/>
      <c r="B472" s="151"/>
      <c r="M472" s="312"/>
      <c r="N472" s="313"/>
      <c r="O472" s="313"/>
      <c r="P472" s="313"/>
      <c r="Q472" s="313"/>
      <c r="R472" s="313"/>
    </row>
    <row r="473">
      <c r="A473" s="151"/>
      <c r="B473" s="151"/>
      <c r="M473" s="312"/>
      <c r="N473" s="313"/>
      <c r="O473" s="313"/>
      <c r="P473" s="313"/>
      <c r="Q473" s="313"/>
      <c r="R473" s="313"/>
    </row>
    <row r="474">
      <c r="A474" s="151"/>
      <c r="B474" s="151"/>
      <c r="M474" s="312"/>
      <c r="N474" s="313"/>
      <c r="O474" s="313"/>
      <c r="P474" s="313"/>
      <c r="Q474" s="313"/>
      <c r="R474" s="313"/>
    </row>
    <row r="475">
      <c r="A475" s="151"/>
      <c r="B475" s="151"/>
      <c r="M475" s="312"/>
      <c r="N475" s="313"/>
      <c r="O475" s="313"/>
      <c r="P475" s="313"/>
      <c r="Q475" s="313"/>
      <c r="R475" s="313"/>
    </row>
    <row r="476">
      <c r="A476" s="151"/>
      <c r="B476" s="151"/>
      <c r="M476" s="312"/>
      <c r="N476" s="313"/>
      <c r="O476" s="313"/>
      <c r="P476" s="313"/>
      <c r="Q476" s="313"/>
      <c r="R476" s="313"/>
    </row>
    <row r="477">
      <c r="A477" s="151"/>
      <c r="B477" s="151"/>
      <c r="M477" s="312"/>
      <c r="N477" s="313"/>
      <c r="O477" s="313"/>
      <c r="P477" s="313"/>
      <c r="Q477" s="313"/>
      <c r="R477" s="313"/>
    </row>
    <row r="478">
      <c r="A478" s="151"/>
      <c r="B478" s="151"/>
      <c r="M478" s="312"/>
      <c r="N478" s="313"/>
      <c r="O478" s="313"/>
      <c r="P478" s="313"/>
      <c r="Q478" s="313"/>
      <c r="R478" s="313"/>
    </row>
    <row r="479">
      <c r="A479" s="151"/>
      <c r="B479" s="151"/>
      <c r="M479" s="312"/>
      <c r="N479" s="313"/>
      <c r="O479" s="313"/>
      <c r="P479" s="313"/>
      <c r="Q479" s="313"/>
      <c r="R479" s="313"/>
    </row>
    <row r="480">
      <c r="A480" s="151"/>
      <c r="B480" s="151"/>
      <c r="M480" s="312"/>
      <c r="N480" s="313"/>
      <c r="O480" s="313"/>
      <c r="P480" s="313"/>
      <c r="Q480" s="313"/>
      <c r="R480" s="313"/>
    </row>
    <row r="481">
      <c r="A481" s="151"/>
      <c r="B481" s="151"/>
      <c r="M481" s="312"/>
      <c r="N481" s="313"/>
      <c r="O481" s="313"/>
      <c r="P481" s="313"/>
      <c r="Q481" s="313"/>
      <c r="R481" s="313"/>
    </row>
    <row r="482">
      <c r="A482" s="151"/>
      <c r="B482" s="151"/>
      <c r="M482" s="312"/>
      <c r="N482" s="313"/>
      <c r="O482" s="313"/>
      <c r="P482" s="313"/>
      <c r="Q482" s="313"/>
      <c r="R482" s="313"/>
    </row>
    <row r="483">
      <c r="A483" s="151"/>
      <c r="B483" s="151"/>
      <c r="M483" s="312"/>
      <c r="N483" s="313"/>
      <c r="O483" s="313"/>
      <c r="P483" s="313"/>
      <c r="Q483" s="313"/>
      <c r="R483" s="313"/>
    </row>
    <row r="484">
      <c r="A484" s="151"/>
      <c r="B484" s="151"/>
      <c r="M484" s="312"/>
      <c r="N484" s="313"/>
      <c r="O484" s="313"/>
      <c r="P484" s="313"/>
      <c r="Q484" s="313"/>
      <c r="R484" s="313"/>
    </row>
    <row r="485">
      <c r="A485" s="151"/>
      <c r="B485" s="151"/>
      <c r="M485" s="312"/>
      <c r="N485" s="313"/>
      <c r="O485" s="313"/>
      <c r="P485" s="313"/>
      <c r="Q485" s="313"/>
      <c r="R485" s="313"/>
    </row>
    <row r="486">
      <c r="A486" s="151"/>
      <c r="B486" s="151"/>
      <c r="M486" s="312"/>
      <c r="N486" s="313"/>
      <c r="O486" s="313"/>
      <c r="P486" s="313"/>
      <c r="Q486" s="313"/>
      <c r="R486" s="313"/>
    </row>
    <row r="487">
      <c r="A487" s="151"/>
      <c r="B487" s="151"/>
      <c r="M487" s="312"/>
      <c r="N487" s="313"/>
      <c r="O487" s="313"/>
      <c r="P487" s="313"/>
      <c r="Q487" s="313"/>
      <c r="R487" s="313"/>
    </row>
    <row r="488">
      <c r="A488" s="151"/>
      <c r="B488" s="151"/>
      <c r="M488" s="312"/>
      <c r="N488" s="313"/>
      <c r="O488" s="313"/>
      <c r="P488" s="313"/>
      <c r="Q488" s="313"/>
      <c r="R488" s="313"/>
    </row>
    <row r="489">
      <c r="A489" s="151"/>
      <c r="B489" s="151"/>
      <c r="M489" s="312"/>
      <c r="N489" s="313"/>
      <c r="O489" s="313"/>
      <c r="P489" s="313"/>
      <c r="Q489" s="313"/>
      <c r="R489" s="313"/>
    </row>
    <row r="490">
      <c r="A490" s="151"/>
      <c r="B490" s="151"/>
      <c r="M490" s="312"/>
      <c r="N490" s="313"/>
      <c r="O490" s="313"/>
      <c r="P490" s="313"/>
      <c r="Q490" s="313"/>
      <c r="R490" s="313"/>
    </row>
    <row r="491">
      <c r="A491" s="151"/>
      <c r="B491" s="151"/>
      <c r="M491" s="312"/>
      <c r="N491" s="313"/>
      <c r="O491" s="313"/>
      <c r="P491" s="313"/>
      <c r="Q491" s="313"/>
      <c r="R491" s="313"/>
    </row>
    <row r="492">
      <c r="A492" s="151"/>
      <c r="B492" s="151"/>
      <c r="M492" s="312"/>
      <c r="N492" s="313"/>
      <c r="O492" s="313"/>
      <c r="P492" s="313"/>
      <c r="Q492" s="313"/>
      <c r="R492" s="313"/>
    </row>
    <row r="493">
      <c r="A493" s="151"/>
      <c r="B493" s="151"/>
      <c r="M493" s="312"/>
      <c r="N493" s="313"/>
      <c r="O493" s="313"/>
      <c r="P493" s="313"/>
      <c r="Q493" s="313"/>
      <c r="R493" s="313"/>
    </row>
    <row r="494">
      <c r="A494" s="151"/>
      <c r="B494" s="151"/>
      <c r="M494" s="312"/>
      <c r="N494" s="313"/>
      <c r="O494" s="313"/>
      <c r="P494" s="313"/>
      <c r="Q494" s="313"/>
      <c r="R494" s="313"/>
    </row>
    <row r="495">
      <c r="A495" s="151"/>
      <c r="B495" s="151"/>
      <c r="M495" s="312"/>
      <c r="N495" s="313"/>
      <c r="O495" s="313"/>
      <c r="P495" s="313"/>
      <c r="Q495" s="313"/>
      <c r="R495" s="313"/>
    </row>
    <row r="496">
      <c r="A496" s="151"/>
      <c r="B496" s="151"/>
      <c r="M496" s="312"/>
      <c r="N496" s="313"/>
      <c r="O496" s="313"/>
      <c r="P496" s="313"/>
      <c r="Q496" s="313"/>
      <c r="R496" s="313"/>
    </row>
    <row r="497">
      <c r="A497" s="151"/>
      <c r="B497" s="151"/>
      <c r="M497" s="312"/>
      <c r="N497" s="313"/>
      <c r="O497" s="313"/>
      <c r="P497" s="313"/>
      <c r="Q497" s="313"/>
      <c r="R497" s="313"/>
    </row>
    <row r="498">
      <c r="A498" s="151"/>
      <c r="B498" s="151"/>
      <c r="M498" s="312"/>
      <c r="N498" s="313"/>
      <c r="O498" s="313"/>
      <c r="P498" s="313"/>
      <c r="Q498" s="313"/>
      <c r="R498" s="313"/>
    </row>
    <row r="499">
      <c r="A499" s="151"/>
      <c r="B499" s="151"/>
      <c r="M499" s="312"/>
      <c r="N499" s="313"/>
      <c r="O499" s="313"/>
      <c r="P499" s="313"/>
      <c r="Q499" s="313"/>
      <c r="R499" s="313"/>
    </row>
    <row r="500">
      <c r="A500" s="151"/>
      <c r="B500" s="151"/>
      <c r="M500" s="312"/>
      <c r="N500" s="313"/>
      <c r="O500" s="313"/>
      <c r="P500" s="313"/>
      <c r="Q500" s="313"/>
      <c r="R500" s="313"/>
    </row>
    <row r="501">
      <c r="A501" s="151"/>
      <c r="B501" s="151"/>
      <c r="M501" s="312"/>
      <c r="N501" s="313"/>
      <c r="O501" s="313"/>
      <c r="P501" s="313"/>
      <c r="Q501" s="313"/>
      <c r="R501" s="313"/>
    </row>
    <row r="502">
      <c r="A502" s="151"/>
      <c r="B502" s="151"/>
      <c r="M502" s="312"/>
      <c r="N502" s="313"/>
      <c r="O502" s="313"/>
      <c r="P502" s="313"/>
      <c r="Q502" s="313"/>
      <c r="R502" s="313"/>
    </row>
    <row r="503">
      <c r="A503" s="151"/>
      <c r="B503" s="151"/>
      <c r="M503" s="312"/>
      <c r="N503" s="313"/>
      <c r="O503" s="313"/>
      <c r="P503" s="313"/>
      <c r="Q503" s="313"/>
      <c r="R503" s="313"/>
    </row>
    <row r="504">
      <c r="A504" s="151"/>
      <c r="B504" s="151"/>
      <c r="M504" s="312"/>
      <c r="N504" s="313"/>
      <c r="O504" s="313"/>
      <c r="P504" s="313"/>
      <c r="Q504" s="313"/>
      <c r="R504" s="313"/>
    </row>
    <row r="505">
      <c r="A505" s="151"/>
      <c r="B505" s="151"/>
      <c r="M505" s="312"/>
      <c r="N505" s="313"/>
      <c r="O505" s="313"/>
      <c r="P505" s="313"/>
      <c r="Q505" s="313"/>
      <c r="R505" s="313"/>
    </row>
    <row r="506">
      <c r="A506" s="151"/>
      <c r="B506" s="151"/>
      <c r="M506" s="312"/>
      <c r="N506" s="313"/>
      <c r="O506" s="313"/>
      <c r="P506" s="313"/>
      <c r="Q506" s="313"/>
      <c r="R506" s="313"/>
    </row>
    <row r="507">
      <c r="A507" s="151"/>
      <c r="B507" s="151"/>
      <c r="M507" s="312"/>
      <c r="N507" s="313"/>
      <c r="O507" s="313"/>
      <c r="P507" s="313"/>
      <c r="Q507" s="313"/>
      <c r="R507" s="313"/>
    </row>
    <row r="508">
      <c r="A508" s="151"/>
      <c r="B508" s="151"/>
      <c r="M508" s="312"/>
      <c r="N508" s="313"/>
      <c r="O508" s="313"/>
      <c r="P508" s="313"/>
      <c r="Q508" s="313"/>
      <c r="R508" s="313"/>
    </row>
    <row r="509">
      <c r="A509" s="151"/>
      <c r="B509" s="151"/>
      <c r="M509" s="312"/>
      <c r="N509" s="313"/>
      <c r="O509" s="313"/>
      <c r="P509" s="313"/>
      <c r="Q509" s="313"/>
      <c r="R509" s="313"/>
    </row>
    <row r="510">
      <c r="A510" s="151"/>
      <c r="B510" s="151"/>
      <c r="M510" s="312"/>
      <c r="N510" s="313"/>
      <c r="O510" s="313"/>
      <c r="P510" s="313"/>
      <c r="Q510" s="313"/>
      <c r="R510" s="313"/>
    </row>
    <row r="511">
      <c r="A511" s="151"/>
      <c r="B511" s="151"/>
      <c r="M511" s="312"/>
      <c r="N511" s="313"/>
      <c r="O511" s="313"/>
      <c r="P511" s="313"/>
      <c r="Q511" s="313"/>
      <c r="R511" s="313"/>
    </row>
    <row r="512">
      <c r="A512" s="151"/>
      <c r="B512" s="151"/>
      <c r="M512" s="312"/>
      <c r="N512" s="313"/>
      <c r="O512" s="313"/>
      <c r="P512" s="313"/>
      <c r="Q512" s="313"/>
      <c r="R512" s="313"/>
    </row>
    <row r="513">
      <c r="A513" s="151"/>
      <c r="B513" s="151"/>
      <c r="M513" s="312"/>
      <c r="N513" s="313"/>
      <c r="O513" s="313"/>
      <c r="P513" s="313"/>
      <c r="Q513" s="313"/>
      <c r="R513" s="313"/>
    </row>
    <row r="514">
      <c r="A514" s="151"/>
      <c r="B514" s="151"/>
      <c r="M514" s="312"/>
      <c r="N514" s="313"/>
      <c r="O514" s="313"/>
      <c r="P514" s="313"/>
      <c r="Q514" s="313"/>
      <c r="R514" s="313"/>
    </row>
    <row r="515">
      <c r="A515" s="151"/>
      <c r="B515" s="151"/>
      <c r="M515" s="312"/>
      <c r="N515" s="313"/>
      <c r="O515" s="313"/>
      <c r="P515" s="313"/>
      <c r="Q515" s="313"/>
      <c r="R515" s="313"/>
    </row>
    <row r="516">
      <c r="A516" s="151"/>
      <c r="B516" s="151"/>
      <c r="M516" s="312"/>
      <c r="N516" s="313"/>
      <c r="O516" s="313"/>
      <c r="P516" s="313"/>
      <c r="Q516" s="313"/>
      <c r="R516" s="313"/>
    </row>
    <row r="517">
      <c r="A517" s="151"/>
      <c r="B517" s="151"/>
      <c r="M517" s="312"/>
      <c r="N517" s="313"/>
      <c r="O517" s="313"/>
      <c r="P517" s="313"/>
      <c r="Q517" s="313"/>
      <c r="R517" s="313"/>
    </row>
    <row r="518">
      <c r="A518" s="151"/>
      <c r="B518" s="151"/>
      <c r="M518" s="312"/>
      <c r="N518" s="313"/>
      <c r="O518" s="313"/>
      <c r="P518" s="313"/>
      <c r="Q518" s="313"/>
      <c r="R518" s="313"/>
    </row>
    <row r="519">
      <c r="A519" s="151"/>
      <c r="B519" s="151"/>
      <c r="M519" s="312"/>
      <c r="N519" s="313"/>
      <c r="O519" s="313"/>
      <c r="P519" s="313"/>
      <c r="Q519" s="313"/>
      <c r="R519" s="313"/>
    </row>
    <row r="520">
      <c r="A520" s="151"/>
      <c r="B520" s="151"/>
      <c r="M520" s="312"/>
      <c r="N520" s="313"/>
      <c r="O520" s="313"/>
      <c r="P520" s="313"/>
      <c r="Q520" s="313"/>
      <c r="R520" s="313"/>
    </row>
    <row r="521">
      <c r="A521" s="151"/>
      <c r="B521" s="151"/>
      <c r="M521" s="312"/>
      <c r="N521" s="313"/>
      <c r="O521" s="313"/>
      <c r="P521" s="313"/>
      <c r="Q521" s="313"/>
      <c r="R521" s="313"/>
    </row>
    <row r="522">
      <c r="A522" s="151"/>
      <c r="B522" s="151"/>
      <c r="M522" s="312"/>
      <c r="N522" s="313"/>
      <c r="O522" s="313"/>
      <c r="P522" s="313"/>
      <c r="Q522" s="313"/>
      <c r="R522" s="313"/>
    </row>
    <row r="523">
      <c r="A523" s="151"/>
      <c r="B523" s="151"/>
      <c r="M523" s="312"/>
      <c r="N523" s="313"/>
      <c r="O523" s="313"/>
      <c r="P523" s="313"/>
      <c r="Q523" s="313"/>
      <c r="R523" s="313"/>
    </row>
    <row r="524">
      <c r="A524" s="151"/>
      <c r="B524" s="151"/>
      <c r="M524" s="312"/>
      <c r="N524" s="313"/>
      <c r="O524" s="313"/>
      <c r="P524" s="313"/>
      <c r="Q524" s="313"/>
      <c r="R524" s="313"/>
    </row>
    <row r="525">
      <c r="A525" s="151"/>
      <c r="B525" s="151"/>
      <c r="M525" s="312"/>
      <c r="N525" s="313"/>
      <c r="O525" s="313"/>
      <c r="P525" s="313"/>
      <c r="Q525" s="313"/>
      <c r="R525" s="313"/>
    </row>
    <row r="526">
      <c r="A526" s="151"/>
      <c r="B526" s="151"/>
      <c r="M526" s="312"/>
      <c r="N526" s="313"/>
      <c r="O526" s="313"/>
      <c r="P526" s="313"/>
      <c r="Q526" s="313"/>
      <c r="R526" s="313"/>
    </row>
    <row r="527">
      <c r="A527" s="151"/>
      <c r="B527" s="151"/>
      <c r="M527" s="312"/>
      <c r="N527" s="313"/>
      <c r="O527" s="313"/>
      <c r="P527" s="313"/>
      <c r="Q527" s="313"/>
      <c r="R527" s="313"/>
    </row>
    <row r="528">
      <c r="A528" s="151"/>
      <c r="B528" s="151"/>
      <c r="M528" s="312"/>
      <c r="N528" s="313"/>
      <c r="O528" s="313"/>
      <c r="P528" s="313"/>
      <c r="Q528" s="313"/>
      <c r="R528" s="313"/>
    </row>
    <row r="529">
      <c r="A529" s="151"/>
      <c r="B529" s="151"/>
      <c r="M529" s="312"/>
      <c r="N529" s="313"/>
      <c r="O529" s="313"/>
      <c r="P529" s="313"/>
      <c r="Q529" s="313"/>
      <c r="R529" s="313"/>
    </row>
    <row r="530">
      <c r="A530" s="151"/>
      <c r="B530" s="151"/>
      <c r="M530" s="312"/>
      <c r="N530" s="313"/>
      <c r="O530" s="313"/>
      <c r="P530" s="313"/>
      <c r="Q530" s="313"/>
      <c r="R530" s="313"/>
    </row>
    <row r="531">
      <c r="A531" s="151"/>
      <c r="B531" s="151"/>
      <c r="M531" s="312"/>
      <c r="N531" s="313"/>
      <c r="O531" s="313"/>
      <c r="P531" s="313"/>
      <c r="Q531" s="313"/>
      <c r="R531" s="313"/>
    </row>
    <row r="532">
      <c r="A532" s="151"/>
      <c r="B532" s="151"/>
      <c r="M532" s="312"/>
      <c r="N532" s="313"/>
      <c r="O532" s="313"/>
      <c r="P532" s="313"/>
      <c r="Q532" s="313"/>
      <c r="R532" s="313"/>
    </row>
    <row r="533">
      <c r="A533" s="151"/>
      <c r="B533" s="151"/>
      <c r="M533" s="312"/>
      <c r="N533" s="313"/>
      <c r="O533" s="313"/>
      <c r="P533" s="313"/>
      <c r="Q533" s="313"/>
      <c r="R533" s="313"/>
    </row>
    <row r="534">
      <c r="A534" s="151"/>
      <c r="B534" s="151"/>
      <c r="M534" s="312"/>
      <c r="N534" s="313"/>
      <c r="O534" s="313"/>
      <c r="P534" s="313"/>
      <c r="Q534" s="313"/>
      <c r="R534" s="313"/>
    </row>
    <row r="535">
      <c r="A535" s="151"/>
      <c r="B535" s="151"/>
      <c r="M535" s="312"/>
      <c r="N535" s="313"/>
      <c r="O535" s="313"/>
      <c r="P535" s="313"/>
      <c r="Q535" s="313"/>
      <c r="R535" s="313"/>
    </row>
    <row r="536">
      <c r="A536" s="151"/>
      <c r="B536" s="151"/>
      <c r="M536" s="312"/>
      <c r="N536" s="313"/>
      <c r="O536" s="313"/>
      <c r="P536" s="313"/>
      <c r="Q536" s="313"/>
      <c r="R536" s="313"/>
    </row>
    <row r="537">
      <c r="A537" s="151"/>
      <c r="B537" s="151"/>
      <c r="M537" s="312"/>
      <c r="N537" s="313"/>
      <c r="O537" s="313"/>
      <c r="P537" s="313"/>
      <c r="Q537" s="313"/>
      <c r="R537" s="313"/>
    </row>
    <row r="538">
      <c r="A538" s="151"/>
      <c r="B538" s="151"/>
      <c r="M538" s="312"/>
      <c r="N538" s="313"/>
      <c r="O538" s="313"/>
      <c r="P538" s="313"/>
      <c r="Q538" s="313"/>
      <c r="R538" s="313"/>
    </row>
    <row r="539">
      <c r="A539" s="151"/>
      <c r="B539" s="151"/>
      <c r="M539" s="312"/>
      <c r="N539" s="313"/>
      <c r="O539" s="313"/>
      <c r="P539" s="313"/>
      <c r="Q539" s="313"/>
      <c r="R539" s="313"/>
    </row>
    <row r="540">
      <c r="A540" s="151"/>
      <c r="B540" s="151"/>
      <c r="M540" s="312"/>
      <c r="N540" s="313"/>
      <c r="O540" s="313"/>
      <c r="P540" s="313"/>
      <c r="Q540" s="313"/>
      <c r="R540" s="313"/>
    </row>
    <row r="541">
      <c r="A541" s="151"/>
      <c r="B541" s="151"/>
      <c r="M541" s="312"/>
      <c r="N541" s="313"/>
      <c r="O541" s="313"/>
      <c r="P541" s="313"/>
      <c r="Q541" s="313"/>
      <c r="R541" s="313"/>
    </row>
    <row r="542">
      <c r="A542" s="151"/>
      <c r="B542" s="151"/>
      <c r="M542" s="312"/>
      <c r="N542" s="313"/>
      <c r="O542" s="313"/>
      <c r="P542" s="313"/>
      <c r="Q542" s="313"/>
      <c r="R542" s="313"/>
    </row>
    <row r="543">
      <c r="A543" s="151"/>
      <c r="B543" s="151"/>
      <c r="M543" s="312"/>
      <c r="N543" s="313"/>
      <c r="O543" s="313"/>
      <c r="P543" s="313"/>
      <c r="Q543" s="313"/>
      <c r="R543" s="313"/>
    </row>
    <row r="544">
      <c r="A544" s="151"/>
      <c r="B544" s="151"/>
      <c r="M544" s="312"/>
      <c r="N544" s="313"/>
      <c r="O544" s="313"/>
      <c r="P544" s="313"/>
      <c r="Q544" s="313"/>
      <c r="R544" s="313"/>
    </row>
    <row r="545">
      <c r="A545" s="151"/>
      <c r="B545" s="151"/>
      <c r="M545" s="312"/>
      <c r="N545" s="313"/>
      <c r="O545" s="313"/>
      <c r="P545" s="313"/>
      <c r="Q545" s="313"/>
      <c r="R545" s="313"/>
    </row>
    <row r="546">
      <c r="A546" s="151"/>
      <c r="B546" s="151"/>
      <c r="M546" s="312"/>
      <c r="N546" s="313"/>
      <c r="O546" s="313"/>
      <c r="P546" s="313"/>
      <c r="Q546" s="313"/>
      <c r="R546" s="313"/>
    </row>
    <row r="547">
      <c r="A547" s="151"/>
      <c r="B547" s="151"/>
      <c r="M547" s="312"/>
      <c r="N547" s="313"/>
      <c r="O547" s="313"/>
      <c r="P547" s="313"/>
      <c r="Q547" s="313"/>
      <c r="R547" s="313"/>
    </row>
    <row r="548">
      <c r="A548" s="151"/>
      <c r="B548" s="151"/>
      <c r="M548" s="312"/>
      <c r="N548" s="313"/>
      <c r="O548" s="313"/>
      <c r="P548" s="313"/>
      <c r="Q548" s="313"/>
      <c r="R548" s="313"/>
    </row>
    <row r="549">
      <c r="A549" s="151"/>
      <c r="B549" s="151"/>
      <c r="M549" s="312"/>
      <c r="N549" s="313"/>
      <c r="O549" s="313"/>
      <c r="P549" s="313"/>
      <c r="Q549" s="313"/>
      <c r="R549" s="313"/>
    </row>
    <row r="550">
      <c r="A550" s="151"/>
      <c r="B550" s="151"/>
      <c r="M550" s="312"/>
      <c r="N550" s="313"/>
      <c r="O550" s="313"/>
      <c r="P550" s="313"/>
      <c r="Q550" s="313"/>
      <c r="R550" s="313"/>
    </row>
    <row r="551">
      <c r="A551" s="151"/>
      <c r="B551" s="151"/>
      <c r="M551" s="312"/>
      <c r="N551" s="313"/>
      <c r="O551" s="313"/>
      <c r="P551" s="313"/>
      <c r="Q551" s="313"/>
      <c r="R551" s="313"/>
    </row>
    <row r="552">
      <c r="A552" s="151"/>
      <c r="B552" s="151"/>
      <c r="M552" s="312"/>
      <c r="N552" s="313"/>
      <c r="O552" s="313"/>
      <c r="P552" s="313"/>
      <c r="Q552" s="313"/>
      <c r="R552" s="313"/>
    </row>
    <row r="553">
      <c r="A553" s="151"/>
      <c r="B553" s="151"/>
      <c r="M553" s="312"/>
      <c r="N553" s="313"/>
      <c r="O553" s="313"/>
      <c r="P553" s="313"/>
      <c r="Q553" s="313"/>
      <c r="R553" s="313"/>
    </row>
    <row r="554">
      <c r="A554" s="151"/>
      <c r="B554" s="151"/>
      <c r="M554" s="312"/>
      <c r="N554" s="313"/>
      <c r="O554" s="313"/>
      <c r="P554" s="313"/>
      <c r="Q554" s="313"/>
      <c r="R554" s="313"/>
    </row>
    <row r="555">
      <c r="A555" s="151"/>
      <c r="B555" s="151"/>
      <c r="M555" s="312"/>
      <c r="N555" s="313"/>
      <c r="O555" s="313"/>
      <c r="P555" s="313"/>
      <c r="Q555" s="313"/>
      <c r="R555" s="313"/>
    </row>
    <row r="556">
      <c r="A556" s="151"/>
      <c r="B556" s="151"/>
      <c r="M556" s="312"/>
      <c r="N556" s="313"/>
      <c r="O556" s="313"/>
      <c r="P556" s="313"/>
      <c r="Q556" s="313"/>
      <c r="R556" s="313"/>
    </row>
    <row r="557">
      <c r="A557" s="151"/>
      <c r="B557" s="151"/>
      <c r="M557" s="312"/>
      <c r="N557" s="313"/>
      <c r="O557" s="313"/>
      <c r="P557" s="313"/>
      <c r="Q557" s="313"/>
      <c r="R557" s="313"/>
    </row>
    <row r="558">
      <c r="A558" s="151"/>
      <c r="B558" s="151"/>
      <c r="M558" s="312"/>
      <c r="N558" s="313"/>
      <c r="O558" s="313"/>
      <c r="P558" s="313"/>
      <c r="Q558" s="313"/>
      <c r="R558" s="313"/>
    </row>
    <row r="559">
      <c r="A559" s="151"/>
      <c r="B559" s="151"/>
      <c r="M559" s="312"/>
      <c r="N559" s="313"/>
      <c r="O559" s="313"/>
      <c r="P559" s="313"/>
      <c r="Q559" s="313"/>
      <c r="R559" s="313"/>
    </row>
    <row r="560">
      <c r="A560" s="151"/>
      <c r="B560" s="151"/>
      <c r="M560" s="312"/>
      <c r="N560" s="313"/>
      <c r="O560" s="313"/>
      <c r="P560" s="313"/>
      <c r="Q560" s="313"/>
      <c r="R560" s="313"/>
    </row>
    <row r="561">
      <c r="A561" s="151"/>
      <c r="B561" s="151"/>
      <c r="M561" s="312"/>
      <c r="N561" s="313"/>
      <c r="O561" s="313"/>
      <c r="P561" s="313"/>
      <c r="Q561" s="313"/>
      <c r="R561" s="313"/>
    </row>
    <row r="562">
      <c r="A562" s="151"/>
      <c r="B562" s="151"/>
      <c r="M562" s="312"/>
      <c r="N562" s="313"/>
      <c r="O562" s="313"/>
      <c r="P562" s="313"/>
      <c r="Q562" s="313"/>
      <c r="R562" s="313"/>
    </row>
    <row r="563">
      <c r="A563" s="151"/>
      <c r="B563" s="151"/>
      <c r="M563" s="312"/>
      <c r="N563" s="313"/>
      <c r="O563" s="313"/>
      <c r="P563" s="313"/>
      <c r="Q563" s="313"/>
      <c r="R563" s="313"/>
    </row>
    <row r="564">
      <c r="A564" s="151"/>
      <c r="B564" s="151"/>
      <c r="M564" s="312"/>
      <c r="N564" s="313"/>
      <c r="O564" s="313"/>
      <c r="P564" s="313"/>
      <c r="Q564" s="313"/>
      <c r="R564" s="313"/>
    </row>
    <row r="565">
      <c r="A565" s="151"/>
      <c r="B565" s="151"/>
      <c r="M565" s="312"/>
      <c r="N565" s="313"/>
      <c r="O565" s="313"/>
      <c r="P565" s="313"/>
      <c r="Q565" s="313"/>
      <c r="R565" s="313"/>
    </row>
    <row r="566">
      <c r="A566" s="151"/>
      <c r="B566" s="151"/>
      <c r="M566" s="312"/>
      <c r="N566" s="313"/>
      <c r="O566" s="313"/>
      <c r="P566" s="313"/>
      <c r="Q566" s="313"/>
      <c r="R566" s="313"/>
    </row>
    <row r="567">
      <c r="A567" s="151"/>
      <c r="B567" s="151"/>
      <c r="M567" s="312"/>
      <c r="N567" s="313"/>
      <c r="O567" s="313"/>
      <c r="P567" s="313"/>
      <c r="Q567" s="313"/>
      <c r="R567" s="313"/>
    </row>
    <row r="568">
      <c r="A568" s="151"/>
      <c r="B568" s="151"/>
      <c r="M568" s="312"/>
      <c r="N568" s="313"/>
      <c r="O568" s="313"/>
      <c r="P568" s="313"/>
      <c r="Q568" s="313"/>
      <c r="R568" s="313"/>
    </row>
    <row r="569">
      <c r="A569" s="151"/>
      <c r="B569" s="151"/>
      <c r="M569" s="312"/>
      <c r="N569" s="313"/>
      <c r="O569" s="313"/>
      <c r="P569" s="313"/>
      <c r="Q569" s="313"/>
      <c r="R569" s="313"/>
    </row>
    <row r="570">
      <c r="A570" s="151"/>
      <c r="B570" s="151"/>
      <c r="M570" s="312"/>
      <c r="N570" s="313"/>
      <c r="O570" s="313"/>
      <c r="P570" s="313"/>
      <c r="Q570" s="313"/>
      <c r="R570" s="313"/>
    </row>
    <row r="571">
      <c r="A571" s="151"/>
      <c r="B571" s="151"/>
      <c r="M571" s="312"/>
      <c r="N571" s="313"/>
      <c r="O571" s="313"/>
      <c r="P571" s="313"/>
      <c r="Q571" s="313"/>
      <c r="R571" s="313"/>
    </row>
    <row r="572">
      <c r="A572" s="151"/>
      <c r="B572" s="151"/>
      <c r="M572" s="312"/>
      <c r="N572" s="313"/>
      <c r="O572" s="313"/>
      <c r="P572" s="313"/>
      <c r="Q572" s="313"/>
      <c r="R572" s="313"/>
    </row>
    <row r="573">
      <c r="A573" s="151"/>
      <c r="B573" s="151"/>
      <c r="M573" s="312"/>
      <c r="N573" s="313"/>
      <c r="O573" s="313"/>
      <c r="P573" s="313"/>
      <c r="Q573" s="313"/>
      <c r="R573" s="313"/>
    </row>
    <row r="574">
      <c r="A574" s="151"/>
      <c r="B574" s="151"/>
      <c r="M574" s="312"/>
      <c r="N574" s="313"/>
      <c r="O574" s="313"/>
      <c r="P574" s="313"/>
      <c r="Q574" s="313"/>
      <c r="R574" s="313"/>
    </row>
    <row r="575">
      <c r="A575" s="151"/>
      <c r="B575" s="151"/>
      <c r="M575" s="312"/>
      <c r="N575" s="313"/>
      <c r="O575" s="313"/>
      <c r="P575" s="313"/>
      <c r="Q575" s="313"/>
      <c r="R575" s="313"/>
    </row>
    <row r="576">
      <c r="A576" s="151"/>
      <c r="B576" s="151"/>
      <c r="M576" s="312"/>
      <c r="N576" s="313"/>
      <c r="O576" s="313"/>
      <c r="P576" s="313"/>
      <c r="Q576" s="313"/>
      <c r="R576" s="313"/>
    </row>
    <row r="577">
      <c r="A577" s="151"/>
      <c r="B577" s="151"/>
      <c r="M577" s="312"/>
      <c r="N577" s="313"/>
      <c r="O577" s="313"/>
      <c r="P577" s="313"/>
      <c r="Q577" s="313"/>
      <c r="R577" s="313"/>
    </row>
    <row r="578">
      <c r="A578" s="151"/>
      <c r="B578" s="151"/>
      <c r="M578" s="312"/>
      <c r="N578" s="313"/>
      <c r="O578" s="313"/>
      <c r="P578" s="313"/>
      <c r="Q578" s="313"/>
      <c r="R578" s="313"/>
    </row>
    <row r="579">
      <c r="A579" s="151"/>
      <c r="B579" s="151"/>
      <c r="M579" s="312"/>
      <c r="N579" s="313"/>
      <c r="O579" s="313"/>
      <c r="P579" s="313"/>
      <c r="Q579" s="313"/>
      <c r="R579" s="313"/>
    </row>
    <row r="580">
      <c r="A580" s="151"/>
      <c r="B580" s="151"/>
      <c r="M580" s="312"/>
      <c r="N580" s="313"/>
      <c r="O580" s="313"/>
      <c r="P580" s="313"/>
      <c r="Q580" s="313"/>
      <c r="R580" s="313"/>
    </row>
    <row r="581">
      <c r="A581" s="151"/>
      <c r="B581" s="151"/>
      <c r="M581" s="312"/>
      <c r="N581" s="313"/>
      <c r="O581" s="313"/>
      <c r="P581" s="313"/>
      <c r="Q581" s="313"/>
      <c r="R581" s="313"/>
    </row>
    <row r="582">
      <c r="A582" s="151"/>
      <c r="B582" s="151"/>
      <c r="M582" s="312"/>
      <c r="N582" s="313"/>
      <c r="O582" s="313"/>
      <c r="P582" s="313"/>
      <c r="Q582" s="313"/>
      <c r="R582" s="313"/>
    </row>
    <row r="583">
      <c r="A583" s="151"/>
      <c r="B583" s="151"/>
      <c r="M583" s="312"/>
      <c r="N583" s="313"/>
      <c r="O583" s="313"/>
      <c r="P583" s="313"/>
      <c r="Q583" s="313"/>
      <c r="R583" s="313"/>
    </row>
    <row r="584">
      <c r="A584" s="151"/>
      <c r="B584" s="151"/>
      <c r="M584" s="312"/>
      <c r="N584" s="313"/>
      <c r="O584" s="313"/>
      <c r="P584" s="313"/>
      <c r="Q584" s="313"/>
      <c r="R584" s="313"/>
    </row>
    <row r="585">
      <c r="A585" s="151"/>
      <c r="B585" s="151"/>
      <c r="M585" s="312"/>
      <c r="N585" s="313"/>
      <c r="O585" s="313"/>
      <c r="P585" s="313"/>
      <c r="Q585" s="313"/>
      <c r="R585" s="313"/>
    </row>
    <row r="586">
      <c r="A586" s="151"/>
      <c r="B586" s="151"/>
      <c r="M586" s="312"/>
      <c r="N586" s="313"/>
      <c r="O586" s="313"/>
      <c r="P586" s="313"/>
      <c r="Q586" s="313"/>
      <c r="R586" s="313"/>
    </row>
    <row r="587">
      <c r="A587" s="151"/>
      <c r="B587" s="151"/>
      <c r="M587" s="312"/>
      <c r="N587" s="313"/>
      <c r="O587" s="313"/>
      <c r="P587" s="313"/>
      <c r="Q587" s="313"/>
      <c r="R587" s="313"/>
    </row>
    <row r="588">
      <c r="A588" s="151"/>
      <c r="B588" s="151"/>
      <c r="M588" s="312"/>
      <c r="N588" s="313"/>
      <c r="O588" s="313"/>
      <c r="P588" s="313"/>
      <c r="Q588" s="313"/>
      <c r="R588" s="313"/>
    </row>
    <row r="589">
      <c r="A589" s="151"/>
      <c r="B589" s="151"/>
      <c r="M589" s="312"/>
      <c r="N589" s="313"/>
      <c r="O589" s="313"/>
      <c r="P589" s="313"/>
      <c r="Q589" s="313"/>
      <c r="R589" s="313"/>
    </row>
    <row r="590">
      <c r="A590" s="151"/>
      <c r="B590" s="151"/>
      <c r="M590" s="312"/>
      <c r="N590" s="313"/>
      <c r="O590" s="313"/>
      <c r="P590" s="313"/>
      <c r="Q590" s="313"/>
      <c r="R590" s="313"/>
    </row>
    <row r="591">
      <c r="A591" s="151"/>
      <c r="B591" s="151"/>
      <c r="M591" s="312"/>
      <c r="N591" s="313"/>
      <c r="O591" s="313"/>
      <c r="P591" s="313"/>
      <c r="Q591" s="313"/>
      <c r="R591" s="313"/>
    </row>
    <row r="592">
      <c r="A592" s="151"/>
      <c r="B592" s="151"/>
      <c r="M592" s="312"/>
      <c r="N592" s="313"/>
      <c r="O592" s="313"/>
      <c r="P592" s="313"/>
      <c r="Q592" s="313"/>
      <c r="R592" s="313"/>
    </row>
    <row r="593">
      <c r="A593" s="151"/>
      <c r="B593" s="151"/>
      <c r="M593" s="312"/>
      <c r="N593" s="313"/>
      <c r="O593" s="313"/>
      <c r="P593" s="313"/>
      <c r="Q593" s="313"/>
      <c r="R593" s="313"/>
    </row>
    <row r="594">
      <c r="A594" s="151"/>
      <c r="B594" s="151"/>
      <c r="M594" s="312"/>
      <c r="N594" s="313"/>
      <c r="O594" s="313"/>
      <c r="P594" s="313"/>
      <c r="Q594" s="313"/>
      <c r="R594" s="313"/>
    </row>
    <row r="595">
      <c r="A595" s="151"/>
      <c r="B595" s="151"/>
      <c r="M595" s="312"/>
      <c r="N595" s="313"/>
      <c r="O595" s="313"/>
      <c r="P595" s="313"/>
      <c r="Q595" s="313"/>
      <c r="R595" s="313"/>
    </row>
    <row r="596">
      <c r="A596" s="151"/>
      <c r="B596" s="151"/>
      <c r="M596" s="312"/>
      <c r="N596" s="313"/>
      <c r="O596" s="313"/>
      <c r="P596" s="313"/>
      <c r="Q596" s="313"/>
      <c r="R596" s="313"/>
    </row>
    <row r="597">
      <c r="A597" s="151"/>
      <c r="B597" s="151"/>
      <c r="M597" s="312"/>
      <c r="N597" s="313"/>
      <c r="O597" s="313"/>
      <c r="P597" s="313"/>
      <c r="Q597" s="313"/>
      <c r="R597" s="313"/>
    </row>
    <row r="598">
      <c r="A598" s="151"/>
      <c r="B598" s="151"/>
      <c r="M598" s="312"/>
      <c r="N598" s="313"/>
      <c r="O598" s="313"/>
      <c r="P598" s="313"/>
      <c r="Q598" s="313"/>
      <c r="R598" s="313"/>
    </row>
    <row r="599">
      <c r="A599" s="151"/>
      <c r="B599" s="151"/>
      <c r="M599" s="312"/>
      <c r="N599" s="313"/>
      <c r="O599" s="313"/>
      <c r="P599" s="313"/>
      <c r="Q599" s="313"/>
      <c r="R599" s="313"/>
    </row>
    <row r="600">
      <c r="A600" s="151"/>
      <c r="B600" s="151"/>
      <c r="M600" s="312"/>
      <c r="N600" s="313"/>
      <c r="O600" s="313"/>
      <c r="P600" s="313"/>
      <c r="Q600" s="313"/>
      <c r="R600" s="313"/>
    </row>
    <row r="601">
      <c r="A601" s="151"/>
      <c r="B601" s="151"/>
      <c r="M601" s="312"/>
      <c r="N601" s="313"/>
      <c r="O601" s="313"/>
      <c r="P601" s="313"/>
      <c r="Q601" s="313"/>
      <c r="R601" s="313"/>
    </row>
    <row r="602">
      <c r="A602" s="151"/>
      <c r="B602" s="151"/>
      <c r="M602" s="312"/>
      <c r="N602" s="313"/>
      <c r="O602" s="313"/>
      <c r="P602" s="313"/>
      <c r="Q602" s="313"/>
      <c r="R602" s="313"/>
    </row>
    <row r="603">
      <c r="A603" s="151"/>
      <c r="B603" s="151"/>
      <c r="M603" s="312"/>
      <c r="N603" s="313"/>
      <c r="O603" s="313"/>
      <c r="P603" s="313"/>
      <c r="Q603" s="313"/>
      <c r="R603" s="313"/>
    </row>
    <row r="604">
      <c r="A604" s="151"/>
      <c r="B604" s="151"/>
      <c r="M604" s="312"/>
      <c r="N604" s="313"/>
      <c r="O604" s="313"/>
      <c r="P604" s="313"/>
      <c r="Q604" s="313"/>
      <c r="R604" s="313"/>
    </row>
    <row r="605">
      <c r="A605" s="151"/>
      <c r="B605" s="151"/>
      <c r="M605" s="312"/>
      <c r="N605" s="313"/>
      <c r="O605" s="313"/>
      <c r="P605" s="313"/>
      <c r="Q605" s="313"/>
      <c r="R605" s="313"/>
    </row>
    <row r="606">
      <c r="A606" s="151"/>
      <c r="B606" s="151"/>
      <c r="M606" s="312"/>
      <c r="N606" s="313"/>
      <c r="O606" s="313"/>
      <c r="P606" s="313"/>
      <c r="Q606" s="313"/>
      <c r="R606" s="313"/>
    </row>
    <row r="607">
      <c r="A607" s="151"/>
      <c r="B607" s="151"/>
      <c r="M607" s="312"/>
      <c r="N607" s="313"/>
      <c r="O607" s="313"/>
      <c r="P607" s="313"/>
      <c r="Q607" s="313"/>
      <c r="R607" s="313"/>
    </row>
    <row r="608">
      <c r="A608" s="151"/>
      <c r="B608" s="151"/>
      <c r="M608" s="312"/>
      <c r="N608" s="313"/>
      <c r="O608" s="313"/>
      <c r="P608" s="313"/>
      <c r="Q608" s="313"/>
      <c r="R608" s="313"/>
    </row>
    <row r="609">
      <c r="A609" s="151"/>
      <c r="B609" s="151"/>
      <c r="M609" s="312"/>
      <c r="N609" s="313"/>
      <c r="O609" s="313"/>
      <c r="P609" s="313"/>
      <c r="Q609" s="313"/>
      <c r="R609" s="313"/>
    </row>
    <row r="610">
      <c r="A610" s="151"/>
      <c r="B610" s="151"/>
      <c r="M610" s="312"/>
      <c r="N610" s="313"/>
      <c r="O610" s="313"/>
      <c r="P610" s="313"/>
      <c r="Q610" s="313"/>
      <c r="R610" s="313"/>
    </row>
    <row r="611">
      <c r="A611" s="151"/>
      <c r="B611" s="151"/>
      <c r="M611" s="312"/>
      <c r="N611" s="313"/>
      <c r="O611" s="313"/>
      <c r="P611" s="313"/>
      <c r="Q611" s="313"/>
      <c r="R611" s="313"/>
    </row>
    <row r="612">
      <c r="A612" s="151"/>
      <c r="B612" s="151"/>
      <c r="M612" s="312"/>
      <c r="N612" s="313"/>
      <c r="O612" s="313"/>
      <c r="P612" s="313"/>
      <c r="Q612" s="313"/>
      <c r="R612" s="313"/>
    </row>
    <row r="613">
      <c r="A613" s="151"/>
      <c r="B613" s="151"/>
      <c r="M613" s="312"/>
      <c r="N613" s="313"/>
      <c r="O613" s="313"/>
      <c r="P613" s="313"/>
      <c r="Q613" s="313"/>
      <c r="R613" s="313"/>
    </row>
    <row r="614">
      <c r="A614" s="151"/>
      <c r="B614" s="151"/>
      <c r="M614" s="312"/>
      <c r="N614" s="313"/>
      <c r="O614" s="313"/>
      <c r="P614" s="313"/>
      <c r="Q614" s="313"/>
      <c r="R614" s="313"/>
    </row>
    <row r="615">
      <c r="A615" s="151"/>
      <c r="B615" s="151"/>
      <c r="M615" s="312"/>
      <c r="N615" s="313"/>
      <c r="O615" s="313"/>
      <c r="P615" s="313"/>
      <c r="Q615" s="313"/>
      <c r="R615" s="313"/>
    </row>
    <row r="616">
      <c r="A616" s="151"/>
      <c r="B616" s="151"/>
      <c r="M616" s="312"/>
      <c r="N616" s="313"/>
      <c r="O616" s="313"/>
      <c r="P616" s="313"/>
      <c r="Q616" s="313"/>
      <c r="R616" s="313"/>
    </row>
    <row r="617">
      <c r="A617" s="151"/>
      <c r="B617" s="151"/>
      <c r="M617" s="312"/>
      <c r="N617" s="313"/>
      <c r="O617" s="313"/>
      <c r="P617" s="313"/>
      <c r="Q617" s="313"/>
      <c r="R617" s="313"/>
    </row>
    <row r="618">
      <c r="A618" s="151"/>
      <c r="B618" s="151"/>
      <c r="M618" s="312"/>
      <c r="N618" s="313"/>
      <c r="O618" s="313"/>
      <c r="P618" s="313"/>
      <c r="Q618" s="313"/>
      <c r="R618" s="313"/>
    </row>
    <row r="619">
      <c r="A619" s="151"/>
      <c r="B619" s="151"/>
      <c r="M619" s="312"/>
      <c r="N619" s="313"/>
      <c r="O619" s="313"/>
      <c r="P619" s="313"/>
      <c r="Q619" s="313"/>
      <c r="R619" s="313"/>
    </row>
    <row r="620">
      <c r="A620" s="151"/>
      <c r="B620" s="151"/>
      <c r="M620" s="312"/>
      <c r="N620" s="313"/>
      <c r="O620" s="313"/>
      <c r="P620" s="313"/>
      <c r="Q620" s="313"/>
      <c r="R620" s="313"/>
    </row>
    <row r="621">
      <c r="A621" s="151"/>
      <c r="B621" s="151"/>
      <c r="M621" s="312"/>
      <c r="N621" s="313"/>
      <c r="O621" s="313"/>
      <c r="P621" s="313"/>
      <c r="Q621" s="313"/>
      <c r="R621" s="313"/>
    </row>
    <row r="622">
      <c r="A622" s="151"/>
      <c r="B622" s="151"/>
      <c r="M622" s="312"/>
      <c r="N622" s="313"/>
      <c r="O622" s="313"/>
      <c r="P622" s="313"/>
      <c r="Q622" s="313"/>
      <c r="R622" s="313"/>
    </row>
    <row r="623">
      <c r="A623" s="151"/>
      <c r="B623" s="151"/>
      <c r="M623" s="312"/>
      <c r="N623" s="313"/>
      <c r="O623" s="313"/>
      <c r="P623" s="313"/>
      <c r="Q623" s="313"/>
      <c r="R623" s="313"/>
    </row>
    <row r="624">
      <c r="A624" s="151"/>
      <c r="B624" s="151"/>
      <c r="M624" s="312"/>
      <c r="N624" s="313"/>
      <c r="O624" s="313"/>
      <c r="P624" s="313"/>
      <c r="Q624" s="313"/>
      <c r="R624" s="313"/>
    </row>
    <row r="625">
      <c r="A625" s="151"/>
      <c r="B625" s="151"/>
      <c r="M625" s="312"/>
      <c r="N625" s="313"/>
      <c r="O625" s="313"/>
      <c r="P625" s="313"/>
      <c r="Q625" s="313"/>
      <c r="R625" s="313"/>
    </row>
    <row r="626">
      <c r="A626" s="151"/>
      <c r="B626" s="151"/>
      <c r="M626" s="312"/>
      <c r="N626" s="313"/>
      <c r="O626" s="313"/>
      <c r="P626" s="313"/>
      <c r="Q626" s="313"/>
      <c r="R626" s="313"/>
    </row>
    <row r="627">
      <c r="A627" s="151"/>
      <c r="B627" s="151"/>
      <c r="M627" s="312"/>
      <c r="N627" s="313"/>
      <c r="O627" s="313"/>
      <c r="P627" s="313"/>
      <c r="Q627" s="313"/>
      <c r="R627" s="313"/>
    </row>
    <row r="628">
      <c r="A628" s="151"/>
      <c r="B628" s="151"/>
      <c r="M628" s="312"/>
      <c r="N628" s="313"/>
      <c r="O628" s="313"/>
      <c r="P628" s="313"/>
      <c r="Q628" s="313"/>
      <c r="R628" s="313"/>
    </row>
    <row r="629">
      <c r="A629" s="151"/>
      <c r="B629" s="151"/>
      <c r="M629" s="312"/>
      <c r="N629" s="313"/>
      <c r="O629" s="313"/>
      <c r="P629" s="313"/>
      <c r="Q629" s="313"/>
      <c r="R629" s="313"/>
    </row>
    <row r="630">
      <c r="A630" s="151"/>
      <c r="B630" s="151"/>
      <c r="M630" s="312"/>
      <c r="N630" s="313"/>
      <c r="O630" s="313"/>
      <c r="P630" s="313"/>
      <c r="Q630" s="313"/>
      <c r="R630" s="313"/>
    </row>
    <row r="631">
      <c r="A631" s="151"/>
      <c r="B631" s="151"/>
      <c r="M631" s="312"/>
      <c r="N631" s="313"/>
      <c r="O631" s="313"/>
      <c r="P631" s="313"/>
      <c r="Q631" s="313"/>
      <c r="R631" s="313"/>
    </row>
    <row r="632">
      <c r="A632" s="151"/>
      <c r="B632" s="151"/>
      <c r="M632" s="312"/>
      <c r="N632" s="313"/>
      <c r="O632" s="313"/>
      <c r="P632" s="313"/>
      <c r="Q632" s="313"/>
      <c r="R632" s="313"/>
    </row>
    <row r="633">
      <c r="A633" s="151"/>
      <c r="B633" s="151"/>
      <c r="M633" s="312"/>
      <c r="N633" s="313"/>
      <c r="O633" s="313"/>
      <c r="P633" s="313"/>
      <c r="Q633" s="313"/>
      <c r="R633" s="313"/>
    </row>
    <row r="634">
      <c r="A634" s="151"/>
      <c r="B634" s="151"/>
      <c r="M634" s="312"/>
      <c r="N634" s="313"/>
      <c r="O634" s="313"/>
      <c r="P634" s="313"/>
      <c r="Q634" s="313"/>
      <c r="R634" s="313"/>
    </row>
    <row r="635">
      <c r="A635" s="151"/>
      <c r="B635" s="151"/>
      <c r="M635" s="312"/>
      <c r="N635" s="313"/>
      <c r="O635" s="313"/>
      <c r="P635" s="313"/>
      <c r="Q635" s="313"/>
      <c r="R635" s="313"/>
    </row>
    <row r="636">
      <c r="A636" s="151"/>
      <c r="B636" s="151"/>
      <c r="M636" s="312"/>
      <c r="N636" s="313"/>
      <c r="O636" s="313"/>
      <c r="P636" s="313"/>
      <c r="Q636" s="313"/>
      <c r="R636" s="313"/>
    </row>
    <row r="637">
      <c r="A637" s="151"/>
      <c r="B637" s="151"/>
      <c r="M637" s="312"/>
      <c r="N637" s="313"/>
      <c r="O637" s="313"/>
      <c r="P637" s="313"/>
      <c r="Q637" s="313"/>
      <c r="R637" s="313"/>
    </row>
    <row r="638">
      <c r="A638" s="151"/>
      <c r="B638" s="151"/>
      <c r="M638" s="312"/>
      <c r="N638" s="313"/>
      <c r="O638" s="313"/>
      <c r="P638" s="313"/>
      <c r="Q638" s="313"/>
      <c r="R638" s="313"/>
    </row>
    <row r="639">
      <c r="A639" s="151"/>
      <c r="B639" s="151"/>
      <c r="M639" s="312"/>
      <c r="N639" s="313"/>
      <c r="O639" s="313"/>
      <c r="P639" s="313"/>
      <c r="Q639" s="313"/>
      <c r="R639" s="313"/>
    </row>
    <row r="640">
      <c r="A640" s="151"/>
      <c r="B640" s="151"/>
      <c r="M640" s="312"/>
      <c r="N640" s="313"/>
      <c r="O640" s="313"/>
      <c r="P640" s="313"/>
      <c r="Q640" s="313"/>
      <c r="R640" s="313"/>
    </row>
    <row r="641">
      <c r="A641" s="151"/>
      <c r="B641" s="151"/>
      <c r="M641" s="312"/>
      <c r="N641" s="313"/>
      <c r="O641" s="313"/>
      <c r="P641" s="313"/>
      <c r="Q641" s="313"/>
      <c r="R641" s="313"/>
    </row>
    <row r="642">
      <c r="A642" s="151"/>
      <c r="B642" s="151"/>
      <c r="M642" s="312"/>
      <c r="N642" s="313"/>
      <c r="O642" s="313"/>
      <c r="P642" s="313"/>
      <c r="Q642" s="313"/>
      <c r="R642" s="313"/>
    </row>
    <row r="643">
      <c r="A643" s="151"/>
      <c r="B643" s="151"/>
      <c r="M643" s="312"/>
      <c r="N643" s="313"/>
      <c r="O643" s="313"/>
      <c r="P643" s="313"/>
      <c r="Q643" s="313"/>
      <c r="R643" s="313"/>
    </row>
    <row r="644">
      <c r="A644" s="151"/>
      <c r="B644" s="151"/>
      <c r="M644" s="312"/>
      <c r="N644" s="313"/>
      <c r="O644" s="313"/>
      <c r="P644" s="313"/>
      <c r="Q644" s="313"/>
      <c r="R644" s="313"/>
    </row>
    <row r="645">
      <c r="A645" s="151"/>
      <c r="B645" s="151"/>
      <c r="M645" s="312"/>
      <c r="N645" s="313"/>
      <c r="O645" s="313"/>
      <c r="P645" s="313"/>
      <c r="Q645" s="313"/>
      <c r="R645" s="313"/>
    </row>
    <row r="646">
      <c r="A646" s="151"/>
      <c r="B646" s="151"/>
      <c r="M646" s="312"/>
      <c r="N646" s="313"/>
      <c r="O646" s="313"/>
      <c r="P646" s="313"/>
      <c r="Q646" s="313"/>
      <c r="R646" s="313"/>
    </row>
    <row r="647">
      <c r="A647" s="151"/>
      <c r="B647" s="151"/>
      <c r="M647" s="312"/>
      <c r="N647" s="313"/>
      <c r="O647" s="313"/>
      <c r="P647" s="313"/>
      <c r="Q647" s="313"/>
      <c r="R647" s="313"/>
    </row>
    <row r="648">
      <c r="A648" s="151"/>
      <c r="B648" s="151"/>
      <c r="M648" s="312"/>
      <c r="N648" s="313"/>
      <c r="O648" s="313"/>
      <c r="P648" s="313"/>
      <c r="Q648" s="313"/>
      <c r="R648" s="313"/>
    </row>
    <row r="649">
      <c r="A649" s="151"/>
      <c r="B649" s="151"/>
      <c r="M649" s="312"/>
      <c r="N649" s="313"/>
      <c r="O649" s="313"/>
      <c r="P649" s="313"/>
      <c r="Q649" s="313"/>
      <c r="R649" s="313"/>
    </row>
    <row r="650">
      <c r="A650" s="151"/>
      <c r="B650" s="151"/>
      <c r="M650" s="312"/>
      <c r="N650" s="313"/>
      <c r="O650" s="313"/>
      <c r="P650" s="313"/>
      <c r="Q650" s="313"/>
      <c r="R650" s="313"/>
    </row>
    <row r="651">
      <c r="A651" s="151"/>
      <c r="B651" s="151"/>
      <c r="M651" s="312"/>
      <c r="N651" s="313"/>
      <c r="O651" s="313"/>
      <c r="P651" s="313"/>
      <c r="Q651" s="313"/>
      <c r="R651" s="313"/>
    </row>
    <row r="652">
      <c r="A652" s="151"/>
      <c r="B652" s="151"/>
      <c r="M652" s="312"/>
      <c r="N652" s="313"/>
      <c r="O652" s="313"/>
      <c r="P652" s="313"/>
      <c r="Q652" s="313"/>
      <c r="R652" s="313"/>
    </row>
    <row r="653">
      <c r="A653" s="151"/>
      <c r="B653" s="151"/>
      <c r="M653" s="312"/>
      <c r="N653" s="313"/>
      <c r="O653" s="313"/>
      <c r="P653" s="313"/>
      <c r="Q653" s="313"/>
      <c r="R653" s="313"/>
    </row>
    <row r="654">
      <c r="A654" s="151"/>
      <c r="B654" s="151"/>
      <c r="M654" s="312"/>
      <c r="N654" s="313"/>
      <c r="O654" s="313"/>
      <c r="P654" s="313"/>
      <c r="Q654" s="313"/>
      <c r="R654" s="313"/>
    </row>
    <row r="655">
      <c r="A655" s="151"/>
      <c r="B655" s="151"/>
      <c r="M655" s="312"/>
      <c r="N655" s="313"/>
      <c r="O655" s="313"/>
      <c r="P655" s="313"/>
      <c r="Q655" s="313"/>
      <c r="R655" s="313"/>
    </row>
    <row r="656">
      <c r="A656" s="151"/>
      <c r="B656" s="151"/>
      <c r="M656" s="312"/>
      <c r="N656" s="313"/>
      <c r="O656" s="313"/>
      <c r="P656" s="313"/>
      <c r="Q656" s="313"/>
      <c r="R656" s="313"/>
    </row>
    <row r="657">
      <c r="A657" s="151"/>
      <c r="B657" s="151"/>
      <c r="M657" s="312"/>
      <c r="N657" s="313"/>
      <c r="O657" s="313"/>
      <c r="P657" s="313"/>
      <c r="Q657" s="313"/>
      <c r="R657" s="313"/>
    </row>
    <row r="658">
      <c r="A658" s="151"/>
      <c r="B658" s="151"/>
      <c r="M658" s="312"/>
      <c r="N658" s="313"/>
      <c r="O658" s="313"/>
      <c r="P658" s="313"/>
      <c r="Q658" s="313"/>
      <c r="R658" s="313"/>
    </row>
    <row r="659">
      <c r="A659" s="151"/>
      <c r="B659" s="151"/>
      <c r="M659" s="312"/>
      <c r="N659" s="313"/>
      <c r="O659" s="313"/>
      <c r="P659" s="313"/>
      <c r="Q659" s="313"/>
      <c r="R659" s="313"/>
    </row>
    <row r="660">
      <c r="A660" s="151"/>
      <c r="B660" s="151"/>
      <c r="M660" s="312"/>
      <c r="N660" s="313"/>
      <c r="O660" s="313"/>
      <c r="P660" s="313"/>
      <c r="Q660" s="313"/>
      <c r="R660" s="313"/>
    </row>
    <row r="661">
      <c r="A661" s="151"/>
      <c r="B661" s="151"/>
      <c r="M661" s="312"/>
      <c r="N661" s="313"/>
      <c r="O661" s="313"/>
      <c r="P661" s="313"/>
      <c r="Q661" s="313"/>
      <c r="R661" s="313"/>
    </row>
    <row r="662">
      <c r="A662" s="151"/>
      <c r="B662" s="151"/>
      <c r="M662" s="312"/>
      <c r="N662" s="313"/>
      <c r="O662" s="313"/>
      <c r="P662" s="313"/>
      <c r="Q662" s="313"/>
      <c r="R662" s="313"/>
    </row>
    <row r="663">
      <c r="A663" s="151"/>
      <c r="B663" s="151"/>
      <c r="M663" s="312"/>
      <c r="N663" s="313"/>
      <c r="O663" s="313"/>
      <c r="P663" s="313"/>
      <c r="Q663" s="313"/>
      <c r="R663" s="313"/>
    </row>
    <row r="664">
      <c r="A664" s="151"/>
      <c r="B664" s="151"/>
      <c r="M664" s="312"/>
      <c r="N664" s="313"/>
      <c r="O664" s="313"/>
      <c r="P664" s="313"/>
      <c r="Q664" s="313"/>
      <c r="R664" s="313"/>
    </row>
    <row r="665">
      <c r="A665" s="151"/>
      <c r="B665" s="151"/>
      <c r="M665" s="312"/>
      <c r="N665" s="313"/>
      <c r="O665" s="313"/>
      <c r="P665" s="313"/>
      <c r="Q665" s="313"/>
      <c r="R665" s="313"/>
    </row>
    <row r="666">
      <c r="A666" s="151"/>
      <c r="B666" s="151"/>
      <c r="M666" s="312"/>
      <c r="N666" s="313"/>
      <c r="O666" s="313"/>
      <c r="P666" s="313"/>
      <c r="Q666" s="313"/>
      <c r="R666" s="313"/>
    </row>
    <row r="667">
      <c r="A667" s="151"/>
      <c r="B667" s="151"/>
      <c r="M667" s="312"/>
      <c r="N667" s="313"/>
      <c r="O667" s="313"/>
      <c r="P667" s="313"/>
      <c r="Q667" s="313"/>
      <c r="R667" s="313"/>
    </row>
    <row r="668">
      <c r="A668" s="151"/>
      <c r="B668" s="151"/>
      <c r="M668" s="312"/>
      <c r="N668" s="313"/>
      <c r="O668" s="313"/>
      <c r="P668" s="313"/>
      <c r="Q668" s="313"/>
      <c r="R668" s="313"/>
    </row>
    <row r="669">
      <c r="A669" s="151"/>
      <c r="B669" s="151"/>
      <c r="M669" s="312"/>
      <c r="N669" s="313"/>
      <c r="O669" s="313"/>
      <c r="P669" s="313"/>
      <c r="Q669" s="313"/>
      <c r="R669" s="313"/>
    </row>
    <row r="670">
      <c r="A670" s="151"/>
      <c r="B670" s="151"/>
      <c r="M670" s="312"/>
      <c r="N670" s="313"/>
      <c r="O670" s="313"/>
      <c r="P670" s="313"/>
      <c r="Q670" s="313"/>
      <c r="R670" s="313"/>
    </row>
    <row r="671">
      <c r="A671" s="151"/>
      <c r="B671" s="151"/>
      <c r="M671" s="312"/>
      <c r="N671" s="313"/>
      <c r="O671" s="313"/>
      <c r="P671" s="313"/>
      <c r="Q671" s="313"/>
      <c r="R671" s="313"/>
    </row>
    <row r="672">
      <c r="A672" s="151"/>
      <c r="B672" s="151"/>
      <c r="M672" s="312"/>
      <c r="N672" s="313"/>
      <c r="O672" s="313"/>
      <c r="P672" s="313"/>
      <c r="Q672" s="313"/>
      <c r="R672" s="313"/>
    </row>
    <row r="673">
      <c r="A673" s="151"/>
      <c r="B673" s="151"/>
      <c r="M673" s="312"/>
      <c r="N673" s="313"/>
      <c r="O673" s="313"/>
      <c r="P673" s="313"/>
      <c r="Q673" s="313"/>
      <c r="R673" s="313"/>
    </row>
    <row r="674">
      <c r="A674" s="151"/>
      <c r="B674" s="151"/>
      <c r="M674" s="312"/>
      <c r="N674" s="313"/>
      <c r="O674" s="313"/>
      <c r="P674" s="313"/>
      <c r="Q674" s="313"/>
      <c r="R674" s="313"/>
    </row>
    <row r="675">
      <c r="A675" s="151"/>
      <c r="B675" s="151"/>
      <c r="M675" s="312"/>
      <c r="N675" s="313"/>
      <c r="O675" s="313"/>
      <c r="P675" s="313"/>
      <c r="Q675" s="313"/>
      <c r="R675" s="313"/>
    </row>
    <row r="676">
      <c r="A676" s="151"/>
      <c r="B676" s="151"/>
      <c r="M676" s="312"/>
      <c r="N676" s="313"/>
      <c r="O676" s="313"/>
      <c r="P676" s="313"/>
      <c r="Q676" s="313"/>
      <c r="R676" s="313"/>
    </row>
    <row r="677">
      <c r="A677" s="151"/>
      <c r="B677" s="151"/>
      <c r="M677" s="312"/>
      <c r="N677" s="313"/>
      <c r="O677" s="313"/>
      <c r="P677" s="313"/>
      <c r="Q677" s="313"/>
      <c r="R677" s="313"/>
    </row>
    <row r="678">
      <c r="A678" s="151"/>
      <c r="B678" s="151"/>
      <c r="M678" s="312"/>
      <c r="N678" s="313"/>
      <c r="O678" s="313"/>
      <c r="P678" s="313"/>
      <c r="Q678" s="313"/>
      <c r="R678" s="313"/>
    </row>
    <row r="679">
      <c r="A679" s="151"/>
      <c r="B679" s="151"/>
      <c r="M679" s="312"/>
      <c r="N679" s="313"/>
      <c r="O679" s="313"/>
      <c r="P679" s="313"/>
      <c r="Q679" s="313"/>
      <c r="R679" s="313"/>
    </row>
    <row r="680">
      <c r="A680" s="151"/>
      <c r="B680" s="151"/>
      <c r="M680" s="312"/>
      <c r="N680" s="313"/>
      <c r="O680" s="313"/>
      <c r="P680" s="313"/>
      <c r="Q680" s="313"/>
      <c r="R680" s="313"/>
    </row>
    <row r="681">
      <c r="A681" s="151"/>
      <c r="B681" s="151"/>
      <c r="M681" s="312"/>
      <c r="N681" s="313"/>
      <c r="O681" s="313"/>
      <c r="P681" s="313"/>
      <c r="Q681" s="313"/>
      <c r="R681" s="313"/>
    </row>
    <row r="682">
      <c r="A682" s="151"/>
      <c r="B682" s="151"/>
      <c r="M682" s="312"/>
      <c r="N682" s="313"/>
      <c r="O682" s="313"/>
      <c r="P682" s="313"/>
      <c r="Q682" s="313"/>
      <c r="R682" s="313"/>
    </row>
    <row r="683">
      <c r="A683" s="151"/>
      <c r="B683" s="151"/>
      <c r="M683" s="312"/>
      <c r="N683" s="313"/>
      <c r="O683" s="313"/>
      <c r="P683" s="313"/>
      <c r="Q683" s="313"/>
      <c r="R683" s="313"/>
    </row>
    <row r="684">
      <c r="A684" s="151"/>
      <c r="B684" s="151"/>
      <c r="M684" s="312"/>
      <c r="N684" s="313"/>
      <c r="O684" s="313"/>
      <c r="P684" s="313"/>
      <c r="Q684" s="313"/>
      <c r="R684" s="313"/>
    </row>
    <row r="685">
      <c r="A685" s="151"/>
      <c r="B685" s="151"/>
      <c r="M685" s="312"/>
      <c r="N685" s="313"/>
      <c r="O685" s="313"/>
      <c r="P685" s="313"/>
      <c r="Q685" s="313"/>
      <c r="R685" s="313"/>
    </row>
    <row r="686">
      <c r="A686" s="151"/>
      <c r="B686" s="151"/>
      <c r="M686" s="312"/>
      <c r="N686" s="313"/>
      <c r="O686" s="313"/>
      <c r="P686" s="313"/>
      <c r="Q686" s="313"/>
      <c r="R686" s="313"/>
    </row>
    <row r="687">
      <c r="A687" s="151"/>
      <c r="B687" s="151"/>
      <c r="M687" s="312"/>
      <c r="N687" s="313"/>
      <c r="O687" s="313"/>
      <c r="P687" s="313"/>
      <c r="Q687" s="313"/>
      <c r="R687" s="313"/>
    </row>
    <row r="688">
      <c r="A688" s="151"/>
      <c r="B688" s="151"/>
      <c r="M688" s="312"/>
      <c r="N688" s="313"/>
      <c r="O688" s="313"/>
      <c r="P688" s="313"/>
      <c r="Q688" s="313"/>
      <c r="R688" s="313"/>
    </row>
    <row r="689">
      <c r="A689" s="151"/>
      <c r="B689" s="151"/>
      <c r="M689" s="312"/>
      <c r="N689" s="313"/>
      <c r="O689" s="313"/>
      <c r="P689" s="313"/>
      <c r="Q689" s="313"/>
      <c r="R689" s="313"/>
    </row>
    <row r="690">
      <c r="A690" s="151"/>
      <c r="B690" s="151"/>
      <c r="M690" s="312"/>
      <c r="N690" s="313"/>
      <c r="O690" s="313"/>
      <c r="P690" s="313"/>
      <c r="Q690" s="313"/>
      <c r="R690" s="313"/>
    </row>
    <row r="691">
      <c r="A691" s="151"/>
      <c r="B691" s="151"/>
      <c r="M691" s="312"/>
      <c r="N691" s="313"/>
      <c r="O691" s="313"/>
      <c r="P691" s="313"/>
      <c r="Q691" s="313"/>
      <c r="R691" s="313"/>
    </row>
    <row r="692">
      <c r="A692" s="151"/>
      <c r="B692" s="151"/>
      <c r="M692" s="312"/>
      <c r="N692" s="313"/>
      <c r="O692" s="313"/>
      <c r="P692" s="313"/>
      <c r="Q692" s="313"/>
      <c r="R692" s="313"/>
    </row>
    <row r="693">
      <c r="A693" s="151"/>
      <c r="B693" s="151"/>
      <c r="M693" s="312"/>
      <c r="N693" s="313"/>
      <c r="O693" s="313"/>
      <c r="P693" s="313"/>
      <c r="Q693" s="313"/>
      <c r="R693" s="313"/>
    </row>
    <row r="694">
      <c r="A694" s="151"/>
      <c r="B694" s="151"/>
      <c r="M694" s="312"/>
      <c r="N694" s="313"/>
      <c r="O694" s="313"/>
      <c r="P694" s="313"/>
      <c r="Q694" s="313"/>
      <c r="R694" s="313"/>
    </row>
    <row r="695">
      <c r="A695" s="151"/>
      <c r="B695" s="151"/>
      <c r="M695" s="312"/>
      <c r="N695" s="313"/>
      <c r="O695" s="313"/>
      <c r="P695" s="313"/>
      <c r="Q695" s="313"/>
      <c r="R695" s="313"/>
    </row>
    <row r="696">
      <c r="A696" s="151"/>
      <c r="B696" s="151"/>
      <c r="M696" s="312"/>
      <c r="N696" s="313"/>
      <c r="O696" s="313"/>
      <c r="P696" s="313"/>
      <c r="Q696" s="313"/>
      <c r="R696" s="313"/>
    </row>
    <row r="697">
      <c r="A697" s="151"/>
      <c r="B697" s="151"/>
      <c r="M697" s="312"/>
      <c r="N697" s="313"/>
      <c r="O697" s="313"/>
      <c r="P697" s="313"/>
      <c r="Q697" s="313"/>
      <c r="R697" s="313"/>
    </row>
    <row r="698">
      <c r="A698" s="151"/>
      <c r="B698" s="151"/>
      <c r="M698" s="312"/>
      <c r="N698" s="313"/>
      <c r="O698" s="313"/>
      <c r="P698" s="313"/>
      <c r="Q698" s="313"/>
      <c r="R698" s="313"/>
    </row>
    <row r="699">
      <c r="A699" s="151"/>
      <c r="B699" s="151"/>
      <c r="M699" s="312"/>
      <c r="N699" s="313"/>
      <c r="O699" s="313"/>
      <c r="P699" s="313"/>
      <c r="Q699" s="313"/>
      <c r="R699" s="313"/>
    </row>
    <row r="700">
      <c r="A700" s="151"/>
      <c r="B700" s="151"/>
      <c r="M700" s="312"/>
      <c r="N700" s="313"/>
      <c r="O700" s="313"/>
      <c r="P700" s="313"/>
      <c r="Q700" s="313"/>
      <c r="R700" s="313"/>
    </row>
    <row r="701">
      <c r="A701" s="151"/>
      <c r="B701" s="151"/>
      <c r="M701" s="312"/>
      <c r="N701" s="313"/>
      <c r="O701" s="313"/>
      <c r="P701" s="313"/>
      <c r="Q701" s="313"/>
      <c r="R701" s="313"/>
    </row>
    <row r="702">
      <c r="A702" s="151"/>
      <c r="B702" s="151"/>
      <c r="M702" s="312"/>
      <c r="N702" s="313"/>
      <c r="O702" s="313"/>
      <c r="P702" s="313"/>
      <c r="Q702" s="313"/>
      <c r="R702" s="313"/>
    </row>
    <row r="703">
      <c r="A703" s="151"/>
      <c r="B703" s="151"/>
      <c r="M703" s="312"/>
      <c r="N703" s="313"/>
      <c r="O703" s="313"/>
      <c r="P703" s="313"/>
      <c r="Q703" s="313"/>
      <c r="R703" s="313"/>
    </row>
    <row r="704">
      <c r="A704" s="151"/>
      <c r="B704" s="151"/>
      <c r="M704" s="312"/>
      <c r="N704" s="313"/>
      <c r="O704" s="313"/>
      <c r="P704" s="313"/>
      <c r="Q704" s="313"/>
      <c r="R704" s="313"/>
    </row>
    <row r="705">
      <c r="A705" s="151"/>
      <c r="B705" s="151"/>
      <c r="M705" s="312"/>
      <c r="N705" s="313"/>
      <c r="O705" s="313"/>
      <c r="P705" s="313"/>
      <c r="Q705" s="313"/>
      <c r="R705" s="313"/>
    </row>
    <row r="706">
      <c r="A706" s="151"/>
      <c r="B706" s="151"/>
      <c r="M706" s="312"/>
      <c r="N706" s="313"/>
      <c r="O706" s="313"/>
      <c r="P706" s="313"/>
      <c r="Q706" s="313"/>
      <c r="R706" s="313"/>
    </row>
    <row r="707">
      <c r="A707" s="151"/>
      <c r="B707" s="151"/>
      <c r="M707" s="312"/>
      <c r="N707" s="313"/>
      <c r="O707" s="313"/>
      <c r="P707" s="313"/>
      <c r="Q707" s="313"/>
      <c r="R707" s="313"/>
    </row>
    <row r="708">
      <c r="A708" s="151"/>
      <c r="B708" s="151"/>
      <c r="M708" s="312"/>
      <c r="N708" s="313"/>
      <c r="O708" s="313"/>
      <c r="P708" s="313"/>
      <c r="Q708" s="313"/>
      <c r="R708" s="313"/>
    </row>
    <row r="709">
      <c r="A709" s="151"/>
      <c r="B709" s="151"/>
      <c r="M709" s="312"/>
      <c r="N709" s="313"/>
      <c r="O709" s="313"/>
      <c r="P709" s="313"/>
      <c r="Q709" s="313"/>
      <c r="R709" s="313"/>
    </row>
    <row r="710">
      <c r="A710" s="151"/>
      <c r="B710" s="151"/>
      <c r="M710" s="312"/>
      <c r="N710" s="313"/>
      <c r="O710" s="313"/>
      <c r="P710" s="313"/>
      <c r="Q710" s="313"/>
      <c r="R710" s="313"/>
    </row>
    <row r="711">
      <c r="A711" s="151"/>
      <c r="B711" s="151"/>
      <c r="M711" s="312"/>
      <c r="N711" s="313"/>
      <c r="O711" s="313"/>
      <c r="P711" s="313"/>
      <c r="Q711" s="313"/>
      <c r="R711" s="313"/>
    </row>
    <row r="712">
      <c r="A712" s="151"/>
      <c r="B712" s="151"/>
      <c r="M712" s="312"/>
      <c r="N712" s="313"/>
      <c r="O712" s="313"/>
      <c r="P712" s="313"/>
      <c r="Q712" s="313"/>
      <c r="R712" s="313"/>
    </row>
    <row r="713">
      <c r="A713" s="151"/>
      <c r="B713" s="151"/>
      <c r="M713" s="312"/>
      <c r="N713" s="313"/>
      <c r="O713" s="313"/>
      <c r="P713" s="313"/>
      <c r="Q713" s="313"/>
      <c r="R713" s="313"/>
    </row>
    <row r="714">
      <c r="A714" s="151"/>
      <c r="B714" s="151"/>
      <c r="M714" s="312"/>
      <c r="N714" s="313"/>
      <c r="O714" s="313"/>
      <c r="P714" s="313"/>
      <c r="Q714" s="313"/>
      <c r="R714" s="313"/>
    </row>
    <row r="715">
      <c r="A715" s="151"/>
      <c r="B715" s="151"/>
      <c r="M715" s="312"/>
      <c r="N715" s="313"/>
      <c r="O715" s="313"/>
      <c r="P715" s="313"/>
      <c r="Q715" s="313"/>
      <c r="R715" s="313"/>
    </row>
    <row r="716">
      <c r="A716" s="151"/>
      <c r="B716" s="151"/>
      <c r="M716" s="312"/>
      <c r="N716" s="313"/>
      <c r="O716" s="313"/>
      <c r="P716" s="313"/>
      <c r="Q716" s="313"/>
      <c r="R716" s="313"/>
    </row>
    <row r="717">
      <c r="A717" s="151"/>
      <c r="B717" s="151"/>
      <c r="M717" s="312"/>
      <c r="N717" s="313"/>
      <c r="O717" s="313"/>
      <c r="P717" s="313"/>
      <c r="Q717" s="313"/>
      <c r="R717" s="313"/>
    </row>
    <row r="718">
      <c r="A718" s="151"/>
      <c r="B718" s="151"/>
      <c r="M718" s="312"/>
      <c r="N718" s="313"/>
      <c r="O718" s="313"/>
      <c r="P718" s="313"/>
      <c r="Q718" s="313"/>
      <c r="R718" s="313"/>
    </row>
    <row r="719">
      <c r="A719" s="151"/>
      <c r="B719" s="151"/>
      <c r="M719" s="312"/>
      <c r="N719" s="313"/>
      <c r="O719" s="313"/>
      <c r="P719" s="313"/>
      <c r="Q719" s="313"/>
      <c r="R719" s="313"/>
    </row>
    <row r="720">
      <c r="A720" s="151"/>
      <c r="B720" s="151"/>
      <c r="M720" s="312"/>
      <c r="N720" s="313"/>
      <c r="O720" s="313"/>
      <c r="P720" s="313"/>
      <c r="Q720" s="313"/>
      <c r="R720" s="313"/>
    </row>
    <row r="721">
      <c r="A721" s="151"/>
      <c r="B721" s="151"/>
      <c r="M721" s="312"/>
      <c r="N721" s="313"/>
      <c r="O721" s="313"/>
      <c r="P721" s="313"/>
      <c r="Q721" s="313"/>
      <c r="R721" s="313"/>
    </row>
    <row r="722">
      <c r="A722" s="151"/>
      <c r="B722" s="151"/>
      <c r="M722" s="312"/>
      <c r="N722" s="313"/>
      <c r="O722" s="313"/>
      <c r="P722" s="313"/>
      <c r="Q722" s="313"/>
      <c r="R722" s="313"/>
    </row>
    <row r="723">
      <c r="A723" s="151"/>
      <c r="B723" s="151"/>
      <c r="M723" s="312"/>
      <c r="N723" s="313"/>
      <c r="O723" s="313"/>
      <c r="P723" s="313"/>
      <c r="Q723" s="313"/>
      <c r="R723" s="313"/>
    </row>
    <row r="724">
      <c r="A724" s="151"/>
      <c r="B724" s="151"/>
      <c r="M724" s="312"/>
      <c r="N724" s="313"/>
      <c r="O724" s="313"/>
      <c r="P724" s="313"/>
      <c r="Q724" s="313"/>
      <c r="R724" s="313"/>
    </row>
    <row r="725">
      <c r="A725" s="151"/>
      <c r="B725" s="151"/>
      <c r="M725" s="312"/>
      <c r="N725" s="313"/>
      <c r="O725" s="313"/>
      <c r="P725" s="313"/>
      <c r="Q725" s="313"/>
      <c r="R725" s="313"/>
    </row>
    <row r="726">
      <c r="A726" s="151"/>
      <c r="B726" s="151"/>
      <c r="M726" s="312"/>
      <c r="N726" s="313"/>
      <c r="O726" s="313"/>
      <c r="P726" s="313"/>
      <c r="Q726" s="313"/>
      <c r="R726" s="313"/>
    </row>
    <row r="727">
      <c r="A727" s="151"/>
      <c r="B727" s="151"/>
      <c r="M727" s="312"/>
      <c r="N727" s="313"/>
      <c r="O727" s="313"/>
      <c r="P727" s="313"/>
      <c r="Q727" s="313"/>
      <c r="R727" s="313"/>
    </row>
    <row r="728">
      <c r="A728" s="151"/>
      <c r="B728" s="151"/>
      <c r="M728" s="312"/>
      <c r="N728" s="313"/>
      <c r="O728" s="313"/>
      <c r="P728" s="313"/>
      <c r="Q728" s="313"/>
      <c r="R728" s="313"/>
    </row>
    <row r="729">
      <c r="A729" s="151"/>
      <c r="B729" s="151"/>
      <c r="M729" s="312"/>
      <c r="N729" s="313"/>
      <c r="O729" s="313"/>
      <c r="P729" s="313"/>
      <c r="Q729" s="313"/>
      <c r="R729" s="313"/>
    </row>
    <row r="730">
      <c r="A730" s="151"/>
      <c r="B730" s="151"/>
      <c r="M730" s="312"/>
      <c r="N730" s="313"/>
      <c r="O730" s="313"/>
      <c r="P730" s="313"/>
      <c r="Q730" s="313"/>
      <c r="R730" s="313"/>
    </row>
    <row r="731">
      <c r="A731" s="151"/>
      <c r="B731" s="151"/>
      <c r="M731" s="312"/>
      <c r="N731" s="313"/>
      <c r="O731" s="313"/>
      <c r="P731" s="313"/>
      <c r="Q731" s="313"/>
      <c r="R731" s="313"/>
    </row>
    <row r="732">
      <c r="A732" s="151"/>
      <c r="B732" s="151"/>
      <c r="M732" s="312"/>
      <c r="N732" s="313"/>
      <c r="O732" s="313"/>
      <c r="P732" s="313"/>
      <c r="Q732" s="313"/>
      <c r="R732" s="313"/>
    </row>
    <row r="733">
      <c r="A733" s="151"/>
      <c r="B733" s="151"/>
      <c r="M733" s="312"/>
      <c r="N733" s="313"/>
      <c r="O733" s="313"/>
      <c r="P733" s="313"/>
      <c r="Q733" s="313"/>
      <c r="R733" s="313"/>
    </row>
    <row r="734">
      <c r="A734" s="151"/>
      <c r="B734" s="151"/>
      <c r="M734" s="312"/>
      <c r="N734" s="313"/>
      <c r="O734" s="313"/>
      <c r="P734" s="313"/>
      <c r="Q734" s="313"/>
      <c r="R734" s="313"/>
    </row>
    <row r="735">
      <c r="A735" s="151"/>
      <c r="B735" s="151"/>
      <c r="M735" s="312"/>
      <c r="N735" s="313"/>
      <c r="O735" s="313"/>
      <c r="P735" s="313"/>
      <c r="Q735" s="313"/>
      <c r="R735" s="313"/>
    </row>
    <row r="736">
      <c r="A736" s="151"/>
      <c r="B736" s="151"/>
      <c r="M736" s="312"/>
      <c r="N736" s="313"/>
      <c r="O736" s="313"/>
      <c r="P736" s="313"/>
      <c r="Q736" s="313"/>
      <c r="R736" s="313"/>
    </row>
    <row r="737">
      <c r="A737" s="151"/>
      <c r="B737" s="151"/>
      <c r="M737" s="312"/>
      <c r="N737" s="313"/>
      <c r="O737" s="313"/>
      <c r="P737" s="313"/>
      <c r="Q737" s="313"/>
      <c r="R737" s="313"/>
    </row>
    <row r="738">
      <c r="A738" s="151"/>
      <c r="B738" s="151"/>
      <c r="M738" s="312"/>
      <c r="N738" s="313"/>
      <c r="O738" s="313"/>
      <c r="P738" s="313"/>
      <c r="Q738" s="313"/>
      <c r="R738" s="313"/>
    </row>
    <row r="739">
      <c r="A739" s="151"/>
      <c r="B739" s="151"/>
      <c r="M739" s="312"/>
      <c r="N739" s="313"/>
      <c r="O739" s="313"/>
      <c r="P739" s="313"/>
      <c r="Q739" s="313"/>
      <c r="R739" s="313"/>
    </row>
    <row r="740">
      <c r="A740" s="151"/>
      <c r="B740" s="151"/>
      <c r="M740" s="312"/>
      <c r="N740" s="313"/>
      <c r="O740" s="313"/>
      <c r="P740" s="313"/>
      <c r="Q740" s="313"/>
      <c r="R740" s="313"/>
    </row>
    <row r="741">
      <c r="A741" s="151"/>
      <c r="B741" s="151"/>
      <c r="M741" s="312"/>
      <c r="N741" s="313"/>
      <c r="O741" s="313"/>
      <c r="P741" s="313"/>
      <c r="Q741" s="313"/>
      <c r="R741" s="313"/>
    </row>
    <row r="742">
      <c r="A742" s="151"/>
      <c r="B742" s="151"/>
      <c r="M742" s="312"/>
      <c r="N742" s="313"/>
      <c r="O742" s="313"/>
      <c r="P742" s="313"/>
      <c r="Q742" s="313"/>
      <c r="R742" s="313"/>
    </row>
    <row r="743">
      <c r="A743" s="151"/>
      <c r="B743" s="151"/>
      <c r="M743" s="312"/>
      <c r="N743" s="313"/>
      <c r="O743" s="313"/>
      <c r="P743" s="313"/>
      <c r="Q743" s="313"/>
      <c r="R743" s="313"/>
    </row>
    <row r="744">
      <c r="A744" s="151"/>
      <c r="B744" s="151"/>
      <c r="M744" s="312"/>
      <c r="N744" s="313"/>
      <c r="O744" s="313"/>
      <c r="P744" s="313"/>
      <c r="Q744" s="313"/>
      <c r="R744" s="313"/>
    </row>
    <row r="745">
      <c r="A745" s="151"/>
      <c r="B745" s="151"/>
      <c r="M745" s="312"/>
      <c r="N745" s="313"/>
      <c r="O745" s="313"/>
      <c r="P745" s="313"/>
      <c r="Q745" s="313"/>
      <c r="R745" s="313"/>
    </row>
    <row r="746">
      <c r="A746" s="151"/>
      <c r="B746" s="151"/>
      <c r="M746" s="312"/>
      <c r="N746" s="313"/>
      <c r="O746" s="313"/>
      <c r="P746" s="313"/>
      <c r="Q746" s="313"/>
      <c r="R746" s="313"/>
    </row>
    <row r="747">
      <c r="A747" s="151"/>
      <c r="B747" s="151"/>
      <c r="M747" s="312"/>
      <c r="N747" s="313"/>
      <c r="O747" s="313"/>
      <c r="P747" s="313"/>
      <c r="Q747" s="313"/>
      <c r="R747" s="313"/>
    </row>
    <row r="748">
      <c r="A748" s="151"/>
      <c r="B748" s="151"/>
      <c r="M748" s="312"/>
      <c r="N748" s="313"/>
      <c r="O748" s="313"/>
      <c r="P748" s="313"/>
      <c r="Q748" s="313"/>
      <c r="R748" s="313"/>
    </row>
    <row r="749">
      <c r="A749" s="151"/>
      <c r="B749" s="151"/>
      <c r="M749" s="312"/>
      <c r="N749" s="313"/>
      <c r="O749" s="313"/>
      <c r="P749" s="313"/>
      <c r="Q749" s="313"/>
      <c r="R749" s="313"/>
    </row>
    <row r="750">
      <c r="A750" s="151"/>
      <c r="B750" s="151"/>
      <c r="M750" s="312"/>
      <c r="N750" s="313"/>
      <c r="O750" s="313"/>
      <c r="P750" s="313"/>
      <c r="Q750" s="313"/>
      <c r="R750" s="313"/>
    </row>
    <row r="751">
      <c r="A751" s="151"/>
      <c r="B751" s="151"/>
      <c r="M751" s="312"/>
      <c r="N751" s="313"/>
      <c r="O751" s="313"/>
      <c r="P751" s="313"/>
      <c r="Q751" s="313"/>
      <c r="R751" s="313"/>
    </row>
    <row r="752">
      <c r="A752" s="151"/>
      <c r="B752" s="151"/>
      <c r="M752" s="312"/>
      <c r="N752" s="313"/>
      <c r="O752" s="313"/>
      <c r="P752" s="313"/>
      <c r="Q752" s="313"/>
      <c r="R752" s="313"/>
    </row>
    <row r="753">
      <c r="A753" s="151"/>
      <c r="B753" s="151"/>
      <c r="M753" s="312"/>
      <c r="N753" s="313"/>
      <c r="O753" s="313"/>
      <c r="P753" s="313"/>
      <c r="Q753" s="313"/>
      <c r="R753" s="313"/>
    </row>
    <row r="754">
      <c r="A754" s="151"/>
      <c r="B754" s="151"/>
      <c r="M754" s="312"/>
      <c r="N754" s="313"/>
      <c r="O754" s="313"/>
      <c r="P754" s="313"/>
      <c r="Q754" s="313"/>
      <c r="R754" s="313"/>
    </row>
    <row r="755">
      <c r="A755" s="151"/>
      <c r="B755" s="151"/>
      <c r="M755" s="312"/>
      <c r="N755" s="313"/>
      <c r="O755" s="313"/>
      <c r="P755" s="313"/>
      <c r="Q755" s="313"/>
      <c r="R755" s="313"/>
    </row>
    <row r="756">
      <c r="A756" s="151"/>
      <c r="B756" s="151"/>
      <c r="M756" s="312"/>
      <c r="N756" s="313"/>
      <c r="O756" s="313"/>
      <c r="P756" s="313"/>
      <c r="Q756" s="313"/>
      <c r="R756" s="313"/>
    </row>
    <row r="757">
      <c r="A757" s="151"/>
      <c r="B757" s="151"/>
      <c r="M757" s="312"/>
      <c r="N757" s="313"/>
      <c r="O757" s="313"/>
      <c r="P757" s="313"/>
      <c r="Q757" s="313"/>
      <c r="R757" s="313"/>
    </row>
    <row r="758">
      <c r="A758" s="151"/>
      <c r="B758" s="151"/>
      <c r="M758" s="312"/>
      <c r="N758" s="313"/>
      <c r="O758" s="313"/>
      <c r="P758" s="313"/>
      <c r="Q758" s="313"/>
      <c r="R758" s="313"/>
    </row>
    <row r="759">
      <c r="A759" s="151"/>
      <c r="B759" s="151"/>
      <c r="M759" s="312"/>
      <c r="N759" s="313"/>
      <c r="O759" s="313"/>
      <c r="P759" s="313"/>
      <c r="Q759" s="313"/>
      <c r="R759" s="313"/>
    </row>
    <row r="760">
      <c r="A760" s="151"/>
      <c r="B760" s="151"/>
      <c r="M760" s="312"/>
      <c r="N760" s="313"/>
      <c r="O760" s="313"/>
      <c r="P760" s="313"/>
      <c r="Q760" s="313"/>
      <c r="R760" s="313"/>
    </row>
    <row r="761">
      <c r="A761" s="151"/>
      <c r="B761" s="151"/>
      <c r="M761" s="312"/>
      <c r="N761" s="313"/>
      <c r="O761" s="313"/>
      <c r="P761" s="313"/>
      <c r="Q761" s="313"/>
      <c r="R761" s="313"/>
    </row>
    <row r="762">
      <c r="A762" s="151"/>
      <c r="B762" s="151"/>
      <c r="M762" s="312"/>
      <c r="N762" s="313"/>
      <c r="O762" s="313"/>
      <c r="P762" s="313"/>
      <c r="Q762" s="313"/>
      <c r="R762" s="313"/>
    </row>
    <row r="763">
      <c r="A763" s="151"/>
      <c r="B763" s="151"/>
      <c r="M763" s="312"/>
      <c r="N763" s="313"/>
      <c r="O763" s="313"/>
      <c r="P763" s="313"/>
      <c r="Q763" s="313"/>
      <c r="R763" s="313"/>
    </row>
    <row r="764">
      <c r="A764" s="151"/>
      <c r="B764" s="151"/>
      <c r="M764" s="312"/>
      <c r="N764" s="313"/>
      <c r="O764" s="313"/>
      <c r="P764" s="313"/>
      <c r="Q764" s="313"/>
      <c r="R764" s="313"/>
    </row>
    <row r="765">
      <c r="A765" s="151"/>
      <c r="B765" s="151"/>
      <c r="M765" s="312"/>
      <c r="N765" s="313"/>
      <c r="O765" s="313"/>
      <c r="P765" s="313"/>
      <c r="Q765" s="313"/>
      <c r="R765" s="313"/>
    </row>
    <row r="766">
      <c r="A766" s="151"/>
      <c r="B766" s="151"/>
      <c r="M766" s="312"/>
      <c r="N766" s="313"/>
      <c r="O766" s="313"/>
      <c r="P766" s="313"/>
      <c r="Q766" s="313"/>
      <c r="R766" s="313"/>
    </row>
    <row r="767">
      <c r="A767" s="151"/>
      <c r="B767" s="151"/>
      <c r="M767" s="312"/>
      <c r="N767" s="313"/>
      <c r="O767" s="313"/>
      <c r="P767" s="313"/>
      <c r="Q767" s="313"/>
      <c r="R767" s="313"/>
    </row>
    <row r="768">
      <c r="A768" s="151"/>
      <c r="B768" s="151"/>
      <c r="M768" s="312"/>
      <c r="N768" s="313"/>
      <c r="O768" s="313"/>
      <c r="P768" s="313"/>
      <c r="Q768" s="313"/>
      <c r="R768" s="313"/>
    </row>
    <row r="769">
      <c r="A769" s="151"/>
      <c r="B769" s="151"/>
      <c r="M769" s="312"/>
      <c r="N769" s="313"/>
      <c r="O769" s="313"/>
      <c r="P769" s="313"/>
      <c r="Q769" s="313"/>
      <c r="R769" s="313"/>
    </row>
    <row r="770">
      <c r="A770" s="151"/>
      <c r="B770" s="151"/>
      <c r="M770" s="312"/>
      <c r="N770" s="313"/>
      <c r="O770" s="313"/>
      <c r="P770" s="313"/>
      <c r="Q770" s="313"/>
      <c r="R770" s="313"/>
    </row>
    <row r="771">
      <c r="A771" s="151"/>
      <c r="B771" s="151"/>
      <c r="M771" s="312"/>
      <c r="N771" s="313"/>
      <c r="O771" s="313"/>
      <c r="P771" s="313"/>
      <c r="Q771" s="313"/>
      <c r="R771" s="313"/>
    </row>
    <row r="772">
      <c r="A772" s="151"/>
      <c r="B772" s="151"/>
      <c r="M772" s="312"/>
      <c r="N772" s="313"/>
      <c r="O772" s="313"/>
      <c r="P772" s="313"/>
      <c r="Q772" s="313"/>
      <c r="R772" s="313"/>
    </row>
    <row r="773">
      <c r="A773" s="151"/>
      <c r="B773" s="151"/>
      <c r="M773" s="312"/>
      <c r="N773" s="313"/>
      <c r="O773" s="313"/>
      <c r="P773" s="313"/>
      <c r="Q773" s="313"/>
      <c r="R773" s="313"/>
    </row>
    <row r="774">
      <c r="A774" s="151"/>
      <c r="B774" s="151"/>
      <c r="M774" s="312"/>
      <c r="N774" s="313"/>
      <c r="O774" s="313"/>
      <c r="P774" s="313"/>
      <c r="Q774" s="313"/>
      <c r="R774" s="313"/>
    </row>
    <row r="775">
      <c r="A775" s="151"/>
      <c r="B775" s="151"/>
      <c r="M775" s="312"/>
      <c r="N775" s="313"/>
      <c r="O775" s="313"/>
      <c r="P775" s="313"/>
      <c r="Q775" s="313"/>
      <c r="R775" s="313"/>
    </row>
    <row r="776">
      <c r="A776" s="151"/>
      <c r="B776" s="151"/>
      <c r="M776" s="312"/>
      <c r="N776" s="313"/>
      <c r="O776" s="313"/>
      <c r="P776" s="313"/>
      <c r="Q776" s="313"/>
      <c r="R776" s="313"/>
    </row>
    <row r="777">
      <c r="A777" s="151"/>
      <c r="B777" s="151"/>
      <c r="M777" s="312"/>
      <c r="N777" s="313"/>
      <c r="O777" s="313"/>
      <c r="P777" s="313"/>
      <c r="Q777" s="313"/>
      <c r="R777" s="313"/>
    </row>
    <row r="778">
      <c r="A778" s="151"/>
      <c r="B778" s="151"/>
      <c r="M778" s="312"/>
      <c r="N778" s="313"/>
      <c r="O778" s="313"/>
      <c r="P778" s="313"/>
      <c r="Q778" s="313"/>
      <c r="R778" s="313"/>
    </row>
    <row r="779">
      <c r="A779" s="151"/>
      <c r="B779" s="151"/>
      <c r="M779" s="312"/>
      <c r="N779" s="313"/>
      <c r="O779" s="313"/>
      <c r="P779" s="313"/>
      <c r="Q779" s="313"/>
      <c r="R779" s="313"/>
    </row>
    <row r="780">
      <c r="A780" s="151"/>
      <c r="B780" s="151"/>
      <c r="M780" s="312"/>
      <c r="N780" s="313"/>
      <c r="O780" s="313"/>
      <c r="P780" s="313"/>
      <c r="Q780" s="313"/>
      <c r="R780" s="313"/>
    </row>
    <row r="781">
      <c r="A781" s="151"/>
      <c r="B781" s="151"/>
      <c r="M781" s="312"/>
      <c r="N781" s="313"/>
      <c r="O781" s="313"/>
      <c r="P781" s="313"/>
      <c r="Q781" s="313"/>
      <c r="R781" s="313"/>
    </row>
    <row r="782">
      <c r="A782" s="151"/>
      <c r="B782" s="151"/>
      <c r="M782" s="312"/>
      <c r="N782" s="313"/>
      <c r="O782" s="313"/>
      <c r="P782" s="313"/>
      <c r="Q782" s="313"/>
      <c r="R782" s="313"/>
    </row>
    <row r="783">
      <c r="A783" s="151"/>
      <c r="B783" s="151"/>
      <c r="M783" s="312"/>
      <c r="N783" s="313"/>
      <c r="O783" s="313"/>
      <c r="P783" s="313"/>
      <c r="Q783" s="313"/>
      <c r="R783" s="313"/>
    </row>
    <row r="784">
      <c r="A784" s="151"/>
      <c r="B784" s="151"/>
      <c r="M784" s="312"/>
      <c r="N784" s="313"/>
      <c r="O784" s="313"/>
      <c r="P784" s="313"/>
      <c r="Q784" s="313"/>
      <c r="R784" s="313"/>
    </row>
    <row r="785">
      <c r="A785" s="151"/>
      <c r="B785" s="151"/>
      <c r="M785" s="312"/>
      <c r="N785" s="313"/>
      <c r="O785" s="313"/>
      <c r="P785" s="313"/>
      <c r="Q785" s="313"/>
      <c r="R785" s="313"/>
    </row>
    <row r="786">
      <c r="A786" s="151"/>
      <c r="B786" s="151"/>
      <c r="M786" s="312"/>
      <c r="N786" s="313"/>
      <c r="O786" s="313"/>
      <c r="P786" s="313"/>
      <c r="Q786" s="313"/>
      <c r="R786" s="313"/>
    </row>
    <row r="787">
      <c r="A787" s="151"/>
      <c r="B787" s="151"/>
      <c r="M787" s="312"/>
      <c r="N787" s="313"/>
      <c r="O787" s="313"/>
      <c r="P787" s="313"/>
      <c r="Q787" s="313"/>
      <c r="R787" s="313"/>
    </row>
    <row r="788">
      <c r="A788" s="151"/>
      <c r="B788" s="151"/>
      <c r="M788" s="312"/>
      <c r="N788" s="313"/>
      <c r="O788" s="313"/>
      <c r="P788" s="313"/>
      <c r="Q788" s="313"/>
      <c r="R788" s="313"/>
    </row>
    <row r="789">
      <c r="A789" s="151"/>
      <c r="B789" s="151"/>
      <c r="M789" s="312"/>
      <c r="N789" s="313"/>
      <c r="O789" s="313"/>
      <c r="P789" s="313"/>
      <c r="Q789" s="313"/>
      <c r="R789" s="313"/>
    </row>
    <row r="790">
      <c r="A790" s="151"/>
      <c r="B790" s="151"/>
      <c r="M790" s="312"/>
      <c r="N790" s="313"/>
      <c r="O790" s="313"/>
      <c r="P790" s="313"/>
      <c r="Q790" s="313"/>
      <c r="R790" s="313"/>
    </row>
    <row r="791">
      <c r="A791" s="151"/>
      <c r="B791" s="151"/>
      <c r="M791" s="312"/>
      <c r="N791" s="313"/>
      <c r="O791" s="313"/>
      <c r="P791" s="313"/>
      <c r="Q791" s="313"/>
      <c r="R791" s="313"/>
    </row>
    <row r="792">
      <c r="A792" s="151"/>
      <c r="B792" s="151"/>
      <c r="M792" s="312"/>
      <c r="N792" s="313"/>
      <c r="O792" s="313"/>
      <c r="P792" s="313"/>
      <c r="Q792" s="313"/>
      <c r="R792" s="313"/>
    </row>
    <row r="793">
      <c r="A793" s="151"/>
      <c r="B793" s="151"/>
      <c r="M793" s="312"/>
      <c r="N793" s="313"/>
      <c r="O793" s="313"/>
      <c r="P793" s="313"/>
      <c r="Q793" s="313"/>
      <c r="R793" s="313"/>
    </row>
    <row r="794">
      <c r="A794" s="151"/>
      <c r="B794" s="151"/>
      <c r="M794" s="312"/>
      <c r="N794" s="313"/>
      <c r="O794" s="313"/>
      <c r="P794" s="313"/>
      <c r="Q794" s="313"/>
      <c r="R794" s="313"/>
    </row>
    <row r="795">
      <c r="A795" s="151"/>
      <c r="B795" s="151"/>
      <c r="M795" s="312"/>
      <c r="N795" s="313"/>
      <c r="O795" s="313"/>
      <c r="P795" s="313"/>
      <c r="Q795" s="313"/>
      <c r="R795" s="313"/>
    </row>
    <row r="796">
      <c r="A796" s="151"/>
      <c r="B796" s="151"/>
      <c r="M796" s="312"/>
      <c r="N796" s="313"/>
      <c r="O796" s="313"/>
      <c r="P796" s="313"/>
      <c r="Q796" s="313"/>
      <c r="R796" s="313"/>
    </row>
    <row r="797">
      <c r="A797" s="151"/>
      <c r="B797" s="151"/>
      <c r="M797" s="312"/>
      <c r="N797" s="313"/>
      <c r="O797" s="313"/>
      <c r="P797" s="313"/>
      <c r="Q797" s="313"/>
      <c r="R797" s="313"/>
    </row>
    <row r="798">
      <c r="A798" s="151"/>
      <c r="B798" s="151"/>
      <c r="M798" s="312"/>
      <c r="N798" s="313"/>
      <c r="O798" s="313"/>
      <c r="P798" s="313"/>
      <c r="Q798" s="313"/>
      <c r="R798" s="313"/>
    </row>
    <row r="799">
      <c r="A799" s="151"/>
      <c r="B799" s="151"/>
      <c r="M799" s="312"/>
      <c r="N799" s="313"/>
      <c r="O799" s="313"/>
      <c r="P799" s="313"/>
      <c r="Q799" s="313"/>
      <c r="R799" s="313"/>
    </row>
    <row r="800">
      <c r="A800" s="151"/>
      <c r="B800" s="151"/>
      <c r="M800" s="312"/>
      <c r="N800" s="313"/>
      <c r="O800" s="313"/>
      <c r="P800" s="313"/>
      <c r="Q800" s="313"/>
      <c r="R800" s="313"/>
    </row>
    <row r="801">
      <c r="A801" s="151"/>
      <c r="B801" s="151"/>
      <c r="M801" s="312"/>
      <c r="N801" s="313"/>
      <c r="O801" s="313"/>
      <c r="P801" s="313"/>
      <c r="Q801" s="313"/>
      <c r="R801" s="313"/>
    </row>
    <row r="802">
      <c r="A802" s="151"/>
      <c r="B802" s="151"/>
      <c r="M802" s="312"/>
      <c r="N802" s="313"/>
      <c r="O802" s="313"/>
      <c r="P802" s="313"/>
      <c r="Q802" s="313"/>
      <c r="R802" s="313"/>
    </row>
    <row r="803">
      <c r="A803" s="151"/>
      <c r="B803" s="151"/>
      <c r="M803" s="312"/>
      <c r="N803" s="313"/>
      <c r="O803" s="313"/>
      <c r="P803" s="313"/>
      <c r="Q803" s="313"/>
      <c r="R803" s="313"/>
    </row>
    <row r="804">
      <c r="A804" s="151"/>
      <c r="B804" s="151"/>
      <c r="M804" s="312"/>
      <c r="N804" s="313"/>
      <c r="O804" s="313"/>
      <c r="P804" s="313"/>
      <c r="Q804" s="313"/>
      <c r="R804" s="313"/>
    </row>
    <row r="805">
      <c r="A805" s="151"/>
      <c r="B805" s="151"/>
      <c r="M805" s="312"/>
      <c r="N805" s="313"/>
      <c r="O805" s="313"/>
      <c r="P805" s="313"/>
      <c r="Q805" s="313"/>
      <c r="R805" s="313"/>
    </row>
    <row r="806">
      <c r="A806" s="151"/>
      <c r="B806" s="151"/>
      <c r="M806" s="312"/>
      <c r="N806" s="313"/>
      <c r="O806" s="313"/>
      <c r="P806" s="313"/>
      <c r="Q806" s="313"/>
      <c r="R806" s="313"/>
    </row>
    <row r="807">
      <c r="A807" s="151"/>
      <c r="B807" s="151"/>
      <c r="M807" s="312"/>
      <c r="N807" s="313"/>
      <c r="O807" s="313"/>
      <c r="P807" s="313"/>
      <c r="Q807" s="313"/>
      <c r="R807" s="313"/>
    </row>
    <row r="808">
      <c r="A808" s="151"/>
      <c r="B808" s="151"/>
      <c r="M808" s="312"/>
      <c r="N808" s="313"/>
      <c r="O808" s="313"/>
      <c r="P808" s="313"/>
      <c r="Q808" s="313"/>
      <c r="R808" s="313"/>
    </row>
    <row r="809">
      <c r="A809" s="151"/>
      <c r="B809" s="151"/>
      <c r="M809" s="312"/>
      <c r="N809" s="313"/>
      <c r="O809" s="313"/>
      <c r="P809" s="313"/>
      <c r="Q809" s="313"/>
      <c r="R809" s="313"/>
    </row>
    <row r="810">
      <c r="A810" s="151"/>
      <c r="B810" s="151"/>
      <c r="M810" s="312"/>
      <c r="N810" s="313"/>
      <c r="O810" s="313"/>
      <c r="P810" s="313"/>
      <c r="Q810" s="313"/>
      <c r="R810" s="313"/>
    </row>
    <row r="811">
      <c r="A811" s="151"/>
      <c r="B811" s="151"/>
      <c r="M811" s="312"/>
      <c r="N811" s="313"/>
      <c r="O811" s="313"/>
      <c r="P811" s="313"/>
      <c r="Q811" s="313"/>
      <c r="R811" s="313"/>
    </row>
    <row r="812">
      <c r="A812" s="151"/>
      <c r="B812" s="151"/>
      <c r="M812" s="312"/>
      <c r="N812" s="313"/>
      <c r="O812" s="313"/>
      <c r="P812" s="313"/>
      <c r="Q812" s="313"/>
      <c r="R812" s="313"/>
    </row>
    <row r="813">
      <c r="A813" s="151"/>
      <c r="B813" s="151"/>
      <c r="M813" s="312"/>
      <c r="N813" s="313"/>
      <c r="O813" s="313"/>
      <c r="P813" s="313"/>
      <c r="Q813" s="313"/>
      <c r="R813" s="313"/>
    </row>
    <row r="814">
      <c r="A814" s="151"/>
      <c r="B814" s="151"/>
      <c r="M814" s="312"/>
      <c r="N814" s="313"/>
      <c r="O814" s="313"/>
      <c r="P814" s="313"/>
      <c r="Q814" s="313"/>
      <c r="R814" s="313"/>
    </row>
    <row r="815">
      <c r="A815" s="151"/>
      <c r="B815" s="151"/>
      <c r="M815" s="312"/>
      <c r="N815" s="313"/>
      <c r="O815" s="313"/>
      <c r="P815" s="313"/>
      <c r="Q815" s="313"/>
      <c r="R815" s="313"/>
    </row>
    <row r="816">
      <c r="A816" s="151"/>
      <c r="B816" s="151"/>
      <c r="M816" s="312"/>
      <c r="N816" s="313"/>
      <c r="O816" s="313"/>
      <c r="P816" s="313"/>
      <c r="Q816" s="313"/>
      <c r="R816" s="313"/>
    </row>
    <row r="817">
      <c r="A817" s="151"/>
      <c r="B817" s="151"/>
      <c r="M817" s="312"/>
      <c r="N817" s="313"/>
      <c r="O817" s="313"/>
      <c r="P817" s="313"/>
      <c r="Q817" s="313"/>
      <c r="R817" s="313"/>
    </row>
    <row r="818">
      <c r="A818" s="151"/>
      <c r="B818" s="151"/>
      <c r="M818" s="312"/>
      <c r="N818" s="313"/>
      <c r="O818" s="313"/>
      <c r="P818" s="313"/>
      <c r="Q818" s="313"/>
      <c r="R818" s="313"/>
    </row>
    <row r="819">
      <c r="A819" s="151"/>
      <c r="B819" s="151"/>
      <c r="M819" s="312"/>
      <c r="N819" s="313"/>
      <c r="O819" s="313"/>
      <c r="P819" s="313"/>
      <c r="Q819" s="313"/>
      <c r="R819" s="313"/>
    </row>
    <row r="820">
      <c r="A820" s="151"/>
      <c r="B820" s="151"/>
      <c r="M820" s="312"/>
      <c r="N820" s="313"/>
      <c r="O820" s="313"/>
      <c r="P820" s="313"/>
      <c r="Q820" s="313"/>
      <c r="R820" s="313"/>
    </row>
    <row r="821">
      <c r="A821" s="151"/>
      <c r="B821" s="151"/>
      <c r="M821" s="312"/>
      <c r="N821" s="313"/>
      <c r="O821" s="313"/>
      <c r="P821" s="313"/>
      <c r="Q821" s="313"/>
      <c r="R821" s="313"/>
    </row>
    <row r="822">
      <c r="A822" s="151"/>
      <c r="B822" s="151"/>
      <c r="M822" s="312"/>
      <c r="N822" s="313"/>
      <c r="O822" s="313"/>
      <c r="P822" s="313"/>
      <c r="Q822" s="313"/>
      <c r="R822" s="313"/>
    </row>
    <row r="823">
      <c r="A823" s="151"/>
      <c r="B823" s="151"/>
      <c r="M823" s="312"/>
      <c r="N823" s="313"/>
      <c r="O823" s="313"/>
      <c r="P823" s="313"/>
      <c r="Q823" s="313"/>
      <c r="R823" s="313"/>
    </row>
    <row r="824">
      <c r="A824" s="151"/>
      <c r="B824" s="151"/>
      <c r="M824" s="312"/>
      <c r="N824" s="313"/>
      <c r="O824" s="313"/>
      <c r="P824" s="313"/>
      <c r="Q824" s="313"/>
      <c r="R824" s="313"/>
    </row>
    <row r="825">
      <c r="A825" s="151"/>
      <c r="B825" s="151"/>
      <c r="M825" s="312"/>
      <c r="N825" s="313"/>
      <c r="O825" s="313"/>
      <c r="P825" s="313"/>
      <c r="Q825" s="313"/>
      <c r="R825" s="313"/>
    </row>
    <row r="826">
      <c r="A826" s="151"/>
      <c r="B826" s="151"/>
      <c r="M826" s="312"/>
      <c r="N826" s="313"/>
      <c r="O826" s="313"/>
      <c r="P826" s="313"/>
      <c r="Q826" s="313"/>
      <c r="R826" s="313"/>
    </row>
    <row r="827">
      <c r="A827" s="151"/>
      <c r="B827" s="151"/>
      <c r="M827" s="312"/>
      <c r="N827" s="313"/>
      <c r="O827" s="313"/>
      <c r="P827" s="313"/>
      <c r="Q827" s="313"/>
      <c r="R827" s="313"/>
    </row>
    <row r="828">
      <c r="A828" s="151"/>
      <c r="B828" s="151"/>
      <c r="M828" s="312"/>
      <c r="N828" s="313"/>
      <c r="O828" s="313"/>
      <c r="P828" s="313"/>
      <c r="Q828" s="313"/>
      <c r="R828" s="313"/>
    </row>
    <row r="829">
      <c r="A829" s="151"/>
      <c r="B829" s="151"/>
      <c r="M829" s="312"/>
      <c r="N829" s="313"/>
      <c r="O829" s="313"/>
      <c r="P829" s="313"/>
      <c r="Q829" s="313"/>
      <c r="R829" s="313"/>
    </row>
    <row r="830">
      <c r="A830" s="151"/>
      <c r="B830" s="151"/>
      <c r="M830" s="312"/>
      <c r="N830" s="313"/>
      <c r="O830" s="313"/>
      <c r="P830" s="313"/>
      <c r="Q830" s="313"/>
      <c r="R830" s="313"/>
    </row>
    <row r="831">
      <c r="A831" s="151"/>
      <c r="B831" s="151"/>
      <c r="M831" s="312"/>
      <c r="N831" s="313"/>
      <c r="O831" s="313"/>
      <c r="P831" s="313"/>
      <c r="Q831" s="313"/>
      <c r="R831" s="313"/>
    </row>
    <row r="832">
      <c r="A832" s="151"/>
      <c r="B832" s="151"/>
      <c r="M832" s="312"/>
      <c r="N832" s="313"/>
      <c r="O832" s="313"/>
      <c r="P832" s="313"/>
      <c r="Q832" s="313"/>
      <c r="R832" s="313"/>
    </row>
    <row r="833">
      <c r="A833" s="151"/>
      <c r="B833" s="151"/>
      <c r="M833" s="312"/>
      <c r="N833" s="313"/>
      <c r="O833" s="313"/>
      <c r="P833" s="313"/>
      <c r="Q833" s="313"/>
      <c r="R833" s="313"/>
    </row>
    <row r="834">
      <c r="A834" s="151"/>
      <c r="B834" s="151"/>
      <c r="M834" s="312"/>
      <c r="N834" s="313"/>
      <c r="O834" s="313"/>
      <c r="P834" s="313"/>
      <c r="Q834" s="313"/>
      <c r="R834" s="313"/>
    </row>
    <row r="835">
      <c r="A835" s="151"/>
      <c r="B835" s="151"/>
      <c r="M835" s="312"/>
      <c r="N835" s="313"/>
      <c r="O835" s="313"/>
      <c r="P835" s="313"/>
      <c r="Q835" s="313"/>
      <c r="R835" s="313"/>
    </row>
    <row r="836">
      <c r="A836" s="151"/>
      <c r="B836" s="151"/>
      <c r="M836" s="312"/>
      <c r="N836" s="313"/>
      <c r="O836" s="313"/>
      <c r="P836" s="313"/>
      <c r="Q836" s="313"/>
      <c r="R836" s="313"/>
    </row>
    <row r="837">
      <c r="A837" s="151"/>
      <c r="B837" s="151"/>
      <c r="M837" s="312"/>
      <c r="N837" s="313"/>
      <c r="O837" s="313"/>
      <c r="P837" s="313"/>
      <c r="Q837" s="313"/>
      <c r="R837" s="313"/>
    </row>
    <row r="838">
      <c r="A838" s="151"/>
      <c r="B838" s="151"/>
      <c r="M838" s="312"/>
      <c r="N838" s="313"/>
      <c r="O838" s="313"/>
      <c r="P838" s="313"/>
      <c r="Q838" s="313"/>
      <c r="R838" s="313"/>
    </row>
    <row r="839">
      <c r="A839" s="151"/>
      <c r="B839" s="151"/>
      <c r="M839" s="312"/>
      <c r="N839" s="313"/>
      <c r="O839" s="313"/>
      <c r="P839" s="313"/>
      <c r="Q839" s="313"/>
      <c r="R839" s="313"/>
    </row>
    <row r="840">
      <c r="A840" s="151"/>
      <c r="B840" s="151"/>
      <c r="M840" s="312"/>
      <c r="N840" s="313"/>
      <c r="O840" s="313"/>
      <c r="P840" s="313"/>
      <c r="Q840" s="313"/>
      <c r="R840" s="313"/>
    </row>
    <row r="841">
      <c r="A841" s="151"/>
      <c r="B841" s="151"/>
      <c r="M841" s="312"/>
      <c r="N841" s="313"/>
      <c r="O841" s="313"/>
      <c r="P841" s="313"/>
      <c r="Q841" s="313"/>
      <c r="R841" s="313"/>
    </row>
    <row r="842">
      <c r="A842" s="151"/>
      <c r="B842" s="151"/>
      <c r="M842" s="312"/>
      <c r="N842" s="313"/>
      <c r="O842" s="313"/>
      <c r="P842" s="313"/>
      <c r="Q842" s="313"/>
      <c r="R842" s="313"/>
    </row>
    <row r="843">
      <c r="A843" s="151"/>
      <c r="B843" s="151"/>
      <c r="M843" s="312"/>
      <c r="N843" s="313"/>
      <c r="O843" s="313"/>
      <c r="P843" s="313"/>
      <c r="Q843" s="313"/>
      <c r="R843" s="313"/>
    </row>
    <row r="844">
      <c r="A844" s="151"/>
      <c r="B844" s="151"/>
      <c r="M844" s="312"/>
      <c r="N844" s="313"/>
      <c r="O844" s="313"/>
      <c r="P844" s="313"/>
      <c r="Q844" s="313"/>
      <c r="R844" s="313"/>
    </row>
    <row r="845">
      <c r="A845" s="151"/>
      <c r="B845" s="151"/>
      <c r="M845" s="312"/>
      <c r="N845" s="313"/>
      <c r="O845" s="313"/>
      <c r="P845" s="313"/>
      <c r="Q845" s="313"/>
      <c r="R845" s="313"/>
    </row>
    <row r="846">
      <c r="A846" s="151"/>
      <c r="B846" s="151"/>
      <c r="M846" s="312"/>
      <c r="N846" s="313"/>
      <c r="O846" s="313"/>
      <c r="P846" s="313"/>
      <c r="Q846" s="313"/>
      <c r="R846" s="313"/>
    </row>
    <row r="847">
      <c r="A847" s="151"/>
      <c r="B847" s="151"/>
      <c r="M847" s="312"/>
      <c r="N847" s="313"/>
      <c r="O847" s="313"/>
      <c r="P847" s="313"/>
      <c r="Q847" s="313"/>
      <c r="R847" s="313"/>
    </row>
    <row r="848">
      <c r="A848" s="151"/>
      <c r="B848" s="151"/>
      <c r="M848" s="312"/>
      <c r="N848" s="313"/>
      <c r="O848" s="313"/>
      <c r="P848" s="313"/>
      <c r="Q848" s="313"/>
      <c r="R848" s="313"/>
    </row>
    <row r="849">
      <c r="A849" s="151"/>
      <c r="B849" s="151"/>
      <c r="M849" s="312"/>
      <c r="N849" s="313"/>
      <c r="O849" s="313"/>
      <c r="P849" s="313"/>
      <c r="Q849" s="313"/>
      <c r="R849" s="313"/>
    </row>
    <row r="850">
      <c r="A850" s="151"/>
      <c r="B850" s="151"/>
      <c r="M850" s="312"/>
      <c r="N850" s="313"/>
      <c r="O850" s="313"/>
      <c r="P850" s="313"/>
      <c r="Q850" s="313"/>
      <c r="R850" s="313"/>
    </row>
    <row r="851">
      <c r="A851" s="151"/>
      <c r="B851" s="151"/>
      <c r="M851" s="312"/>
      <c r="N851" s="313"/>
      <c r="O851" s="313"/>
      <c r="P851" s="313"/>
      <c r="Q851" s="313"/>
      <c r="R851" s="313"/>
    </row>
    <row r="852">
      <c r="A852" s="151"/>
      <c r="B852" s="151"/>
      <c r="M852" s="312"/>
      <c r="N852" s="313"/>
      <c r="O852" s="313"/>
      <c r="P852" s="313"/>
      <c r="Q852" s="313"/>
      <c r="R852" s="313"/>
    </row>
    <row r="853">
      <c r="A853" s="151"/>
      <c r="B853" s="151"/>
      <c r="M853" s="312"/>
      <c r="N853" s="313"/>
      <c r="O853" s="313"/>
      <c r="P853" s="313"/>
      <c r="Q853" s="313"/>
      <c r="R853" s="313"/>
    </row>
    <row r="854">
      <c r="A854" s="151"/>
      <c r="B854" s="151"/>
      <c r="M854" s="312"/>
      <c r="N854" s="313"/>
      <c r="O854" s="313"/>
      <c r="P854" s="313"/>
      <c r="Q854" s="313"/>
      <c r="R854" s="313"/>
    </row>
    <row r="855">
      <c r="A855" s="151"/>
      <c r="B855" s="151"/>
      <c r="M855" s="312"/>
      <c r="N855" s="313"/>
      <c r="O855" s="313"/>
      <c r="P855" s="313"/>
      <c r="Q855" s="313"/>
      <c r="R855" s="313"/>
    </row>
    <row r="856">
      <c r="A856" s="151"/>
      <c r="B856" s="151"/>
      <c r="M856" s="312"/>
      <c r="N856" s="313"/>
      <c r="O856" s="313"/>
      <c r="P856" s="313"/>
      <c r="Q856" s="313"/>
      <c r="R856" s="313"/>
    </row>
    <row r="857">
      <c r="A857" s="151"/>
      <c r="B857" s="151"/>
      <c r="M857" s="312"/>
      <c r="N857" s="313"/>
      <c r="O857" s="313"/>
      <c r="P857" s="313"/>
      <c r="Q857" s="313"/>
      <c r="R857" s="313"/>
    </row>
    <row r="858">
      <c r="A858" s="151"/>
      <c r="B858" s="151"/>
      <c r="M858" s="312"/>
      <c r="N858" s="313"/>
      <c r="O858" s="313"/>
      <c r="P858" s="313"/>
      <c r="Q858" s="313"/>
      <c r="R858" s="313"/>
    </row>
    <row r="859">
      <c r="A859" s="151"/>
      <c r="B859" s="151"/>
      <c r="M859" s="312"/>
      <c r="N859" s="313"/>
      <c r="O859" s="313"/>
      <c r="P859" s="313"/>
      <c r="Q859" s="313"/>
      <c r="R859" s="313"/>
    </row>
    <row r="860">
      <c r="A860" s="151"/>
      <c r="B860" s="151"/>
      <c r="M860" s="312"/>
      <c r="N860" s="313"/>
      <c r="O860" s="313"/>
      <c r="P860" s="313"/>
      <c r="Q860" s="313"/>
      <c r="R860" s="313"/>
    </row>
    <row r="861">
      <c r="A861" s="151"/>
      <c r="B861" s="151"/>
      <c r="M861" s="312"/>
      <c r="N861" s="313"/>
      <c r="O861" s="313"/>
      <c r="P861" s="313"/>
      <c r="Q861" s="313"/>
      <c r="R861" s="313"/>
    </row>
    <row r="862">
      <c r="A862" s="151"/>
      <c r="B862" s="151"/>
      <c r="M862" s="312"/>
      <c r="N862" s="313"/>
      <c r="O862" s="313"/>
      <c r="P862" s="313"/>
      <c r="Q862" s="313"/>
      <c r="R862" s="313"/>
    </row>
    <row r="863">
      <c r="A863" s="151"/>
      <c r="B863" s="151"/>
      <c r="M863" s="312"/>
      <c r="N863" s="313"/>
      <c r="O863" s="313"/>
      <c r="P863" s="313"/>
      <c r="Q863" s="313"/>
      <c r="R863" s="313"/>
    </row>
    <row r="864">
      <c r="A864" s="151"/>
      <c r="B864" s="151"/>
      <c r="M864" s="312"/>
      <c r="N864" s="313"/>
      <c r="O864" s="313"/>
      <c r="P864" s="313"/>
      <c r="Q864" s="313"/>
      <c r="R864" s="313"/>
    </row>
    <row r="865">
      <c r="A865" s="151"/>
      <c r="B865" s="151"/>
      <c r="M865" s="312"/>
      <c r="N865" s="313"/>
      <c r="O865" s="313"/>
      <c r="P865" s="313"/>
      <c r="Q865" s="313"/>
      <c r="R865" s="313"/>
    </row>
    <row r="866">
      <c r="A866" s="151"/>
      <c r="B866" s="151"/>
      <c r="M866" s="312"/>
      <c r="N866" s="313"/>
      <c r="O866" s="313"/>
      <c r="P866" s="313"/>
      <c r="Q866" s="313"/>
      <c r="R866" s="313"/>
    </row>
    <row r="867">
      <c r="A867" s="151"/>
      <c r="B867" s="151"/>
      <c r="M867" s="312"/>
      <c r="N867" s="313"/>
      <c r="O867" s="313"/>
      <c r="P867" s="313"/>
      <c r="Q867" s="313"/>
      <c r="R867" s="313"/>
    </row>
    <row r="868">
      <c r="A868" s="151"/>
      <c r="B868" s="151"/>
      <c r="M868" s="312"/>
      <c r="N868" s="313"/>
      <c r="O868" s="313"/>
      <c r="P868" s="313"/>
      <c r="Q868" s="313"/>
      <c r="R868" s="313"/>
    </row>
    <row r="869">
      <c r="A869" s="151"/>
      <c r="B869" s="151"/>
      <c r="M869" s="312"/>
      <c r="N869" s="313"/>
      <c r="O869" s="313"/>
      <c r="P869" s="313"/>
      <c r="Q869" s="313"/>
      <c r="R869" s="313"/>
    </row>
    <row r="870">
      <c r="A870" s="151"/>
      <c r="B870" s="151"/>
      <c r="M870" s="312"/>
      <c r="N870" s="313"/>
      <c r="O870" s="313"/>
      <c r="P870" s="313"/>
      <c r="Q870" s="313"/>
      <c r="R870" s="313"/>
    </row>
    <row r="871">
      <c r="A871" s="151"/>
      <c r="B871" s="151"/>
      <c r="M871" s="312"/>
      <c r="N871" s="313"/>
      <c r="O871" s="313"/>
      <c r="P871" s="313"/>
      <c r="Q871" s="313"/>
      <c r="R871" s="313"/>
    </row>
    <row r="872">
      <c r="A872" s="151"/>
      <c r="B872" s="151"/>
      <c r="M872" s="312"/>
      <c r="N872" s="313"/>
      <c r="O872" s="313"/>
      <c r="P872" s="313"/>
      <c r="Q872" s="313"/>
      <c r="R872" s="313"/>
    </row>
    <row r="873">
      <c r="A873" s="151"/>
      <c r="B873" s="151"/>
      <c r="M873" s="312"/>
      <c r="N873" s="313"/>
      <c r="O873" s="313"/>
      <c r="P873" s="313"/>
      <c r="Q873" s="313"/>
      <c r="R873" s="313"/>
    </row>
    <row r="874">
      <c r="A874" s="151"/>
      <c r="B874" s="151"/>
      <c r="M874" s="312"/>
      <c r="N874" s="313"/>
      <c r="O874" s="313"/>
      <c r="P874" s="313"/>
      <c r="Q874" s="313"/>
      <c r="R874" s="313"/>
    </row>
    <row r="875">
      <c r="A875" s="151"/>
      <c r="B875" s="151"/>
      <c r="M875" s="312"/>
      <c r="N875" s="313"/>
      <c r="O875" s="313"/>
      <c r="P875" s="313"/>
      <c r="Q875" s="313"/>
      <c r="R875" s="313"/>
    </row>
    <row r="876">
      <c r="A876" s="151"/>
      <c r="B876" s="151"/>
      <c r="M876" s="312"/>
      <c r="N876" s="313"/>
      <c r="O876" s="313"/>
      <c r="P876" s="313"/>
      <c r="Q876" s="313"/>
      <c r="R876" s="313"/>
    </row>
    <row r="877">
      <c r="A877" s="151"/>
      <c r="B877" s="151"/>
      <c r="M877" s="312"/>
      <c r="N877" s="313"/>
      <c r="O877" s="313"/>
      <c r="P877" s="313"/>
      <c r="Q877" s="313"/>
      <c r="R877" s="313"/>
    </row>
    <row r="878">
      <c r="A878" s="151"/>
      <c r="B878" s="151"/>
      <c r="M878" s="312"/>
      <c r="N878" s="313"/>
      <c r="O878" s="313"/>
      <c r="P878" s="313"/>
      <c r="Q878" s="313"/>
      <c r="R878" s="313"/>
    </row>
    <row r="879">
      <c r="A879" s="151"/>
      <c r="B879" s="151"/>
      <c r="M879" s="312"/>
      <c r="N879" s="313"/>
      <c r="O879" s="313"/>
      <c r="P879" s="313"/>
      <c r="Q879" s="313"/>
      <c r="R879" s="313"/>
    </row>
    <row r="880">
      <c r="A880" s="151"/>
      <c r="B880" s="151"/>
      <c r="M880" s="312"/>
      <c r="N880" s="313"/>
      <c r="O880" s="313"/>
      <c r="P880" s="313"/>
      <c r="Q880" s="313"/>
      <c r="R880" s="313"/>
    </row>
    <row r="881">
      <c r="A881" s="151"/>
      <c r="B881" s="151"/>
      <c r="M881" s="312"/>
      <c r="N881" s="313"/>
      <c r="O881" s="313"/>
      <c r="P881" s="313"/>
      <c r="Q881" s="313"/>
      <c r="R881" s="313"/>
    </row>
    <row r="882">
      <c r="A882" s="151"/>
      <c r="B882" s="151"/>
      <c r="M882" s="312"/>
      <c r="N882" s="313"/>
      <c r="O882" s="313"/>
      <c r="P882" s="313"/>
      <c r="Q882" s="313"/>
      <c r="R882" s="313"/>
    </row>
    <row r="883">
      <c r="A883" s="151"/>
      <c r="B883" s="151"/>
      <c r="M883" s="312"/>
      <c r="N883" s="313"/>
      <c r="O883" s="313"/>
      <c r="P883" s="313"/>
      <c r="Q883" s="313"/>
      <c r="R883" s="313"/>
    </row>
    <row r="884">
      <c r="A884" s="151"/>
      <c r="B884" s="151"/>
      <c r="M884" s="312"/>
      <c r="N884" s="313"/>
      <c r="O884" s="313"/>
      <c r="P884" s="313"/>
      <c r="Q884" s="313"/>
      <c r="R884" s="313"/>
    </row>
    <row r="885">
      <c r="A885" s="151"/>
      <c r="B885" s="151"/>
      <c r="M885" s="312"/>
      <c r="N885" s="313"/>
      <c r="O885" s="313"/>
      <c r="P885" s="313"/>
      <c r="Q885" s="313"/>
      <c r="R885" s="313"/>
    </row>
    <row r="886">
      <c r="A886" s="151"/>
      <c r="B886" s="151"/>
      <c r="M886" s="312"/>
      <c r="N886" s="313"/>
      <c r="O886" s="313"/>
      <c r="P886" s="313"/>
      <c r="Q886" s="313"/>
      <c r="R886" s="313"/>
    </row>
    <row r="887">
      <c r="A887" s="151"/>
      <c r="B887" s="151"/>
      <c r="M887" s="312"/>
      <c r="N887" s="313"/>
      <c r="O887" s="313"/>
      <c r="P887" s="313"/>
      <c r="Q887" s="313"/>
      <c r="R887" s="313"/>
    </row>
    <row r="888">
      <c r="A888" s="151"/>
      <c r="B888" s="151"/>
      <c r="M888" s="312"/>
      <c r="N888" s="313"/>
      <c r="O888" s="313"/>
      <c r="P888" s="313"/>
      <c r="Q888" s="313"/>
      <c r="R888" s="313"/>
    </row>
    <row r="889">
      <c r="A889" s="151"/>
      <c r="B889" s="151"/>
      <c r="M889" s="312"/>
      <c r="N889" s="313"/>
      <c r="O889" s="313"/>
      <c r="P889" s="313"/>
      <c r="Q889" s="313"/>
      <c r="R889" s="313"/>
    </row>
    <row r="890">
      <c r="A890" s="151"/>
      <c r="B890" s="151"/>
      <c r="M890" s="312"/>
      <c r="N890" s="313"/>
      <c r="O890" s="313"/>
      <c r="P890" s="313"/>
      <c r="Q890" s="313"/>
      <c r="R890" s="313"/>
    </row>
    <row r="891">
      <c r="A891" s="151"/>
      <c r="B891" s="151"/>
      <c r="M891" s="312"/>
      <c r="N891" s="313"/>
      <c r="O891" s="313"/>
      <c r="P891" s="313"/>
      <c r="Q891" s="313"/>
      <c r="R891" s="313"/>
    </row>
    <row r="892">
      <c r="A892" s="151"/>
      <c r="B892" s="151"/>
      <c r="M892" s="312"/>
      <c r="N892" s="313"/>
      <c r="O892" s="313"/>
      <c r="P892" s="313"/>
      <c r="Q892" s="313"/>
      <c r="R892" s="313"/>
    </row>
    <row r="893">
      <c r="A893" s="151"/>
      <c r="B893" s="151"/>
      <c r="M893" s="312"/>
      <c r="N893" s="313"/>
      <c r="O893" s="313"/>
      <c r="P893" s="313"/>
      <c r="Q893" s="313"/>
      <c r="R893" s="313"/>
    </row>
    <row r="894">
      <c r="A894" s="151"/>
      <c r="B894" s="151"/>
      <c r="M894" s="312"/>
      <c r="N894" s="313"/>
      <c r="O894" s="313"/>
      <c r="P894" s="313"/>
      <c r="Q894" s="313"/>
      <c r="R894" s="313"/>
    </row>
    <row r="895">
      <c r="A895" s="151"/>
      <c r="B895" s="151"/>
      <c r="M895" s="312"/>
      <c r="N895" s="313"/>
      <c r="O895" s="313"/>
      <c r="P895" s="313"/>
      <c r="Q895" s="313"/>
      <c r="R895" s="313"/>
    </row>
    <row r="896">
      <c r="A896" s="151"/>
      <c r="B896" s="151"/>
      <c r="M896" s="312"/>
      <c r="N896" s="313"/>
      <c r="O896" s="313"/>
      <c r="P896" s="313"/>
      <c r="Q896" s="313"/>
      <c r="R896" s="313"/>
    </row>
    <row r="897">
      <c r="A897" s="151"/>
      <c r="B897" s="151"/>
      <c r="M897" s="312"/>
      <c r="N897" s="313"/>
      <c r="O897" s="313"/>
      <c r="P897" s="313"/>
      <c r="Q897" s="313"/>
      <c r="R897" s="313"/>
    </row>
    <row r="898">
      <c r="A898" s="151"/>
      <c r="B898" s="151"/>
      <c r="M898" s="312"/>
      <c r="N898" s="313"/>
      <c r="O898" s="313"/>
      <c r="P898" s="313"/>
      <c r="Q898" s="313"/>
      <c r="R898" s="313"/>
    </row>
    <row r="899">
      <c r="A899" s="151"/>
      <c r="B899" s="151"/>
      <c r="M899" s="312"/>
      <c r="N899" s="313"/>
      <c r="O899" s="313"/>
      <c r="P899" s="313"/>
      <c r="Q899" s="313"/>
      <c r="R899" s="313"/>
    </row>
    <row r="900">
      <c r="A900" s="151"/>
      <c r="B900" s="151"/>
      <c r="M900" s="312"/>
      <c r="N900" s="313"/>
      <c r="O900" s="313"/>
      <c r="P900" s="313"/>
      <c r="Q900" s="313"/>
      <c r="R900" s="313"/>
    </row>
    <row r="901">
      <c r="A901" s="151"/>
      <c r="B901" s="151"/>
      <c r="M901" s="312"/>
      <c r="N901" s="313"/>
      <c r="O901" s="313"/>
      <c r="P901" s="313"/>
      <c r="Q901" s="313"/>
      <c r="R901" s="313"/>
    </row>
    <row r="902">
      <c r="A902" s="151"/>
      <c r="B902" s="151"/>
      <c r="M902" s="312"/>
      <c r="N902" s="313"/>
      <c r="O902" s="313"/>
      <c r="P902" s="313"/>
      <c r="Q902" s="313"/>
      <c r="R902" s="313"/>
    </row>
    <row r="903">
      <c r="A903" s="151"/>
      <c r="B903" s="151"/>
      <c r="M903" s="312"/>
      <c r="N903" s="313"/>
      <c r="O903" s="313"/>
      <c r="P903" s="313"/>
      <c r="Q903" s="313"/>
      <c r="R903" s="313"/>
    </row>
    <row r="904">
      <c r="A904" s="151"/>
      <c r="B904" s="151"/>
      <c r="M904" s="312"/>
      <c r="N904" s="313"/>
      <c r="O904" s="313"/>
      <c r="P904" s="313"/>
      <c r="Q904" s="313"/>
      <c r="R904" s="313"/>
    </row>
    <row r="905">
      <c r="A905" s="151"/>
      <c r="B905" s="151"/>
      <c r="M905" s="312"/>
      <c r="N905" s="313"/>
      <c r="O905" s="313"/>
      <c r="P905" s="313"/>
      <c r="Q905" s="313"/>
      <c r="R905" s="313"/>
    </row>
    <row r="906">
      <c r="A906" s="151"/>
      <c r="B906" s="151"/>
      <c r="M906" s="312"/>
      <c r="N906" s="313"/>
      <c r="O906" s="313"/>
      <c r="P906" s="313"/>
      <c r="Q906" s="313"/>
      <c r="R906" s="313"/>
    </row>
    <row r="907">
      <c r="A907" s="151"/>
      <c r="B907" s="151"/>
      <c r="M907" s="312"/>
      <c r="N907" s="313"/>
      <c r="O907" s="313"/>
      <c r="P907" s="313"/>
      <c r="Q907" s="313"/>
      <c r="R907" s="313"/>
    </row>
    <row r="908">
      <c r="A908" s="151"/>
      <c r="B908" s="151"/>
      <c r="M908" s="312"/>
      <c r="N908" s="313"/>
      <c r="O908" s="313"/>
      <c r="P908" s="313"/>
      <c r="Q908" s="313"/>
      <c r="R908" s="313"/>
    </row>
    <row r="909">
      <c r="A909" s="151"/>
      <c r="B909" s="151"/>
      <c r="M909" s="312"/>
      <c r="N909" s="313"/>
      <c r="O909" s="313"/>
      <c r="P909" s="313"/>
      <c r="Q909" s="313"/>
      <c r="R909" s="313"/>
    </row>
    <row r="910">
      <c r="A910" s="151"/>
      <c r="B910" s="151"/>
      <c r="M910" s="312"/>
      <c r="N910" s="313"/>
      <c r="O910" s="313"/>
      <c r="P910" s="313"/>
      <c r="Q910" s="313"/>
      <c r="R910" s="313"/>
    </row>
    <row r="911">
      <c r="A911" s="151"/>
      <c r="B911" s="151"/>
      <c r="M911" s="312"/>
      <c r="N911" s="313"/>
      <c r="O911" s="313"/>
      <c r="P911" s="313"/>
      <c r="Q911" s="313"/>
      <c r="R911" s="313"/>
    </row>
    <row r="912">
      <c r="A912" s="151"/>
      <c r="B912" s="151"/>
      <c r="M912" s="312"/>
      <c r="N912" s="313"/>
      <c r="O912" s="313"/>
      <c r="P912" s="313"/>
      <c r="Q912" s="313"/>
      <c r="R912" s="313"/>
    </row>
    <row r="913">
      <c r="A913" s="151"/>
      <c r="B913" s="151"/>
      <c r="M913" s="312"/>
      <c r="N913" s="313"/>
      <c r="O913" s="313"/>
      <c r="P913" s="313"/>
      <c r="Q913" s="313"/>
      <c r="R913" s="313"/>
    </row>
    <row r="914">
      <c r="A914" s="151"/>
      <c r="B914" s="151"/>
      <c r="M914" s="312"/>
      <c r="N914" s="313"/>
      <c r="O914" s="313"/>
      <c r="P914" s="313"/>
      <c r="Q914" s="313"/>
      <c r="R914" s="313"/>
    </row>
    <row r="915">
      <c r="A915" s="151"/>
      <c r="B915" s="151"/>
      <c r="M915" s="312"/>
      <c r="N915" s="313"/>
      <c r="O915" s="313"/>
      <c r="P915" s="313"/>
      <c r="Q915" s="313"/>
      <c r="R915" s="313"/>
    </row>
    <row r="916">
      <c r="A916" s="151"/>
      <c r="B916" s="151"/>
      <c r="M916" s="312"/>
      <c r="N916" s="313"/>
      <c r="O916" s="313"/>
      <c r="P916" s="313"/>
      <c r="Q916" s="313"/>
      <c r="R916" s="313"/>
    </row>
    <row r="917">
      <c r="A917" s="151"/>
      <c r="B917" s="151"/>
      <c r="M917" s="312"/>
      <c r="N917" s="313"/>
      <c r="O917" s="313"/>
      <c r="P917" s="313"/>
      <c r="Q917" s="313"/>
      <c r="R917" s="313"/>
    </row>
    <row r="918">
      <c r="A918" s="151"/>
      <c r="B918" s="151"/>
      <c r="M918" s="312"/>
      <c r="N918" s="313"/>
      <c r="O918" s="313"/>
      <c r="P918" s="313"/>
      <c r="Q918" s="313"/>
      <c r="R918" s="313"/>
    </row>
    <row r="919">
      <c r="A919" s="151"/>
      <c r="B919" s="151"/>
      <c r="M919" s="312"/>
      <c r="N919" s="313"/>
      <c r="O919" s="313"/>
      <c r="P919" s="313"/>
      <c r="Q919" s="313"/>
      <c r="R919" s="313"/>
    </row>
    <row r="920">
      <c r="A920" s="151"/>
      <c r="B920" s="151"/>
      <c r="M920" s="312"/>
      <c r="N920" s="313"/>
      <c r="O920" s="313"/>
      <c r="P920" s="313"/>
      <c r="Q920" s="313"/>
      <c r="R920" s="313"/>
    </row>
    <row r="921">
      <c r="A921" s="151"/>
      <c r="B921" s="151"/>
      <c r="M921" s="312"/>
      <c r="N921" s="313"/>
      <c r="O921" s="313"/>
      <c r="P921" s="313"/>
      <c r="Q921" s="313"/>
      <c r="R921" s="313"/>
    </row>
    <row r="922">
      <c r="A922" s="151"/>
      <c r="B922" s="151"/>
      <c r="M922" s="312"/>
      <c r="N922" s="313"/>
      <c r="O922" s="313"/>
      <c r="P922" s="313"/>
      <c r="Q922" s="313"/>
      <c r="R922" s="313"/>
    </row>
    <row r="923">
      <c r="A923" s="151"/>
      <c r="B923" s="151"/>
      <c r="M923" s="312"/>
      <c r="N923" s="313"/>
      <c r="O923" s="313"/>
      <c r="P923" s="313"/>
      <c r="Q923" s="313"/>
      <c r="R923" s="313"/>
    </row>
    <row r="924">
      <c r="A924" s="151"/>
      <c r="B924" s="151"/>
      <c r="M924" s="312"/>
      <c r="N924" s="313"/>
      <c r="O924" s="313"/>
      <c r="P924" s="313"/>
      <c r="Q924" s="313"/>
      <c r="R924" s="313"/>
    </row>
    <row r="925">
      <c r="A925" s="151"/>
      <c r="B925" s="151"/>
      <c r="M925" s="312"/>
      <c r="N925" s="313"/>
      <c r="O925" s="313"/>
      <c r="P925" s="313"/>
      <c r="Q925" s="313"/>
      <c r="R925" s="313"/>
    </row>
    <row r="926">
      <c r="A926" s="151"/>
      <c r="B926" s="151"/>
      <c r="M926" s="312"/>
      <c r="N926" s="313"/>
      <c r="O926" s="313"/>
      <c r="P926" s="313"/>
      <c r="Q926" s="313"/>
      <c r="R926" s="313"/>
    </row>
    <row r="927">
      <c r="A927" s="151"/>
      <c r="B927" s="151"/>
      <c r="M927" s="312"/>
      <c r="N927" s="313"/>
      <c r="O927" s="313"/>
      <c r="P927" s="313"/>
      <c r="Q927" s="313"/>
      <c r="R927" s="313"/>
    </row>
    <row r="928">
      <c r="A928" s="151"/>
      <c r="B928" s="151"/>
      <c r="M928" s="312"/>
      <c r="N928" s="313"/>
      <c r="O928" s="313"/>
      <c r="P928" s="313"/>
      <c r="Q928" s="313"/>
      <c r="R928" s="313"/>
    </row>
    <row r="929">
      <c r="A929" s="151"/>
      <c r="B929" s="151"/>
      <c r="M929" s="312"/>
      <c r="N929" s="313"/>
      <c r="O929" s="313"/>
      <c r="P929" s="313"/>
      <c r="Q929" s="313"/>
      <c r="R929" s="313"/>
    </row>
    <row r="930">
      <c r="A930" s="151"/>
      <c r="B930" s="151"/>
      <c r="M930" s="312"/>
      <c r="N930" s="313"/>
      <c r="O930" s="313"/>
      <c r="P930" s="313"/>
      <c r="Q930" s="313"/>
      <c r="R930" s="313"/>
    </row>
    <row r="931">
      <c r="A931" s="151"/>
      <c r="B931" s="151"/>
      <c r="M931" s="312"/>
      <c r="N931" s="313"/>
      <c r="O931" s="313"/>
      <c r="P931" s="313"/>
      <c r="Q931" s="313"/>
      <c r="R931" s="313"/>
    </row>
    <row r="932">
      <c r="A932" s="151"/>
      <c r="B932" s="151"/>
      <c r="M932" s="312"/>
      <c r="N932" s="313"/>
      <c r="O932" s="313"/>
      <c r="P932" s="313"/>
      <c r="Q932" s="313"/>
      <c r="R932" s="313"/>
    </row>
    <row r="933">
      <c r="A933" s="151"/>
      <c r="B933" s="151"/>
      <c r="M933" s="312"/>
      <c r="N933" s="313"/>
      <c r="O933" s="313"/>
      <c r="P933" s="313"/>
      <c r="Q933" s="313"/>
      <c r="R933" s="313"/>
    </row>
    <row r="934">
      <c r="A934" s="151"/>
      <c r="B934" s="151"/>
      <c r="M934" s="312"/>
      <c r="N934" s="313"/>
      <c r="O934" s="313"/>
      <c r="P934" s="313"/>
      <c r="Q934" s="313"/>
      <c r="R934" s="313"/>
    </row>
    <row r="935">
      <c r="A935" s="151"/>
      <c r="B935" s="151"/>
      <c r="M935" s="312"/>
      <c r="N935" s="313"/>
      <c r="O935" s="313"/>
      <c r="P935" s="313"/>
      <c r="Q935" s="313"/>
      <c r="R935" s="313"/>
    </row>
    <row r="936">
      <c r="A936" s="151"/>
      <c r="B936" s="151"/>
      <c r="M936" s="312"/>
      <c r="N936" s="313"/>
      <c r="O936" s="313"/>
      <c r="P936" s="313"/>
      <c r="Q936" s="313"/>
      <c r="R936" s="313"/>
    </row>
    <row r="937">
      <c r="A937" s="151"/>
      <c r="B937" s="151"/>
      <c r="M937" s="312"/>
      <c r="N937" s="313"/>
      <c r="O937" s="313"/>
      <c r="P937" s="313"/>
      <c r="Q937" s="313"/>
      <c r="R937" s="313"/>
    </row>
    <row r="938">
      <c r="A938" s="151"/>
      <c r="B938" s="151"/>
      <c r="M938" s="312"/>
      <c r="N938" s="313"/>
      <c r="O938" s="313"/>
      <c r="P938" s="313"/>
      <c r="Q938" s="313"/>
      <c r="R938" s="313"/>
    </row>
    <row r="939">
      <c r="A939" s="151"/>
      <c r="B939" s="151"/>
      <c r="M939" s="312"/>
      <c r="N939" s="313"/>
      <c r="O939" s="313"/>
      <c r="P939" s="313"/>
      <c r="Q939" s="313"/>
      <c r="R939" s="313"/>
    </row>
    <row r="940">
      <c r="A940" s="151"/>
      <c r="B940" s="151"/>
      <c r="M940" s="312"/>
      <c r="N940" s="313"/>
      <c r="O940" s="313"/>
      <c r="P940" s="313"/>
      <c r="Q940" s="313"/>
      <c r="R940" s="313"/>
    </row>
    <row r="941">
      <c r="A941" s="151"/>
      <c r="B941" s="151"/>
      <c r="M941" s="312"/>
      <c r="N941" s="313"/>
      <c r="O941" s="313"/>
      <c r="P941" s="313"/>
      <c r="Q941" s="313"/>
      <c r="R941" s="313"/>
    </row>
    <row r="942">
      <c r="A942" s="151"/>
      <c r="B942" s="151"/>
      <c r="M942" s="312"/>
      <c r="N942" s="313"/>
      <c r="O942" s="313"/>
      <c r="P942" s="313"/>
      <c r="Q942" s="313"/>
      <c r="R942" s="313"/>
    </row>
    <row r="943">
      <c r="A943" s="151"/>
      <c r="B943" s="151"/>
      <c r="M943" s="312"/>
      <c r="N943" s="313"/>
      <c r="O943" s="313"/>
      <c r="P943" s="313"/>
      <c r="Q943" s="313"/>
      <c r="R943" s="313"/>
    </row>
    <row r="944">
      <c r="A944" s="151"/>
      <c r="B944" s="151"/>
      <c r="M944" s="312"/>
      <c r="N944" s="313"/>
      <c r="O944" s="313"/>
      <c r="P944" s="313"/>
      <c r="Q944" s="313"/>
      <c r="R944" s="313"/>
    </row>
    <row r="945">
      <c r="A945" s="151"/>
      <c r="B945" s="151"/>
      <c r="M945" s="312"/>
      <c r="N945" s="313"/>
      <c r="O945" s="313"/>
      <c r="P945" s="313"/>
      <c r="Q945" s="313"/>
      <c r="R945" s="313"/>
    </row>
    <row r="946">
      <c r="A946" s="151"/>
      <c r="B946" s="151"/>
      <c r="M946" s="312"/>
      <c r="N946" s="313"/>
      <c r="O946" s="313"/>
      <c r="P946" s="313"/>
      <c r="Q946" s="313"/>
      <c r="R946" s="313"/>
    </row>
    <row r="947">
      <c r="A947" s="151"/>
      <c r="B947" s="151"/>
      <c r="M947" s="312"/>
      <c r="N947" s="313"/>
      <c r="O947" s="313"/>
      <c r="P947" s="313"/>
      <c r="Q947" s="313"/>
      <c r="R947" s="313"/>
    </row>
    <row r="948">
      <c r="A948" s="151"/>
      <c r="B948" s="151"/>
      <c r="M948" s="312"/>
      <c r="N948" s="313"/>
      <c r="O948" s="313"/>
      <c r="P948" s="313"/>
      <c r="Q948" s="313"/>
      <c r="R948" s="313"/>
    </row>
    <row r="949">
      <c r="A949" s="151"/>
      <c r="B949" s="151"/>
      <c r="M949" s="312"/>
      <c r="N949" s="313"/>
      <c r="O949" s="313"/>
      <c r="P949" s="313"/>
      <c r="Q949" s="313"/>
      <c r="R949" s="313"/>
    </row>
    <row r="950">
      <c r="A950" s="151"/>
      <c r="B950" s="151"/>
      <c r="M950" s="312"/>
      <c r="N950" s="313"/>
      <c r="O950" s="313"/>
      <c r="P950" s="313"/>
      <c r="Q950" s="313"/>
      <c r="R950" s="313"/>
    </row>
    <row r="951">
      <c r="A951" s="151"/>
      <c r="B951" s="151"/>
      <c r="M951" s="312"/>
      <c r="N951" s="313"/>
      <c r="O951" s="313"/>
      <c r="P951" s="313"/>
      <c r="Q951" s="313"/>
      <c r="R951" s="313"/>
    </row>
    <row r="952">
      <c r="A952" s="151"/>
      <c r="B952" s="151"/>
      <c r="M952" s="312"/>
      <c r="N952" s="313"/>
      <c r="O952" s="313"/>
      <c r="P952" s="313"/>
      <c r="Q952" s="313"/>
      <c r="R952" s="313"/>
    </row>
    <row r="953">
      <c r="A953" s="151"/>
      <c r="B953" s="151"/>
      <c r="M953" s="312"/>
      <c r="N953" s="313"/>
      <c r="O953" s="313"/>
      <c r="P953" s="313"/>
      <c r="Q953" s="313"/>
      <c r="R953" s="313"/>
    </row>
    <row r="954">
      <c r="A954" s="151"/>
      <c r="B954" s="151"/>
      <c r="M954" s="312"/>
      <c r="N954" s="313"/>
      <c r="O954" s="313"/>
      <c r="P954" s="313"/>
      <c r="Q954" s="313"/>
      <c r="R954" s="313"/>
    </row>
    <row r="955">
      <c r="A955" s="151"/>
      <c r="B955" s="151"/>
      <c r="M955" s="312"/>
      <c r="N955" s="313"/>
      <c r="O955" s="313"/>
      <c r="P955" s="313"/>
      <c r="Q955" s="313"/>
      <c r="R955" s="313"/>
    </row>
    <row r="956">
      <c r="A956" s="151"/>
      <c r="B956" s="151"/>
      <c r="M956" s="312"/>
      <c r="N956" s="313"/>
      <c r="O956" s="313"/>
      <c r="P956" s="313"/>
      <c r="Q956" s="313"/>
      <c r="R956" s="313"/>
    </row>
    <row r="957">
      <c r="A957" s="151"/>
      <c r="B957" s="151"/>
      <c r="M957" s="312"/>
      <c r="N957" s="313"/>
      <c r="O957" s="313"/>
      <c r="P957" s="313"/>
      <c r="Q957" s="313"/>
      <c r="R957" s="313"/>
    </row>
    <row r="958">
      <c r="A958" s="151"/>
      <c r="B958" s="151"/>
      <c r="M958" s="312"/>
      <c r="N958" s="313"/>
      <c r="O958" s="313"/>
      <c r="P958" s="313"/>
      <c r="Q958" s="313"/>
      <c r="R958" s="313"/>
    </row>
    <row r="959">
      <c r="A959" s="151"/>
      <c r="B959" s="151"/>
      <c r="M959" s="312"/>
      <c r="N959" s="313"/>
      <c r="O959" s="313"/>
      <c r="P959" s="313"/>
      <c r="Q959" s="313"/>
      <c r="R959" s="313"/>
    </row>
    <row r="960">
      <c r="A960" s="151"/>
      <c r="B960" s="151"/>
      <c r="M960" s="312"/>
      <c r="N960" s="313"/>
      <c r="O960" s="313"/>
      <c r="P960" s="313"/>
      <c r="Q960" s="313"/>
      <c r="R960" s="313"/>
    </row>
    <row r="961">
      <c r="A961" s="151"/>
      <c r="B961" s="151"/>
      <c r="M961" s="312"/>
      <c r="N961" s="313"/>
      <c r="O961" s="313"/>
      <c r="P961" s="313"/>
      <c r="Q961" s="313"/>
      <c r="R961" s="313"/>
    </row>
    <row r="962">
      <c r="A962" s="151"/>
      <c r="B962" s="151"/>
      <c r="M962" s="312"/>
      <c r="N962" s="313"/>
      <c r="O962" s="313"/>
      <c r="P962" s="313"/>
      <c r="Q962" s="313"/>
      <c r="R962" s="313"/>
    </row>
    <row r="963">
      <c r="A963" s="151"/>
      <c r="B963" s="151"/>
      <c r="M963" s="312"/>
      <c r="N963" s="313"/>
      <c r="O963" s="313"/>
      <c r="P963" s="313"/>
      <c r="Q963" s="313"/>
      <c r="R963" s="313"/>
    </row>
    <row r="964">
      <c r="A964" s="151"/>
      <c r="B964" s="151"/>
      <c r="M964" s="312"/>
      <c r="N964" s="313"/>
      <c r="O964" s="313"/>
      <c r="P964" s="313"/>
      <c r="Q964" s="313"/>
      <c r="R964" s="313"/>
    </row>
    <row r="965">
      <c r="A965" s="151"/>
      <c r="B965" s="151"/>
      <c r="M965" s="312"/>
      <c r="N965" s="313"/>
      <c r="O965" s="313"/>
      <c r="P965" s="313"/>
      <c r="Q965" s="313"/>
      <c r="R965" s="313"/>
    </row>
    <row r="966">
      <c r="A966" s="151"/>
      <c r="B966" s="151"/>
      <c r="M966" s="312"/>
      <c r="N966" s="313"/>
      <c r="O966" s="313"/>
      <c r="P966" s="313"/>
      <c r="Q966" s="313"/>
      <c r="R966" s="313"/>
    </row>
    <row r="967">
      <c r="A967" s="151"/>
      <c r="B967" s="151"/>
      <c r="M967" s="312"/>
      <c r="N967" s="313"/>
      <c r="O967" s="313"/>
      <c r="P967" s="313"/>
      <c r="Q967" s="313"/>
      <c r="R967" s="313"/>
    </row>
    <row r="968">
      <c r="A968" s="151"/>
      <c r="B968" s="151"/>
      <c r="M968" s="312"/>
      <c r="N968" s="313"/>
      <c r="O968" s="313"/>
      <c r="P968" s="313"/>
      <c r="Q968" s="313"/>
      <c r="R968" s="313"/>
    </row>
    <row r="969">
      <c r="A969" s="151"/>
      <c r="B969" s="151"/>
      <c r="M969" s="312"/>
      <c r="N969" s="313"/>
      <c r="O969" s="313"/>
      <c r="P969" s="313"/>
      <c r="Q969" s="313"/>
      <c r="R969" s="313"/>
    </row>
    <row r="970">
      <c r="A970" s="151"/>
      <c r="B970" s="151"/>
      <c r="M970" s="312"/>
      <c r="N970" s="313"/>
      <c r="O970" s="313"/>
      <c r="P970" s="313"/>
      <c r="Q970" s="313"/>
      <c r="R970" s="313"/>
    </row>
    <row r="971">
      <c r="A971" s="151"/>
      <c r="B971" s="151"/>
      <c r="M971" s="312"/>
      <c r="N971" s="313"/>
      <c r="O971" s="313"/>
      <c r="P971" s="313"/>
      <c r="Q971" s="313"/>
      <c r="R971" s="313"/>
    </row>
    <row r="972">
      <c r="A972" s="151"/>
      <c r="B972" s="151"/>
      <c r="M972" s="312"/>
      <c r="N972" s="313"/>
      <c r="O972" s="313"/>
      <c r="P972" s="313"/>
      <c r="Q972" s="313"/>
      <c r="R972" s="313"/>
    </row>
    <row r="973">
      <c r="A973" s="151"/>
      <c r="B973" s="151"/>
      <c r="M973" s="312"/>
      <c r="N973" s="313"/>
      <c r="O973" s="313"/>
      <c r="P973" s="313"/>
      <c r="Q973" s="313"/>
      <c r="R973" s="313"/>
    </row>
    <row r="974">
      <c r="A974" s="151"/>
      <c r="B974" s="151"/>
      <c r="M974" s="312"/>
      <c r="N974" s="313"/>
      <c r="O974" s="313"/>
      <c r="P974" s="313"/>
      <c r="Q974" s="313"/>
      <c r="R974" s="313"/>
    </row>
    <row r="975">
      <c r="A975" s="151"/>
      <c r="B975" s="151"/>
      <c r="M975" s="312"/>
      <c r="N975" s="313"/>
      <c r="O975" s="313"/>
      <c r="P975" s="313"/>
      <c r="Q975" s="313"/>
      <c r="R975" s="313"/>
    </row>
    <row r="976">
      <c r="A976" s="151"/>
      <c r="B976" s="151"/>
      <c r="M976" s="312"/>
      <c r="N976" s="313"/>
      <c r="O976" s="313"/>
      <c r="P976" s="313"/>
      <c r="Q976" s="313"/>
      <c r="R976" s="313"/>
    </row>
    <row r="977">
      <c r="A977" s="151"/>
      <c r="B977" s="151"/>
      <c r="M977" s="312"/>
      <c r="N977" s="313"/>
      <c r="O977" s="313"/>
      <c r="P977" s="313"/>
      <c r="Q977" s="313"/>
      <c r="R977" s="313"/>
    </row>
    <row r="978">
      <c r="A978" s="151"/>
      <c r="B978" s="151"/>
      <c r="M978" s="312"/>
      <c r="N978" s="313"/>
      <c r="O978" s="313"/>
      <c r="P978" s="313"/>
      <c r="Q978" s="313"/>
      <c r="R978" s="313"/>
    </row>
    <row r="979">
      <c r="A979" s="151"/>
      <c r="B979" s="151"/>
      <c r="M979" s="312"/>
      <c r="N979" s="313"/>
      <c r="O979" s="313"/>
      <c r="P979" s="313"/>
      <c r="Q979" s="313"/>
      <c r="R979" s="313"/>
    </row>
    <row r="980">
      <c r="A980" s="151"/>
      <c r="B980" s="151"/>
      <c r="M980" s="312"/>
      <c r="N980" s="313"/>
      <c r="O980" s="313"/>
      <c r="P980" s="313"/>
      <c r="Q980" s="313"/>
      <c r="R980" s="313"/>
    </row>
    <row r="981">
      <c r="A981" s="151"/>
      <c r="B981" s="151"/>
      <c r="M981" s="312"/>
      <c r="N981" s="313"/>
      <c r="O981" s="313"/>
      <c r="P981" s="313"/>
      <c r="Q981" s="313"/>
      <c r="R981" s="313"/>
    </row>
    <row r="982">
      <c r="A982" s="151"/>
      <c r="B982" s="151"/>
      <c r="M982" s="312"/>
      <c r="N982" s="313"/>
      <c r="O982" s="313"/>
      <c r="P982" s="313"/>
      <c r="Q982" s="313"/>
      <c r="R982" s="313"/>
    </row>
    <row r="983">
      <c r="A983" s="151"/>
      <c r="B983" s="151"/>
      <c r="M983" s="312"/>
      <c r="N983" s="313"/>
      <c r="O983" s="313"/>
      <c r="P983" s="313"/>
      <c r="Q983" s="313"/>
      <c r="R983" s="313"/>
    </row>
    <row r="984">
      <c r="A984" s="151"/>
      <c r="B984" s="151"/>
      <c r="M984" s="312"/>
      <c r="N984" s="313"/>
      <c r="O984" s="313"/>
      <c r="P984" s="313"/>
      <c r="Q984" s="313"/>
      <c r="R984" s="313"/>
    </row>
    <row r="985">
      <c r="A985" s="151"/>
      <c r="B985" s="151"/>
      <c r="M985" s="312"/>
      <c r="N985" s="313"/>
      <c r="O985" s="313"/>
      <c r="P985" s="313"/>
      <c r="Q985" s="313"/>
      <c r="R985" s="313"/>
    </row>
    <row r="986">
      <c r="A986" s="151"/>
      <c r="B986" s="151"/>
      <c r="M986" s="312"/>
      <c r="N986" s="313"/>
      <c r="O986" s="313"/>
      <c r="P986" s="313"/>
      <c r="Q986" s="313"/>
      <c r="R986" s="313"/>
    </row>
    <row r="987">
      <c r="A987" s="151"/>
      <c r="B987" s="151"/>
      <c r="M987" s="312"/>
      <c r="N987" s="313"/>
      <c r="O987" s="313"/>
      <c r="P987" s="313"/>
      <c r="Q987" s="313"/>
      <c r="R987" s="313"/>
    </row>
    <row r="988">
      <c r="A988" s="151"/>
      <c r="B988" s="151"/>
      <c r="M988" s="312"/>
      <c r="N988" s="313"/>
      <c r="O988" s="313"/>
      <c r="P988" s="313"/>
      <c r="Q988" s="313"/>
      <c r="R988" s="313"/>
    </row>
    <row r="989">
      <c r="A989" s="151"/>
      <c r="B989" s="151"/>
      <c r="M989" s="312"/>
      <c r="N989" s="313"/>
      <c r="O989" s="313"/>
      <c r="P989" s="313"/>
      <c r="Q989" s="313"/>
      <c r="R989" s="313"/>
    </row>
    <row r="990">
      <c r="A990" s="151"/>
      <c r="B990" s="151"/>
      <c r="M990" s="312"/>
      <c r="N990" s="313"/>
      <c r="O990" s="313"/>
      <c r="P990" s="313"/>
      <c r="Q990" s="313"/>
      <c r="R990" s="313"/>
    </row>
    <row r="991">
      <c r="A991" s="151"/>
      <c r="B991" s="151"/>
      <c r="M991" s="312"/>
      <c r="N991" s="313"/>
      <c r="O991" s="313"/>
      <c r="P991" s="313"/>
      <c r="Q991" s="313"/>
      <c r="R991" s="313"/>
    </row>
    <row r="992">
      <c r="A992" s="151"/>
      <c r="B992" s="151"/>
      <c r="M992" s="312"/>
      <c r="N992" s="313"/>
      <c r="O992" s="313"/>
      <c r="P992" s="313"/>
      <c r="Q992" s="313"/>
      <c r="R992" s="313"/>
    </row>
    <row r="993">
      <c r="A993" s="151"/>
      <c r="B993" s="151"/>
      <c r="M993" s="312"/>
      <c r="N993" s="313"/>
      <c r="O993" s="313"/>
      <c r="P993" s="313"/>
      <c r="Q993" s="313"/>
      <c r="R993" s="313"/>
    </row>
    <row r="994">
      <c r="A994" s="151"/>
      <c r="B994" s="151"/>
      <c r="M994" s="312"/>
      <c r="N994" s="313"/>
      <c r="O994" s="313"/>
      <c r="P994" s="313"/>
      <c r="Q994" s="313"/>
      <c r="R994" s="313"/>
    </row>
    <row r="995">
      <c r="A995" s="151"/>
      <c r="B995" s="151"/>
      <c r="M995" s="312"/>
      <c r="N995" s="313"/>
      <c r="O995" s="313"/>
      <c r="P995" s="313"/>
      <c r="Q995" s="313"/>
      <c r="R995" s="313"/>
    </row>
    <row r="996">
      <c r="A996" s="151"/>
      <c r="B996" s="151"/>
      <c r="M996" s="312"/>
      <c r="N996" s="313"/>
      <c r="O996" s="313"/>
      <c r="P996" s="313"/>
      <c r="Q996" s="313"/>
      <c r="R996" s="313"/>
    </row>
    <row r="997">
      <c r="A997" s="151"/>
      <c r="B997" s="151"/>
      <c r="M997" s="312"/>
      <c r="N997" s="313"/>
      <c r="O997" s="313"/>
      <c r="P997" s="313"/>
      <c r="Q997" s="313"/>
      <c r="R997" s="313"/>
    </row>
    <row r="998">
      <c r="A998" s="151"/>
      <c r="B998" s="151"/>
      <c r="M998" s="312"/>
      <c r="N998" s="313"/>
      <c r="O998" s="313"/>
      <c r="P998" s="313"/>
      <c r="Q998" s="313"/>
      <c r="R998" s="313"/>
    </row>
    <row r="999">
      <c r="A999" s="151"/>
      <c r="B999" s="151"/>
      <c r="M999" s="312"/>
      <c r="N999" s="313"/>
      <c r="O999" s="313"/>
      <c r="P999" s="313"/>
      <c r="Q999" s="313"/>
      <c r="R999" s="313"/>
    </row>
    <row r="1000">
      <c r="A1000" s="151"/>
      <c r="B1000" s="151"/>
      <c r="M1000" s="312"/>
      <c r="N1000" s="313"/>
      <c r="O1000" s="313"/>
      <c r="P1000" s="313"/>
      <c r="Q1000" s="313"/>
      <c r="R1000" s="313"/>
    </row>
  </sheetData>
  <hyperlinks>
    <hyperlink r:id="rId1" ref="T2"/>
    <hyperlink r:id="rId2" ref="T3"/>
    <hyperlink r:id="rId3" ref="T4"/>
  </hyperlinks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14" max="17" width="18.88"/>
  </cols>
  <sheetData>
    <row r="1">
      <c r="A1" s="181" t="s">
        <v>506</v>
      </c>
      <c r="B1" s="144" t="s">
        <v>378</v>
      </c>
      <c r="C1" s="144" t="s">
        <v>379</v>
      </c>
      <c r="D1" s="144" t="s">
        <v>380</v>
      </c>
      <c r="E1" s="144" t="s">
        <v>381</v>
      </c>
      <c r="F1" s="144" t="s">
        <v>508</v>
      </c>
      <c r="G1" s="314" t="s">
        <v>3366</v>
      </c>
      <c r="H1" s="144" t="s">
        <v>510</v>
      </c>
      <c r="I1" s="144" t="s">
        <v>3367</v>
      </c>
      <c r="J1" s="144" t="s">
        <v>691</v>
      </c>
      <c r="K1" s="158" t="s">
        <v>511</v>
      </c>
      <c r="L1" s="158" t="s">
        <v>3368</v>
      </c>
      <c r="M1" s="128" t="s">
        <v>907</v>
      </c>
      <c r="N1" s="148" t="s">
        <v>3369</v>
      </c>
      <c r="O1" s="148" t="s">
        <v>3370</v>
      </c>
      <c r="P1" s="148" t="s">
        <v>3371</v>
      </c>
      <c r="Q1" s="148" t="s">
        <v>3372</v>
      </c>
    </row>
    <row r="2">
      <c r="A2" s="135">
        <v>45763.0</v>
      </c>
      <c r="B2" s="135">
        <v>45782.0</v>
      </c>
      <c r="C2" s="17" t="s">
        <v>453</v>
      </c>
      <c r="D2" s="17">
        <v>199.0</v>
      </c>
      <c r="E2" s="17" t="s">
        <v>3373</v>
      </c>
      <c r="F2" s="17" t="s">
        <v>3374</v>
      </c>
      <c r="G2" s="17" t="s">
        <v>3375</v>
      </c>
      <c r="H2" s="17" t="s">
        <v>1487</v>
      </c>
      <c r="I2" s="17" t="s">
        <v>3376</v>
      </c>
      <c r="J2" s="17" t="s">
        <v>572</v>
      </c>
      <c r="K2" s="17">
        <v>3.0</v>
      </c>
      <c r="L2" s="141">
        <v>100000.0</v>
      </c>
      <c r="M2" s="140">
        <f>K2*L2</f>
        <v>300000</v>
      </c>
      <c r="N2" s="17" t="s">
        <v>3377</v>
      </c>
      <c r="O2" s="133" t="s">
        <v>3378</v>
      </c>
      <c r="P2" s="134" t="str">
        <f>HYPERLINK("https://drive.google.com/file/d/1UgsRS1siFO5LTOixuwONMd4_sC2wvKBK/view?usp=drivesdk","Pewarnaan_Gram_199")</f>
        <v>Pewarnaan_Gram_199</v>
      </c>
      <c r="Q2" s="17" t="s">
        <v>3379</v>
      </c>
    </row>
  </sheetData>
  <hyperlinks>
    <hyperlink r:id="rId1" ref="O2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4.0"/>
    <col customWidth="1" min="3" max="4" width="7.88"/>
    <col customWidth="1" min="5" max="5" width="28.0"/>
    <col customWidth="1" min="11" max="11" width="9.13"/>
    <col customWidth="1" min="22" max="25" width="18.88"/>
  </cols>
  <sheetData>
    <row r="1">
      <c r="A1" s="158" t="s">
        <v>506</v>
      </c>
      <c r="B1" s="144" t="s">
        <v>378</v>
      </c>
      <c r="C1" s="144" t="s">
        <v>379</v>
      </c>
      <c r="D1" s="144" t="s">
        <v>380</v>
      </c>
      <c r="E1" s="144" t="s">
        <v>381</v>
      </c>
      <c r="F1" s="144" t="s">
        <v>508</v>
      </c>
      <c r="G1" s="314" t="s">
        <v>3380</v>
      </c>
      <c r="H1" s="144" t="s">
        <v>510</v>
      </c>
      <c r="I1" s="144" t="s">
        <v>3367</v>
      </c>
      <c r="J1" s="144" t="s">
        <v>691</v>
      </c>
      <c r="K1" s="158" t="s">
        <v>511</v>
      </c>
      <c r="L1" s="158" t="s">
        <v>1424</v>
      </c>
      <c r="M1" s="158" t="s">
        <v>1425</v>
      </c>
      <c r="N1" s="128" t="s">
        <v>907</v>
      </c>
      <c r="O1" s="127" t="s">
        <v>1426</v>
      </c>
      <c r="P1" s="127" t="s">
        <v>3381</v>
      </c>
      <c r="Q1" s="127" t="s">
        <v>1428</v>
      </c>
      <c r="R1" s="127" t="s">
        <v>1431</v>
      </c>
      <c r="S1" s="315" t="s">
        <v>3382</v>
      </c>
      <c r="T1" s="315" t="s">
        <v>1435</v>
      </c>
      <c r="U1" s="316" t="s">
        <v>3383</v>
      </c>
      <c r="V1" s="148" t="s">
        <v>3384</v>
      </c>
      <c r="W1" s="148" t="s">
        <v>3385</v>
      </c>
      <c r="X1" s="148" t="s">
        <v>3386</v>
      </c>
      <c r="Y1" s="148" t="s">
        <v>3387</v>
      </c>
    </row>
    <row r="2">
      <c r="A2" s="135">
        <v>45453.0</v>
      </c>
      <c r="B2" s="135">
        <v>45559.0</v>
      </c>
      <c r="C2" s="17" t="s">
        <v>453</v>
      </c>
      <c r="D2" s="17">
        <v>537.0</v>
      </c>
      <c r="E2" s="17" t="s">
        <v>3388</v>
      </c>
      <c r="F2" s="17" t="s">
        <v>3389</v>
      </c>
      <c r="G2" s="17" t="s">
        <v>3390</v>
      </c>
      <c r="H2" s="17" t="s">
        <v>621</v>
      </c>
      <c r="I2" s="17" t="s">
        <v>287</v>
      </c>
      <c r="J2" s="17" t="s">
        <v>3391</v>
      </c>
      <c r="K2" s="17">
        <v>30.0</v>
      </c>
      <c r="L2" s="17">
        <v>60.0</v>
      </c>
      <c r="M2" s="140">
        <f t="shared" ref="M2:M5" si="1">if(H2="Akses",100000,IF(H2="Tidak Akses",200000,0))</f>
        <v>100000</v>
      </c>
      <c r="N2" s="150"/>
      <c r="O2" s="150">
        <v>45.0</v>
      </c>
      <c r="P2" s="150">
        <v>10.0</v>
      </c>
      <c r="Q2" s="150">
        <f t="shared" ref="Q2:Q18" si="2">30*L2</f>
        <v>1800</v>
      </c>
      <c r="R2" s="150">
        <v>10.0</v>
      </c>
      <c r="S2" s="150">
        <f t="shared" ref="S2:S18" si="3">10*L2</f>
        <v>600</v>
      </c>
      <c r="T2" s="150">
        <v>10.0</v>
      </c>
      <c r="U2" s="171">
        <f t="shared" ref="U2:U18" si="4">SUM(O2:T2)</f>
        <v>2475</v>
      </c>
      <c r="V2" s="17" t="s">
        <v>3392</v>
      </c>
      <c r="W2" s="133" t="s">
        <v>3393</v>
      </c>
      <c r="X2" s="134" t="str">
        <f>HYPERLINK("https://drive.google.com/file/d/1RJ5uMhk4r0qhbksCbVJRBhcJnqjbf_ba/view?usp=drivesdk","ALT_537")</f>
        <v>ALT_537</v>
      </c>
      <c r="Y2" s="17" t="s">
        <v>3394</v>
      </c>
    </row>
    <row r="3">
      <c r="A3" s="135">
        <v>45462.0</v>
      </c>
      <c r="B3" s="135">
        <v>45559.0</v>
      </c>
      <c r="C3" s="17" t="s">
        <v>453</v>
      </c>
      <c r="D3" s="17">
        <v>560.0</v>
      </c>
      <c r="E3" s="17" t="s">
        <v>3388</v>
      </c>
      <c r="F3" s="17" t="s">
        <v>3389</v>
      </c>
      <c r="G3" s="17" t="s">
        <v>3390</v>
      </c>
      <c r="H3" s="17" t="s">
        <v>621</v>
      </c>
      <c r="I3" s="17" t="s">
        <v>287</v>
      </c>
      <c r="J3" s="17" t="s">
        <v>3391</v>
      </c>
      <c r="K3" s="17">
        <v>6.0</v>
      </c>
      <c r="L3" s="17">
        <v>12.0</v>
      </c>
      <c r="M3" s="140">
        <f t="shared" si="1"/>
        <v>100000</v>
      </c>
      <c r="N3" s="150"/>
      <c r="O3" s="150">
        <v>45.0</v>
      </c>
      <c r="P3" s="150">
        <v>10.0</v>
      </c>
      <c r="Q3" s="150">
        <f t="shared" si="2"/>
        <v>360</v>
      </c>
      <c r="R3" s="150">
        <v>10.0</v>
      </c>
      <c r="S3" s="150">
        <f t="shared" si="3"/>
        <v>120</v>
      </c>
      <c r="T3" s="150">
        <v>10.0</v>
      </c>
      <c r="U3" s="171">
        <f t="shared" si="4"/>
        <v>555</v>
      </c>
      <c r="V3" s="17" t="s">
        <v>3395</v>
      </c>
      <c r="W3" s="133" t="s">
        <v>3396</v>
      </c>
      <c r="X3" s="134" t="str">
        <f>HYPERLINK("https://drive.google.com/file/d/12BvKU3JgUeXF4rP8lgaLUR5y7xHilQZO/view?usp=drivesdk","ALT_560")</f>
        <v>ALT_560</v>
      </c>
      <c r="Y3" s="17" t="s">
        <v>3394</v>
      </c>
    </row>
    <row r="4">
      <c r="A4" s="135">
        <v>45520.0</v>
      </c>
      <c r="B4" s="135">
        <v>45559.0</v>
      </c>
      <c r="C4" s="17" t="s">
        <v>453</v>
      </c>
      <c r="D4" s="17">
        <v>719.0</v>
      </c>
      <c r="E4" s="17" t="s">
        <v>3388</v>
      </c>
      <c r="F4" s="17" t="s">
        <v>3389</v>
      </c>
      <c r="G4" s="17" t="s">
        <v>3390</v>
      </c>
      <c r="H4" s="17" t="s">
        <v>621</v>
      </c>
      <c r="I4" s="17" t="s">
        <v>287</v>
      </c>
      <c r="J4" s="17" t="s">
        <v>3391</v>
      </c>
      <c r="K4" s="17">
        <v>24.0</v>
      </c>
      <c r="L4" s="17">
        <v>48.0</v>
      </c>
      <c r="M4" s="140">
        <f t="shared" si="1"/>
        <v>100000</v>
      </c>
      <c r="N4" s="150"/>
      <c r="O4" s="150">
        <v>45.0</v>
      </c>
      <c r="P4" s="150">
        <v>10.0</v>
      </c>
      <c r="Q4" s="150">
        <f t="shared" si="2"/>
        <v>1440</v>
      </c>
      <c r="R4" s="150">
        <v>10.0</v>
      </c>
      <c r="S4" s="150">
        <f t="shared" si="3"/>
        <v>480</v>
      </c>
      <c r="T4" s="150">
        <v>10.0</v>
      </c>
      <c r="U4" s="171">
        <f t="shared" si="4"/>
        <v>1995</v>
      </c>
      <c r="V4" s="17" t="s">
        <v>3397</v>
      </c>
      <c r="W4" s="133" t="s">
        <v>3398</v>
      </c>
      <c r="X4" s="134" t="str">
        <f>HYPERLINK("https://drive.google.com/file/d/1r528Kp15OZBNRfvX2EmWGeqrPnh-PF-V/view?usp=drivesdk","ALT_719")</f>
        <v>ALT_719</v>
      </c>
      <c r="Y4" s="17" t="s">
        <v>3399</v>
      </c>
    </row>
    <row r="5">
      <c r="A5" s="135">
        <v>45439.0</v>
      </c>
      <c r="B5" s="135">
        <v>45453.0</v>
      </c>
      <c r="C5" s="17" t="s">
        <v>453</v>
      </c>
      <c r="D5" s="179">
        <v>474.0</v>
      </c>
      <c r="E5" s="136" t="s">
        <v>3388</v>
      </c>
      <c r="F5" s="136" t="s">
        <v>3389</v>
      </c>
      <c r="G5" s="17" t="s">
        <v>3400</v>
      </c>
      <c r="H5" s="136" t="s">
        <v>621</v>
      </c>
      <c r="I5" s="17" t="s">
        <v>287</v>
      </c>
      <c r="J5" s="17" t="s">
        <v>3391</v>
      </c>
      <c r="K5" s="17">
        <v>6.0</v>
      </c>
      <c r="L5" s="17">
        <v>12.0</v>
      </c>
      <c r="M5" s="140">
        <f t="shared" si="1"/>
        <v>100000</v>
      </c>
      <c r="N5" s="150"/>
      <c r="O5" s="150">
        <v>45.0</v>
      </c>
      <c r="P5" s="150">
        <v>10.0</v>
      </c>
      <c r="Q5" s="150">
        <f t="shared" si="2"/>
        <v>360</v>
      </c>
      <c r="R5" s="150">
        <v>10.0</v>
      </c>
      <c r="S5" s="150">
        <f t="shared" si="3"/>
        <v>120</v>
      </c>
      <c r="T5" s="150">
        <v>10.0</v>
      </c>
      <c r="U5" s="171">
        <f t="shared" si="4"/>
        <v>555</v>
      </c>
      <c r="V5" s="17" t="s">
        <v>3401</v>
      </c>
      <c r="W5" s="133" t="s">
        <v>3402</v>
      </c>
      <c r="X5" s="134" t="str">
        <f>HYPERLINK("https://drive.google.com/file/d/1oJScIC5ULc4vnvmHYFHhGeWKXVj5JLRP/view?usp=drivesdk","ALT_474")</f>
        <v>ALT_474</v>
      </c>
      <c r="Y5" s="17" t="s">
        <v>3403</v>
      </c>
    </row>
    <row r="6">
      <c r="A6" s="135">
        <v>45631.0</v>
      </c>
      <c r="B6" s="135">
        <v>45681.0</v>
      </c>
      <c r="C6" s="17" t="s">
        <v>453</v>
      </c>
      <c r="D6" s="17">
        <v>920.0</v>
      </c>
      <c r="E6" s="136" t="s">
        <v>3404</v>
      </c>
      <c r="F6" s="136" t="s">
        <v>3405</v>
      </c>
      <c r="G6" s="136" t="s">
        <v>3406</v>
      </c>
      <c r="H6" s="17" t="s">
        <v>1487</v>
      </c>
      <c r="I6" s="17" t="s">
        <v>3407</v>
      </c>
      <c r="J6" s="17" t="s">
        <v>572</v>
      </c>
      <c r="K6" s="17">
        <v>27.0</v>
      </c>
      <c r="L6" s="17">
        <v>27.0</v>
      </c>
      <c r="M6" s="141">
        <v>200000.0</v>
      </c>
      <c r="N6" s="17"/>
      <c r="O6" s="17">
        <v>45.0</v>
      </c>
      <c r="P6" s="150">
        <v>10.0</v>
      </c>
      <c r="Q6" s="150">
        <f t="shared" si="2"/>
        <v>810</v>
      </c>
      <c r="R6" s="150">
        <v>10.0</v>
      </c>
      <c r="S6" s="150">
        <f t="shared" si="3"/>
        <v>270</v>
      </c>
      <c r="T6" s="150">
        <v>10.0</v>
      </c>
      <c r="U6" s="171">
        <f t="shared" si="4"/>
        <v>1155</v>
      </c>
      <c r="V6" s="17" t="s">
        <v>3408</v>
      </c>
      <c r="W6" s="223" t="s">
        <v>3409</v>
      </c>
      <c r="X6" s="134" t="str">
        <f>HYPERLINK("https://drive.google.com/file/d/1VwNNTBeatUmhIJjKN6N5psjDAZA1s3pJ/view?usp=drivesdk","ALT_920")</f>
        <v>ALT_920</v>
      </c>
      <c r="Y6" s="17" t="s">
        <v>3410</v>
      </c>
    </row>
    <row r="7">
      <c r="A7" s="135">
        <v>45761.0</v>
      </c>
      <c r="B7" s="135">
        <v>45782.0</v>
      </c>
      <c r="C7" s="17" t="s">
        <v>453</v>
      </c>
      <c r="D7" s="17">
        <v>193.0</v>
      </c>
      <c r="E7" s="17" t="s">
        <v>3411</v>
      </c>
      <c r="F7" s="17">
        <v>2.1519334041E10</v>
      </c>
      <c r="G7" s="17" t="s">
        <v>3412</v>
      </c>
      <c r="H7" s="17" t="s">
        <v>1487</v>
      </c>
      <c r="I7" s="17" t="s">
        <v>3407</v>
      </c>
      <c r="J7" s="17" t="s">
        <v>572</v>
      </c>
      <c r="K7" s="17">
        <v>1.0</v>
      </c>
      <c r="L7" s="17">
        <v>1.0</v>
      </c>
      <c r="M7" s="140">
        <f t="shared" ref="M7:M8" si="5">if(H7="Akses",100000,IF(H7="Non Akses",200000))</f>
        <v>200000</v>
      </c>
      <c r="N7" s="141">
        <f>L7*M7</f>
        <v>200000</v>
      </c>
      <c r="O7" s="17">
        <v>45.0</v>
      </c>
      <c r="P7" s="150">
        <v>10.0</v>
      </c>
      <c r="Q7" s="150">
        <f t="shared" si="2"/>
        <v>30</v>
      </c>
      <c r="R7" s="150">
        <v>10.0</v>
      </c>
      <c r="S7" s="150">
        <f t="shared" si="3"/>
        <v>10</v>
      </c>
      <c r="T7" s="150">
        <v>10.0</v>
      </c>
      <c r="U7" s="171">
        <f t="shared" si="4"/>
        <v>115</v>
      </c>
      <c r="V7" s="17" t="s">
        <v>3413</v>
      </c>
      <c r="W7" s="133" t="s">
        <v>3414</v>
      </c>
      <c r="X7" s="134" t="str">
        <f>HYPERLINK("https://drive.google.com/file/d/1O8P0tKuSKmWGdARLHZ1KPTKnxo97uMPC/view?usp=drivesdk","ALT_193")</f>
        <v>ALT_193</v>
      </c>
      <c r="Y7" s="17" t="s">
        <v>3415</v>
      </c>
    </row>
    <row r="8">
      <c r="A8" s="135">
        <v>45763.0</v>
      </c>
      <c r="B8" s="135">
        <v>45782.0</v>
      </c>
      <c r="C8" s="17" t="s">
        <v>453</v>
      </c>
      <c r="D8" s="17">
        <v>199.0</v>
      </c>
      <c r="E8" s="17" t="s">
        <v>3373</v>
      </c>
      <c r="F8" s="17" t="s">
        <v>3374</v>
      </c>
      <c r="G8" s="17" t="s">
        <v>3375</v>
      </c>
      <c r="H8" s="17" t="s">
        <v>1487</v>
      </c>
      <c r="I8" s="17" t="s">
        <v>3407</v>
      </c>
      <c r="J8" s="17" t="s">
        <v>572</v>
      </c>
      <c r="K8" s="17">
        <v>3.0</v>
      </c>
      <c r="L8" s="17">
        <v>9.0</v>
      </c>
      <c r="M8" s="140">
        <f t="shared" si="5"/>
        <v>200000</v>
      </c>
      <c r="N8" s="141">
        <f>L8*M9</f>
        <v>1800000</v>
      </c>
      <c r="O8" s="17">
        <v>45.0</v>
      </c>
      <c r="P8" s="150">
        <v>10.0</v>
      </c>
      <c r="Q8" s="150">
        <f t="shared" si="2"/>
        <v>270</v>
      </c>
      <c r="R8" s="150">
        <v>10.0</v>
      </c>
      <c r="S8" s="150">
        <f t="shared" si="3"/>
        <v>90</v>
      </c>
      <c r="T8" s="150">
        <v>10.0</v>
      </c>
      <c r="U8" s="171">
        <f t="shared" si="4"/>
        <v>435</v>
      </c>
      <c r="V8" s="17" t="s">
        <v>3416</v>
      </c>
      <c r="W8" s="133" t="s">
        <v>3417</v>
      </c>
      <c r="X8" s="134" t="str">
        <f>HYPERLINK("https://drive.google.com/file/d/1gyZ72aL8IwBA2ZB-AIoeTxBYPUvjRfDI/view?usp=drivesdk","ALT_199")</f>
        <v>ALT_199</v>
      </c>
      <c r="Y8" s="17" t="s">
        <v>3418</v>
      </c>
    </row>
    <row r="9">
      <c r="A9" s="135">
        <v>45805.0</v>
      </c>
      <c r="B9" s="135">
        <v>45820.0</v>
      </c>
      <c r="C9" s="17" t="s">
        <v>453</v>
      </c>
      <c r="D9" s="17">
        <v>348.0</v>
      </c>
      <c r="E9" s="17" t="s">
        <v>3419</v>
      </c>
      <c r="F9" s="17" t="s">
        <v>3420</v>
      </c>
      <c r="G9" s="17" t="s">
        <v>3421</v>
      </c>
      <c r="H9" s="136" t="s">
        <v>621</v>
      </c>
      <c r="I9" s="17" t="s">
        <v>287</v>
      </c>
      <c r="J9" s="17" t="s">
        <v>572</v>
      </c>
      <c r="K9" s="17">
        <v>16.0</v>
      </c>
      <c r="L9" s="17">
        <v>16.0</v>
      </c>
      <c r="M9" s="140">
        <f>if(H8="Akses",100000,IF(H8="Non Akses",200000))</f>
        <v>200000</v>
      </c>
      <c r="N9" s="141">
        <f>L9*M9</f>
        <v>3200000</v>
      </c>
      <c r="O9" s="17">
        <v>45.0</v>
      </c>
      <c r="P9" s="150">
        <v>10.0</v>
      </c>
      <c r="Q9" s="150">
        <f t="shared" si="2"/>
        <v>480</v>
      </c>
      <c r="R9" s="150">
        <v>10.0</v>
      </c>
      <c r="S9" s="150">
        <f t="shared" si="3"/>
        <v>160</v>
      </c>
      <c r="T9" s="150">
        <v>10.0</v>
      </c>
      <c r="U9" s="171">
        <f t="shared" si="4"/>
        <v>715</v>
      </c>
      <c r="V9" s="17" t="s">
        <v>3422</v>
      </c>
      <c r="W9" s="133" t="s">
        <v>3423</v>
      </c>
      <c r="X9" s="134" t="str">
        <f>HYPERLINK("https://drive.google.com/file/d/1nsJmGiuleTwvICOpNm4UjKIeTHWebVVw/view?usp=drivesdk","ALT_348")</f>
        <v>ALT_348</v>
      </c>
      <c r="Y9" s="17" t="s">
        <v>3424</v>
      </c>
    </row>
    <row r="10">
      <c r="A10" s="135">
        <v>45803.0</v>
      </c>
      <c r="B10" s="135">
        <v>45834.0</v>
      </c>
      <c r="C10" s="17" t="s">
        <v>453</v>
      </c>
      <c r="D10" s="17">
        <v>334.0</v>
      </c>
      <c r="E10" s="17" t="s">
        <v>3425</v>
      </c>
      <c r="F10" s="17" t="s">
        <v>155</v>
      </c>
      <c r="G10" s="17" t="s">
        <v>155</v>
      </c>
      <c r="H10" s="136" t="s">
        <v>621</v>
      </c>
      <c r="I10" s="17" t="s">
        <v>287</v>
      </c>
      <c r="J10" s="17" t="s">
        <v>572</v>
      </c>
      <c r="K10" s="17">
        <v>4.0</v>
      </c>
      <c r="L10" s="17">
        <v>4.0</v>
      </c>
      <c r="M10" s="141">
        <v>200000.0</v>
      </c>
      <c r="N10" s="141">
        <v>800000.0</v>
      </c>
      <c r="O10" s="17">
        <v>45.0</v>
      </c>
      <c r="P10" s="150">
        <v>10.0</v>
      </c>
      <c r="Q10" s="150">
        <f t="shared" si="2"/>
        <v>120</v>
      </c>
      <c r="R10" s="150">
        <v>10.0</v>
      </c>
      <c r="S10" s="150">
        <f t="shared" si="3"/>
        <v>40</v>
      </c>
      <c r="T10" s="150">
        <v>10.0</v>
      </c>
      <c r="U10" s="171">
        <f t="shared" si="4"/>
        <v>235</v>
      </c>
      <c r="V10" s="17" t="s">
        <v>3426</v>
      </c>
      <c r="W10" s="133" t="s">
        <v>3427</v>
      </c>
      <c r="X10" s="134" t="str">
        <f>HYPERLINK("https://drive.google.com/file/d/1A2F6SV7ArtxT5PsOM8qwJWKfsRX1pjIQ/view?usp=drivesdk","ALT_334")</f>
        <v>ALT_334</v>
      </c>
      <c r="Y10" s="17" t="s">
        <v>3428</v>
      </c>
    </row>
    <row r="11">
      <c r="A11" s="135">
        <v>45803.0</v>
      </c>
      <c r="B11" s="135">
        <v>45834.0</v>
      </c>
      <c r="C11" s="17" t="s">
        <v>453</v>
      </c>
      <c r="D11" s="17">
        <v>334.0</v>
      </c>
      <c r="E11" s="17" t="s">
        <v>3425</v>
      </c>
      <c r="F11" s="17" t="s">
        <v>155</v>
      </c>
      <c r="G11" s="17" t="s">
        <v>155</v>
      </c>
      <c r="H11" s="136" t="s">
        <v>621</v>
      </c>
      <c r="I11" s="17" t="s">
        <v>3407</v>
      </c>
      <c r="J11" s="17" t="s">
        <v>572</v>
      </c>
      <c r="K11" s="17">
        <v>4.0</v>
      </c>
      <c r="L11" s="17">
        <v>4.0</v>
      </c>
      <c r="M11" s="141">
        <v>200000.0</v>
      </c>
      <c r="N11" s="141">
        <v>800000.0</v>
      </c>
      <c r="O11" s="17">
        <v>45.0</v>
      </c>
      <c r="P11" s="150">
        <v>10.0</v>
      </c>
      <c r="Q11" s="150">
        <f t="shared" si="2"/>
        <v>120</v>
      </c>
      <c r="R11" s="150">
        <v>10.0</v>
      </c>
      <c r="S11" s="150">
        <f t="shared" si="3"/>
        <v>40</v>
      </c>
      <c r="T11" s="150">
        <v>10.0</v>
      </c>
      <c r="U11" s="171">
        <f t="shared" si="4"/>
        <v>235</v>
      </c>
      <c r="V11" s="17" t="s">
        <v>3429</v>
      </c>
      <c r="W11" s="133" t="s">
        <v>3430</v>
      </c>
      <c r="X11" s="134" t="str">
        <f>HYPERLINK("https://drive.google.com/file/d/1whPw8sv5rIq4XZgGCQzr1y1fW9Jejz5D/view?usp=drivesdk","ALT_334")</f>
        <v>ALT_334</v>
      </c>
      <c r="Y11" s="17" t="s">
        <v>3431</v>
      </c>
    </row>
    <row r="12">
      <c r="A12" s="135">
        <v>45831.0</v>
      </c>
      <c r="B12" s="135">
        <v>45860.0</v>
      </c>
      <c r="C12" s="17" t="s">
        <v>453</v>
      </c>
      <c r="D12" s="17">
        <v>434.0</v>
      </c>
      <c r="E12" s="17" t="s">
        <v>681</v>
      </c>
      <c r="F12" s="17" t="s">
        <v>682</v>
      </c>
      <c r="G12" s="17" t="s">
        <v>683</v>
      </c>
      <c r="H12" s="17" t="s">
        <v>541</v>
      </c>
      <c r="I12" s="17" t="s">
        <v>287</v>
      </c>
      <c r="J12" s="17" t="s">
        <v>572</v>
      </c>
      <c r="K12" s="17">
        <v>3.0</v>
      </c>
      <c r="L12" s="17">
        <v>3.0</v>
      </c>
      <c r="M12" s="141">
        <v>200000.0</v>
      </c>
      <c r="N12" s="17">
        <v>600000.0</v>
      </c>
      <c r="O12" s="17">
        <v>45.0</v>
      </c>
      <c r="P12" s="150">
        <v>10.0</v>
      </c>
      <c r="Q12" s="150">
        <f t="shared" si="2"/>
        <v>90</v>
      </c>
      <c r="R12" s="150">
        <v>10.0</v>
      </c>
      <c r="S12" s="150">
        <f t="shared" si="3"/>
        <v>30</v>
      </c>
      <c r="T12" s="150">
        <v>10.0</v>
      </c>
      <c r="U12" s="171">
        <f t="shared" si="4"/>
        <v>195</v>
      </c>
      <c r="V12" s="17" t="s">
        <v>3432</v>
      </c>
      <c r="W12" s="133" t="s">
        <v>3433</v>
      </c>
      <c r="X12" s="134" t="str">
        <f>HYPERLINK("https://drive.google.com/file/d/1mUOnwIEirYQG8-V9n9jA126vIe1Whs9B/view?usp=drivesdk","ALT_434")</f>
        <v>ALT_434</v>
      </c>
      <c r="Y12" s="17" t="s">
        <v>3434</v>
      </c>
    </row>
    <row r="13">
      <c r="A13" s="135">
        <v>45831.0</v>
      </c>
      <c r="B13" s="135">
        <v>45860.0</v>
      </c>
      <c r="C13" s="17" t="s">
        <v>453</v>
      </c>
      <c r="D13" s="17">
        <v>434.0</v>
      </c>
      <c r="E13" s="17" t="s">
        <v>681</v>
      </c>
      <c r="F13" s="17" t="s">
        <v>682</v>
      </c>
      <c r="G13" s="17" t="s">
        <v>683</v>
      </c>
      <c r="H13" s="17" t="s">
        <v>541</v>
      </c>
      <c r="I13" s="17" t="s">
        <v>3407</v>
      </c>
      <c r="J13" s="17" t="s">
        <v>572</v>
      </c>
      <c r="K13" s="17">
        <v>3.0</v>
      </c>
      <c r="L13" s="17">
        <v>3.0</v>
      </c>
      <c r="M13" s="141">
        <v>200000.0</v>
      </c>
      <c r="N13" s="17">
        <v>600000.0</v>
      </c>
      <c r="O13" s="17">
        <v>45.0</v>
      </c>
      <c r="P13" s="150">
        <v>10.0</v>
      </c>
      <c r="Q13" s="150">
        <f t="shared" si="2"/>
        <v>90</v>
      </c>
      <c r="R13" s="150">
        <v>10.0</v>
      </c>
      <c r="S13" s="150">
        <f t="shared" si="3"/>
        <v>30</v>
      </c>
      <c r="T13" s="150">
        <v>10.0</v>
      </c>
      <c r="U13" s="171">
        <f t="shared" si="4"/>
        <v>195</v>
      </c>
      <c r="V13" s="17" t="s">
        <v>3435</v>
      </c>
      <c r="W13" s="133" t="s">
        <v>3436</v>
      </c>
      <c r="X13" s="134" t="str">
        <f>HYPERLINK("https://drive.google.com/file/d/1KLlqyNZyFGiR7cYN9RGgHpFKSd53Nqiv/view?usp=drivesdk","ALT_434")</f>
        <v>ALT_434</v>
      </c>
      <c r="Y13" s="17" t="s">
        <v>3434</v>
      </c>
    </row>
    <row r="14">
      <c r="A14" s="135">
        <v>45831.0</v>
      </c>
      <c r="B14" s="135">
        <v>45860.0</v>
      </c>
      <c r="C14" s="17" t="s">
        <v>453</v>
      </c>
      <c r="D14" s="17">
        <v>435.0</v>
      </c>
      <c r="E14" s="17" t="s">
        <v>681</v>
      </c>
      <c r="F14" s="17" t="s">
        <v>682</v>
      </c>
      <c r="G14" s="17" t="s">
        <v>683</v>
      </c>
      <c r="H14" s="17" t="s">
        <v>541</v>
      </c>
      <c r="I14" s="17" t="s">
        <v>287</v>
      </c>
      <c r="J14" s="17" t="s">
        <v>572</v>
      </c>
      <c r="K14" s="17">
        <v>3.0</v>
      </c>
      <c r="L14" s="17">
        <v>3.0</v>
      </c>
      <c r="M14" s="141">
        <v>200000.0</v>
      </c>
      <c r="N14" s="17">
        <v>600000.0</v>
      </c>
      <c r="O14" s="17">
        <v>45.0</v>
      </c>
      <c r="P14" s="150">
        <v>10.0</v>
      </c>
      <c r="Q14" s="150">
        <f t="shared" si="2"/>
        <v>90</v>
      </c>
      <c r="R14" s="150">
        <v>10.0</v>
      </c>
      <c r="S14" s="150">
        <f t="shared" si="3"/>
        <v>30</v>
      </c>
      <c r="T14" s="150">
        <v>10.0</v>
      </c>
      <c r="U14" s="171">
        <f t="shared" si="4"/>
        <v>195</v>
      </c>
      <c r="V14" s="17" t="s">
        <v>3437</v>
      </c>
      <c r="W14" s="133" t="s">
        <v>3438</v>
      </c>
      <c r="X14" s="134" t="str">
        <f>HYPERLINK("https://drive.google.com/file/d/1x0ZSdZfL_3v-rhIB8VmDx8AI7aAXSwvT/view?usp=drivesdk","ALT_435")</f>
        <v>ALT_435</v>
      </c>
      <c r="Y14" s="17" t="s">
        <v>3434</v>
      </c>
    </row>
    <row r="15">
      <c r="A15" s="135">
        <v>45873.0</v>
      </c>
      <c r="B15" s="135">
        <v>45890.0</v>
      </c>
      <c r="C15" s="17" t="s">
        <v>453</v>
      </c>
      <c r="D15" s="17">
        <v>516.0</v>
      </c>
      <c r="E15" s="17" t="s">
        <v>3439</v>
      </c>
      <c r="F15" s="17">
        <v>9.7686341E7</v>
      </c>
      <c r="G15" s="17" t="s">
        <v>3440</v>
      </c>
      <c r="H15" s="17" t="s">
        <v>541</v>
      </c>
      <c r="I15" s="17" t="s">
        <v>287</v>
      </c>
      <c r="J15" s="17" t="s">
        <v>572</v>
      </c>
      <c r="K15" s="17">
        <v>1.0</v>
      </c>
      <c r="L15" s="141">
        <v>1.0</v>
      </c>
      <c r="M15" s="141">
        <v>200000.0</v>
      </c>
      <c r="N15" s="17">
        <v>200000.0</v>
      </c>
      <c r="O15" s="17">
        <v>45.0</v>
      </c>
      <c r="P15" s="150">
        <v>10.0</v>
      </c>
      <c r="Q15" s="150">
        <f t="shared" si="2"/>
        <v>30</v>
      </c>
      <c r="R15" s="150">
        <v>10.0</v>
      </c>
      <c r="S15" s="150">
        <f t="shared" si="3"/>
        <v>10</v>
      </c>
      <c r="T15" s="150">
        <v>10.0</v>
      </c>
      <c r="U15" s="171">
        <f t="shared" si="4"/>
        <v>115</v>
      </c>
      <c r="V15" s="17" t="s">
        <v>3441</v>
      </c>
      <c r="W15" s="133" t="s">
        <v>3442</v>
      </c>
      <c r="X15" s="134" t="str">
        <f>HYPERLINK("https://drive.google.com/file/d/1zGv8XtMSY7kXaEUpJWskHr-kYdUpyNVT/view?usp=drivesdk","ALT_516")</f>
        <v>ALT_516</v>
      </c>
      <c r="Y15" s="17" t="s">
        <v>3443</v>
      </c>
    </row>
    <row r="16">
      <c r="A16" s="135">
        <v>45873.0</v>
      </c>
      <c r="B16" s="135">
        <v>45890.0</v>
      </c>
      <c r="C16" s="17" t="s">
        <v>453</v>
      </c>
      <c r="D16" s="17">
        <v>516.0</v>
      </c>
      <c r="E16" s="17" t="s">
        <v>3439</v>
      </c>
      <c r="F16" s="17">
        <v>9.7686341E7</v>
      </c>
      <c r="G16" s="17" t="s">
        <v>3440</v>
      </c>
      <c r="H16" s="17" t="s">
        <v>541</v>
      </c>
      <c r="I16" s="17" t="s">
        <v>3407</v>
      </c>
      <c r="J16" s="17" t="s">
        <v>572</v>
      </c>
      <c r="K16" s="17">
        <v>1.0</v>
      </c>
      <c r="L16" s="141">
        <v>1.0</v>
      </c>
      <c r="M16" s="141">
        <v>200000.0</v>
      </c>
      <c r="N16" s="17">
        <v>200000.0</v>
      </c>
      <c r="O16" s="17">
        <v>45.0</v>
      </c>
      <c r="P16" s="150">
        <v>10.0</v>
      </c>
      <c r="Q16" s="150">
        <f t="shared" si="2"/>
        <v>30</v>
      </c>
      <c r="R16" s="150">
        <v>10.0</v>
      </c>
      <c r="S16" s="150">
        <f t="shared" si="3"/>
        <v>10</v>
      </c>
      <c r="T16" s="150">
        <v>10.0</v>
      </c>
      <c r="U16" s="171">
        <f t="shared" si="4"/>
        <v>115</v>
      </c>
      <c r="V16" s="17" t="s">
        <v>3444</v>
      </c>
      <c r="W16" s="133" t="s">
        <v>3445</v>
      </c>
      <c r="X16" s="134" t="str">
        <f>HYPERLINK("https://drive.google.com/file/d/1ijLDdq2nuHKzS_Ed0XRHEO4B_7nW4i7O/view?usp=drivesdk","ALT_516")</f>
        <v>ALT_516</v>
      </c>
      <c r="Y16" s="17" t="s">
        <v>3443</v>
      </c>
    </row>
    <row r="17">
      <c r="A17" s="317">
        <v>45877.0</v>
      </c>
      <c r="B17" s="135">
        <v>45895.0</v>
      </c>
      <c r="C17" s="17" t="s">
        <v>453</v>
      </c>
      <c r="D17" s="17">
        <v>531.0</v>
      </c>
      <c r="E17" s="17" t="s">
        <v>3446</v>
      </c>
      <c r="F17" s="17" t="s">
        <v>155</v>
      </c>
      <c r="G17" s="17" t="s">
        <v>3447</v>
      </c>
      <c r="H17" s="17" t="s">
        <v>541</v>
      </c>
      <c r="I17" s="17" t="s">
        <v>287</v>
      </c>
      <c r="J17" s="17" t="s">
        <v>572</v>
      </c>
      <c r="K17" s="17">
        <v>1.0</v>
      </c>
      <c r="L17" s="17">
        <v>1.0</v>
      </c>
      <c r="M17" s="141">
        <v>200000.0</v>
      </c>
      <c r="N17" s="17">
        <v>200000.0</v>
      </c>
      <c r="O17" s="17">
        <v>45.0</v>
      </c>
      <c r="P17" s="150">
        <v>10.0</v>
      </c>
      <c r="Q17" s="150">
        <f t="shared" si="2"/>
        <v>30</v>
      </c>
      <c r="R17" s="150">
        <v>10.0</v>
      </c>
      <c r="S17" s="150">
        <f t="shared" si="3"/>
        <v>10</v>
      </c>
      <c r="T17" s="150">
        <v>10.0</v>
      </c>
      <c r="U17" s="171">
        <f t="shared" si="4"/>
        <v>115</v>
      </c>
      <c r="V17" s="17" t="s">
        <v>3448</v>
      </c>
      <c r="W17" s="133" t="s">
        <v>3449</v>
      </c>
      <c r="X17" s="134" t="str">
        <f>HYPERLINK("https://drive.google.com/file/d/14XHwyJwvJlAM6NE_Y4N7OCTMedcZoNDd/view?usp=drivesdk","ALT_531")</f>
        <v>ALT_531</v>
      </c>
      <c r="Y17" s="17" t="s">
        <v>3450</v>
      </c>
    </row>
    <row r="18">
      <c r="A18" s="317">
        <v>45924.0</v>
      </c>
      <c r="B18" s="135">
        <v>45939.0</v>
      </c>
      <c r="C18" s="17" t="s">
        <v>453</v>
      </c>
      <c r="D18" s="17">
        <v>628.0</v>
      </c>
      <c r="E18" s="17" t="s">
        <v>539</v>
      </c>
      <c r="F18" s="17" t="s">
        <v>155</v>
      </c>
      <c r="G18" s="17" t="s">
        <v>3451</v>
      </c>
      <c r="H18" s="17" t="s">
        <v>541</v>
      </c>
      <c r="I18" s="17" t="s">
        <v>287</v>
      </c>
      <c r="J18" s="17" t="s">
        <v>572</v>
      </c>
      <c r="K18" s="17">
        <v>1.0</v>
      </c>
      <c r="L18" s="17">
        <v>1.0</v>
      </c>
      <c r="M18" s="141">
        <v>200000.0</v>
      </c>
      <c r="N18" s="17">
        <v>200000.0</v>
      </c>
      <c r="O18" s="17">
        <v>45.0</v>
      </c>
      <c r="P18" s="150">
        <v>10.0</v>
      </c>
      <c r="Q18" s="150">
        <f t="shared" si="2"/>
        <v>30</v>
      </c>
      <c r="R18" s="150">
        <v>10.0</v>
      </c>
      <c r="S18" s="150">
        <f t="shared" si="3"/>
        <v>10</v>
      </c>
      <c r="T18" s="150">
        <v>10.0</v>
      </c>
      <c r="U18" s="171">
        <f t="shared" si="4"/>
        <v>115</v>
      </c>
      <c r="V18" s="17" t="s">
        <v>3452</v>
      </c>
      <c r="W18" s="133" t="s">
        <v>3453</v>
      </c>
      <c r="X18" s="134" t="str">
        <f>HYPERLINK("https://drive.google.com/file/d/1We95Edm12ELeMMQac-MdjfwE9b8m_lVT/view?usp=drivesdk","ALT_628")</f>
        <v>ALT_628</v>
      </c>
      <c r="Y18" s="17" t="s">
        <v>3454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8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14" max="17" width="18.88"/>
  </cols>
  <sheetData>
    <row r="1">
      <c r="A1" s="181" t="s">
        <v>506</v>
      </c>
      <c r="B1" s="144" t="s">
        <v>378</v>
      </c>
      <c r="C1" s="144" t="s">
        <v>379</v>
      </c>
      <c r="D1" s="144" t="s">
        <v>380</v>
      </c>
      <c r="E1" s="144" t="s">
        <v>381</v>
      </c>
      <c r="F1" s="144" t="s">
        <v>508</v>
      </c>
      <c r="G1" s="314" t="s">
        <v>3455</v>
      </c>
      <c r="H1" s="144" t="s">
        <v>510</v>
      </c>
      <c r="I1" s="144" t="s">
        <v>3367</v>
      </c>
      <c r="J1" s="144" t="s">
        <v>691</v>
      </c>
      <c r="K1" s="158" t="s">
        <v>511</v>
      </c>
      <c r="L1" s="158" t="s">
        <v>3368</v>
      </c>
      <c r="M1" s="128" t="s">
        <v>907</v>
      </c>
      <c r="N1" s="148" t="s">
        <v>3456</v>
      </c>
      <c r="O1" s="148" t="s">
        <v>3457</v>
      </c>
      <c r="P1" s="148" t="s">
        <v>3458</v>
      </c>
      <c r="Q1" s="148" t="s">
        <v>3459</v>
      </c>
    </row>
    <row r="2">
      <c r="A2" s="135">
        <v>45761.0</v>
      </c>
      <c r="B2" s="135">
        <v>45782.0</v>
      </c>
      <c r="C2" s="17" t="s">
        <v>453</v>
      </c>
      <c r="D2" s="17">
        <v>193.0</v>
      </c>
      <c r="E2" s="17" t="s">
        <v>3411</v>
      </c>
      <c r="F2" s="17">
        <v>2.1519334041E10</v>
      </c>
      <c r="G2" s="17" t="s">
        <v>3412</v>
      </c>
      <c r="H2" s="17" t="s">
        <v>1487</v>
      </c>
      <c r="I2" s="17" t="s">
        <v>3460</v>
      </c>
      <c r="J2" s="17" t="s">
        <v>572</v>
      </c>
      <c r="K2" s="17">
        <v>1.0</v>
      </c>
      <c r="L2" s="141">
        <v>250000.0</v>
      </c>
      <c r="M2" s="140">
        <f>K2*L2</f>
        <v>250000</v>
      </c>
      <c r="N2" s="17" t="s">
        <v>3461</v>
      </c>
      <c r="O2" s="133" t="s">
        <v>3462</v>
      </c>
      <c r="P2" s="134" t="str">
        <f>HYPERLINK("https://drive.google.com/file/d/1xRoBGdGfO9d9z5Cf9kIPv8Ipw9LzCTMU/view?usp=drivesdk","Candida_193")</f>
        <v>Candida_193</v>
      </c>
      <c r="Q2" s="17" t="s">
        <v>3463</v>
      </c>
    </row>
  </sheetData>
  <hyperlinks>
    <hyperlink r:id="rId1" ref="O2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14" max="17" width="18.88"/>
  </cols>
  <sheetData>
    <row r="1">
      <c r="A1" s="181" t="s">
        <v>506</v>
      </c>
      <c r="B1" s="144" t="s">
        <v>378</v>
      </c>
      <c r="C1" s="144" t="s">
        <v>379</v>
      </c>
      <c r="D1" s="144" t="s">
        <v>380</v>
      </c>
      <c r="E1" s="144" t="s">
        <v>381</v>
      </c>
      <c r="F1" s="144" t="s">
        <v>508</v>
      </c>
      <c r="G1" s="314" t="s">
        <v>3464</v>
      </c>
      <c r="H1" s="144" t="s">
        <v>510</v>
      </c>
      <c r="I1" s="144" t="s">
        <v>3367</v>
      </c>
      <c r="J1" s="144" t="s">
        <v>691</v>
      </c>
      <c r="K1" s="158" t="s">
        <v>511</v>
      </c>
      <c r="L1" s="158" t="s">
        <v>3368</v>
      </c>
      <c r="M1" s="128" t="s">
        <v>907</v>
      </c>
      <c r="N1" s="148" t="s">
        <v>3465</v>
      </c>
      <c r="O1" s="148" t="s">
        <v>3466</v>
      </c>
      <c r="P1" s="148" t="s">
        <v>3467</v>
      </c>
      <c r="Q1" s="148" t="s">
        <v>3468</v>
      </c>
    </row>
    <row r="2">
      <c r="A2" s="135">
        <v>45833.0</v>
      </c>
      <c r="B2" s="135">
        <v>45853.0</v>
      </c>
      <c r="C2" s="17" t="s">
        <v>453</v>
      </c>
      <c r="D2" s="17">
        <v>334.0</v>
      </c>
      <c r="E2" s="17" t="s">
        <v>3425</v>
      </c>
      <c r="F2" s="17" t="s">
        <v>155</v>
      </c>
      <c r="G2" s="17" t="s">
        <v>155</v>
      </c>
      <c r="H2" s="17" t="s">
        <v>1487</v>
      </c>
      <c r="I2" s="17" t="s">
        <v>48</v>
      </c>
      <c r="J2" s="17" t="s">
        <v>572</v>
      </c>
      <c r="K2" s="17">
        <v>4.0</v>
      </c>
      <c r="L2" s="141">
        <v>200000.0</v>
      </c>
      <c r="M2" s="140">
        <f>K2*L2</f>
        <v>800000</v>
      </c>
      <c r="N2" s="17" t="s">
        <v>3469</v>
      </c>
      <c r="O2" s="133" t="s">
        <v>3470</v>
      </c>
      <c r="P2" s="134" t="str">
        <f>HYPERLINK("https://drive.google.com/file/d/1Y7anyzakbnk781UYbcWD7CcmANEQ3rIA/view?usp=drivesdk","E. coli_334")</f>
        <v>E. coli_334</v>
      </c>
      <c r="Q2" s="17" t="s">
        <v>3471</v>
      </c>
    </row>
    <row r="3">
      <c r="A3" s="135">
        <v>45831.0</v>
      </c>
      <c r="B3" s="135">
        <v>45860.0</v>
      </c>
      <c r="C3" s="17" t="s">
        <v>453</v>
      </c>
      <c r="D3" s="17">
        <v>435.0</v>
      </c>
      <c r="E3" s="17" t="s">
        <v>681</v>
      </c>
      <c r="F3" s="17" t="s">
        <v>682</v>
      </c>
      <c r="G3" s="17" t="s">
        <v>683</v>
      </c>
      <c r="H3" s="17" t="s">
        <v>541</v>
      </c>
      <c r="I3" s="17" t="s">
        <v>48</v>
      </c>
      <c r="J3" s="17" t="s">
        <v>572</v>
      </c>
      <c r="K3" s="17">
        <v>3.0</v>
      </c>
      <c r="L3" s="141">
        <v>200000.0</v>
      </c>
      <c r="M3" s="141">
        <v>600000.0</v>
      </c>
      <c r="N3" s="17" t="s">
        <v>3472</v>
      </c>
      <c r="O3" s="133" t="s">
        <v>3473</v>
      </c>
      <c r="P3" s="134" t="str">
        <f>HYPERLINK("https://drive.google.com/file/d/13AbuenHiuo08T1_z_BM0pASkl9jVmU0u/view?usp=drivesdk","E. coli_435")</f>
        <v>E. coli_435</v>
      </c>
      <c r="Q3" s="17" t="s">
        <v>3474</v>
      </c>
    </row>
    <row r="4">
      <c r="A4" s="17" t="s">
        <v>1757</v>
      </c>
      <c r="B4" s="135">
        <v>45890.0</v>
      </c>
      <c r="C4" s="17" t="s">
        <v>453</v>
      </c>
      <c r="D4" s="17">
        <v>516.0</v>
      </c>
      <c r="E4" s="17" t="s">
        <v>3439</v>
      </c>
      <c r="F4" s="17">
        <v>9.7686341E7</v>
      </c>
      <c r="G4" s="17" t="s">
        <v>3440</v>
      </c>
      <c r="H4" s="17" t="s">
        <v>541</v>
      </c>
      <c r="I4" s="17" t="s">
        <v>3475</v>
      </c>
      <c r="J4" s="17" t="s">
        <v>572</v>
      </c>
      <c r="K4" s="17">
        <v>1.0</v>
      </c>
      <c r="L4" s="141">
        <v>200000.0</v>
      </c>
      <c r="M4" s="141">
        <v>200000.0</v>
      </c>
      <c r="N4" s="17" t="s">
        <v>3476</v>
      </c>
      <c r="O4" s="133" t="s">
        <v>3477</v>
      </c>
      <c r="P4" s="134" t="str">
        <f>HYPERLINK("https://drive.google.com/file/d/1zngWmAVk-_PbLwLiiKBeNA02rxl9fUVy/view?usp=drivesdk","E. coli_516")</f>
        <v>E. coli_516</v>
      </c>
      <c r="Q4" s="17" t="s">
        <v>3478</v>
      </c>
    </row>
    <row r="5">
      <c r="A5" s="317">
        <v>45877.0</v>
      </c>
      <c r="B5" s="135">
        <v>45895.0</v>
      </c>
      <c r="C5" s="17" t="s">
        <v>453</v>
      </c>
      <c r="D5" s="17">
        <v>531.0</v>
      </c>
      <c r="E5" s="17" t="s">
        <v>3446</v>
      </c>
      <c r="F5" s="17" t="s">
        <v>155</v>
      </c>
      <c r="G5" s="17" t="s">
        <v>3447</v>
      </c>
      <c r="H5" s="17" t="s">
        <v>541</v>
      </c>
      <c r="I5" s="17" t="s">
        <v>3475</v>
      </c>
      <c r="J5" s="17" t="s">
        <v>572</v>
      </c>
      <c r="K5" s="17">
        <v>1.0</v>
      </c>
      <c r="L5" s="141">
        <v>200000.0</v>
      </c>
      <c r="M5" s="141">
        <v>200000.0</v>
      </c>
      <c r="N5" s="17" t="s">
        <v>3479</v>
      </c>
      <c r="O5" s="133" t="s">
        <v>3480</v>
      </c>
      <c r="P5" s="134" t="str">
        <f>HYPERLINK("https://drive.google.com/file/d/1DqVmvtKppJDXd_JppP-PwTCuihG5ZozQ/view?usp=drivesdk","E. coli_531")</f>
        <v>E. coli_531</v>
      </c>
      <c r="Q5" s="17" t="s">
        <v>3481</v>
      </c>
    </row>
    <row r="6">
      <c r="A6" s="317">
        <v>45877.0</v>
      </c>
      <c r="B6" s="135">
        <v>45895.0</v>
      </c>
      <c r="C6" s="17" t="s">
        <v>453</v>
      </c>
      <c r="D6" s="17">
        <v>531.0</v>
      </c>
      <c r="E6" s="17" t="s">
        <v>3446</v>
      </c>
      <c r="F6" s="17" t="s">
        <v>155</v>
      </c>
      <c r="G6" s="17" t="s">
        <v>3447</v>
      </c>
      <c r="H6" s="17" t="s">
        <v>541</v>
      </c>
      <c r="I6" s="17" t="s">
        <v>3482</v>
      </c>
      <c r="J6" s="17" t="s">
        <v>572</v>
      </c>
      <c r="K6" s="17">
        <v>1.0</v>
      </c>
      <c r="L6" s="141">
        <v>150000.0</v>
      </c>
      <c r="M6" s="141">
        <v>150000.0</v>
      </c>
      <c r="N6" s="17" t="s">
        <v>3483</v>
      </c>
      <c r="O6" s="133" t="s">
        <v>3484</v>
      </c>
      <c r="P6" s="134" t="str">
        <f>HYPERLINK("https://drive.google.com/file/d/14Re1E3_NnHmyHDtSHskKqXMQY3gJtV9t/view?usp=drivesdk","E. coli_531")</f>
        <v>E. coli_531</v>
      </c>
      <c r="Q6" s="17" t="s">
        <v>3481</v>
      </c>
    </row>
  </sheetData>
  <hyperlinks>
    <hyperlink r:id="rId1" ref="O2"/>
    <hyperlink r:id="rId2" ref="O3"/>
    <hyperlink r:id="rId3" ref="O4"/>
    <hyperlink r:id="rId4" ref="O5"/>
    <hyperlink r:id="rId5" ref="O6"/>
  </hyperlinks>
  <drawing r:id="rId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14" max="17" width="18.88"/>
  </cols>
  <sheetData>
    <row r="1">
      <c r="A1" s="181" t="s">
        <v>506</v>
      </c>
      <c r="B1" s="144" t="s">
        <v>378</v>
      </c>
      <c r="C1" s="144" t="s">
        <v>379</v>
      </c>
      <c r="D1" s="144" t="s">
        <v>380</v>
      </c>
      <c r="E1" s="144" t="s">
        <v>381</v>
      </c>
      <c r="F1" s="144" t="s">
        <v>508</v>
      </c>
      <c r="G1" s="314" t="s">
        <v>3485</v>
      </c>
      <c r="H1" s="144" t="s">
        <v>510</v>
      </c>
      <c r="I1" s="144" t="s">
        <v>3367</v>
      </c>
      <c r="J1" s="144" t="s">
        <v>691</v>
      </c>
      <c r="K1" s="158" t="s">
        <v>511</v>
      </c>
      <c r="L1" s="158" t="s">
        <v>3368</v>
      </c>
      <c r="M1" s="128" t="s">
        <v>907</v>
      </c>
      <c r="N1" s="148" t="s">
        <v>3486</v>
      </c>
      <c r="O1" s="148" t="s">
        <v>3487</v>
      </c>
      <c r="P1" s="148" t="s">
        <v>3488</v>
      </c>
      <c r="Q1" s="148" t="s">
        <v>3489</v>
      </c>
    </row>
    <row r="2">
      <c r="A2" s="135">
        <v>45833.0</v>
      </c>
      <c r="B2" s="135">
        <v>45853.0</v>
      </c>
      <c r="C2" s="17" t="s">
        <v>453</v>
      </c>
      <c r="D2" s="17">
        <v>334.0</v>
      </c>
      <c r="E2" s="17" t="s">
        <v>3425</v>
      </c>
      <c r="F2" s="17" t="s">
        <v>155</v>
      </c>
      <c r="G2" s="17" t="s">
        <v>155</v>
      </c>
      <c r="H2" s="17" t="s">
        <v>1487</v>
      </c>
      <c r="I2" s="17" t="s">
        <v>3490</v>
      </c>
      <c r="J2" s="17" t="s">
        <v>572</v>
      </c>
      <c r="K2" s="17">
        <v>4.0</v>
      </c>
      <c r="L2" s="141">
        <v>200000.0</v>
      </c>
      <c r="M2" s="140">
        <f>K2*L2</f>
        <v>800000</v>
      </c>
      <c r="N2" s="17" t="s">
        <v>3491</v>
      </c>
      <c r="O2" s="133" t="s">
        <v>3492</v>
      </c>
      <c r="P2" s="134" t="str">
        <f>HYPERLINK("https://drive.google.com/file/d/1Q1DY0wJjCkdUQbzUhQfx0MmWGz0K6B7N/view?usp=drivesdk","S. aureus_334")</f>
        <v>S. aureus_334</v>
      </c>
      <c r="Q2" s="17" t="s">
        <v>3493</v>
      </c>
    </row>
  </sheetData>
  <hyperlinks>
    <hyperlink r:id="rId1" ref="O2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2.88"/>
    <col customWidth="1" min="21" max="24" width="18.88"/>
  </cols>
  <sheetData>
    <row r="1">
      <c r="A1" s="142" t="s">
        <v>3494</v>
      </c>
      <c r="B1" s="142" t="s">
        <v>3495</v>
      </c>
      <c r="C1" s="146" t="s">
        <v>3496</v>
      </c>
      <c r="D1" s="146" t="s">
        <v>3497</v>
      </c>
      <c r="E1" s="146" t="s">
        <v>3498</v>
      </c>
      <c r="F1" s="146" t="s">
        <v>3499</v>
      </c>
      <c r="G1" s="146" t="s">
        <v>3500</v>
      </c>
      <c r="H1" s="146" t="s">
        <v>3501</v>
      </c>
      <c r="I1" s="146" t="s">
        <v>3502</v>
      </c>
      <c r="J1" s="146" t="s">
        <v>3503</v>
      </c>
      <c r="K1" s="158" t="s">
        <v>3504</v>
      </c>
      <c r="L1" s="318" t="s">
        <v>3505</v>
      </c>
      <c r="M1" s="146" t="s">
        <v>3506</v>
      </c>
      <c r="N1" s="319" t="s">
        <v>3507</v>
      </c>
      <c r="O1" s="146" t="s">
        <v>3508</v>
      </c>
      <c r="P1" s="146" t="s">
        <v>3349</v>
      </c>
      <c r="Q1" s="146" t="s">
        <v>3509</v>
      </c>
      <c r="R1" s="146" t="s">
        <v>3510</v>
      </c>
      <c r="S1" s="146" t="s">
        <v>3511</v>
      </c>
      <c r="T1" s="146" t="s">
        <v>3512</v>
      </c>
      <c r="U1" s="148" t="s">
        <v>3513</v>
      </c>
      <c r="V1" s="148" t="s">
        <v>3514</v>
      </c>
      <c r="W1" s="148" t="s">
        <v>3515</v>
      </c>
      <c r="X1" s="148" t="s">
        <v>3516</v>
      </c>
    </row>
    <row r="2">
      <c r="A2" s="149">
        <v>45537.0</v>
      </c>
      <c r="B2" s="149">
        <v>45537.0</v>
      </c>
      <c r="C2" s="17" t="s">
        <v>3517</v>
      </c>
      <c r="D2" s="178" t="s">
        <v>3518</v>
      </c>
      <c r="E2" s="136" t="s">
        <v>1740</v>
      </c>
      <c r="F2" s="136" t="s">
        <v>2377</v>
      </c>
      <c r="G2" s="17" t="s">
        <v>621</v>
      </c>
      <c r="H2" s="17" t="s">
        <v>3519</v>
      </c>
      <c r="I2" s="17" t="s">
        <v>3520</v>
      </c>
      <c r="J2" s="17">
        <v>6.0</v>
      </c>
      <c r="K2" s="171">
        <f t="shared" ref="K2:K3" si="1">2*J2</f>
        <v>12</v>
      </c>
      <c r="L2" s="141">
        <v>150000.0</v>
      </c>
      <c r="M2" s="17">
        <v>30.0</v>
      </c>
      <c r="N2" s="17">
        <f t="shared" ref="N2:N4" si="2">15*K2*2</f>
        <v>360</v>
      </c>
      <c r="O2" s="17">
        <v>60.0</v>
      </c>
      <c r="P2" s="17">
        <f t="shared" ref="P2:P4" si="3">15*K2</f>
        <v>180</v>
      </c>
      <c r="Q2" s="171">
        <f t="shared" ref="Q2:Q4" si="4">5*J2</f>
        <v>30</v>
      </c>
      <c r="R2" s="17">
        <v>5.0</v>
      </c>
      <c r="S2" s="171">
        <f t="shared" ref="S2:S4" si="5">SUM(M2:R2)</f>
        <v>665</v>
      </c>
      <c r="T2" s="17" t="s">
        <v>3518</v>
      </c>
    </row>
    <row r="3">
      <c r="A3" s="149">
        <v>45537.0</v>
      </c>
      <c r="B3" s="149">
        <v>45537.0</v>
      </c>
      <c r="C3" s="17" t="s">
        <v>3517</v>
      </c>
      <c r="D3" s="178" t="s">
        <v>3518</v>
      </c>
      <c r="E3" s="136" t="s">
        <v>1740</v>
      </c>
      <c r="F3" s="136" t="s">
        <v>2377</v>
      </c>
      <c r="G3" s="17" t="s">
        <v>621</v>
      </c>
      <c r="H3" s="17" t="s">
        <v>3519</v>
      </c>
      <c r="I3" s="17" t="s">
        <v>3520</v>
      </c>
      <c r="J3" s="17">
        <v>3.0</v>
      </c>
      <c r="K3" s="171">
        <f t="shared" si="1"/>
        <v>6</v>
      </c>
      <c r="L3" s="141">
        <v>150000.0</v>
      </c>
      <c r="M3" s="17">
        <v>30.0</v>
      </c>
      <c r="N3" s="17">
        <f t="shared" si="2"/>
        <v>180</v>
      </c>
      <c r="O3" s="17">
        <v>60.0</v>
      </c>
      <c r="P3" s="17">
        <f t="shared" si="3"/>
        <v>90</v>
      </c>
      <c r="Q3" s="171">
        <f t="shared" si="4"/>
        <v>15</v>
      </c>
      <c r="R3" s="17">
        <v>5.0</v>
      </c>
      <c r="S3" s="171">
        <f t="shared" si="5"/>
        <v>380</v>
      </c>
      <c r="T3" s="17" t="s">
        <v>3518</v>
      </c>
      <c r="U3" s="17" t="s">
        <v>3521</v>
      </c>
      <c r="V3" s="133" t="s">
        <v>3522</v>
      </c>
      <c r="W3" s="134" t="str">
        <f>HYPERLINK("https://drive.google.com/file/d/1pScGlUgVIjqLpPuEbTsVqD2r7mI-DPdM/view?usp=drivesdk","DMA_Contoh_7xx")</f>
        <v>DMA_Contoh_7xx</v>
      </c>
      <c r="X3" s="17" t="s">
        <v>3523</v>
      </c>
    </row>
    <row r="4">
      <c r="J4" s="17">
        <v>1.0</v>
      </c>
      <c r="K4" s="17">
        <v>6.0</v>
      </c>
      <c r="L4" s="141">
        <v>300000.0</v>
      </c>
      <c r="M4" s="17">
        <v>30.0</v>
      </c>
      <c r="N4" s="17">
        <f t="shared" si="2"/>
        <v>180</v>
      </c>
      <c r="O4" s="17">
        <v>30.0</v>
      </c>
      <c r="P4" s="17">
        <f t="shared" si="3"/>
        <v>90</v>
      </c>
      <c r="Q4" s="171">
        <f t="shared" si="4"/>
        <v>5</v>
      </c>
      <c r="R4" s="17">
        <v>5.0</v>
      </c>
      <c r="S4" s="171">
        <f t="shared" si="5"/>
        <v>340</v>
      </c>
      <c r="T4" s="17" t="s">
        <v>2353</v>
      </c>
    </row>
  </sheetData>
  <hyperlinks>
    <hyperlink r:id="rId1" ref="V3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7" width="18.88"/>
  </cols>
  <sheetData>
    <row r="1">
      <c r="A1" s="146" t="s">
        <v>506</v>
      </c>
      <c r="B1" s="147" t="s">
        <v>378</v>
      </c>
      <c r="C1" s="144" t="s">
        <v>380</v>
      </c>
      <c r="D1" s="144" t="s">
        <v>381</v>
      </c>
      <c r="E1" s="144" t="s">
        <v>508</v>
      </c>
      <c r="F1" s="145" t="s">
        <v>3524</v>
      </c>
      <c r="G1" s="144" t="s">
        <v>510</v>
      </c>
      <c r="H1" s="144" t="s">
        <v>690</v>
      </c>
      <c r="I1" s="144" t="s">
        <v>691</v>
      </c>
      <c r="J1" s="146" t="s">
        <v>511</v>
      </c>
      <c r="K1" s="146" t="s">
        <v>595</v>
      </c>
      <c r="L1" s="147" t="s">
        <v>429</v>
      </c>
      <c r="M1" s="147" t="s">
        <v>379</v>
      </c>
      <c r="N1" s="148" t="s">
        <v>3525</v>
      </c>
      <c r="O1" s="148" t="s">
        <v>3526</v>
      </c>
      <c r="P1" s="148" t="s">
        <v>3527</v>
      </c>
      <c r="Q1" s="148" t="s">
        <v>3528</v>
      </c>
    </row>
    <row r="2">
      <c r="A2" s="149">
        <v>45957.0</v>
      </c>
      <c r="B2" s="149">
        <v>45958.0</v>
      </c>
      <c r="C2" s="121">
        <v>717.0</v>
      </c>
      <c r="D2" s="17" t="s">
        <v>3529</v>
      </c>
      <c r="E2" s="17" t="s">
        <v>3530</v>
      </c>
      <c r="F2" s="17" t="s">
        <v>1093</v>
      </c>
      <c r="G2" s="17" t="s">
        <v>541</v>
      </c>
      <c r="H2" s="17" t="s">
        <v>3531</v>
      </c>
      <c r="I2" s="223" t="s">
        <v>3532</v>
      </c>
      <c r="J2" s="17">
        <v>6.0</v>
      </c>
      <c r="K2" s="141">
        <v>200000.0</v>
      </c>
      <c r="L2" s="140">
        <f t="shared" ref="L2:L3" si="1">J2*K2</f>
        <v>1200000</v>
      </c>
      <c r="M2" s="17" t="s">
        <v>588</v>
      </c>
      <c r="N2" s="17" t="s">
        <v>3533</v>
      </c>
      <c r="O2" s="133" t="s">
        <v>3534</v>
      </c>
      <c r="P2" s="134" t="str">
        <f>HYPERLINK("https://drive.google.com/file/d/1FBI9irYOyeY2SCQWRxBFN9YvJB-nlSQt/view?usp=drivesdk","AAS_717")</f>
        <v>AAS_717</v>
      </c>
      <c r="Q2" s="17" t="s">
        <v>3535</v>
      </c>
    </row>
    <row r="3">
      <c r="A3" s="149">
        <v>45957.0</v>
      </c>
      <c r="B3" s="149">
        <v>45958.0</v>
      </c>
      <c r="C3" s="121">
        <v>719.0</v>
      </c>
      <c r="D3" s="17" t="s">
        <v>3529</v>
      </c>
      <c r="E3" s="17" t="s">
        <v>3530</v>
      </c>
      <c r="F3" s="17" t="s">
        <v>1093</v>
      </c>
      <c r="G3" s="17" t="s">
        <v>541</v>
      </c>
      <c r="H3" s="17" t="s">
        <v>3536</v>
      </c>
      <c r="I3" s="223" t="s">
        <v>3537</v>
      </c>
      <c r="J3" s="17">
        <v>6.0</v>
      </c>
      <c r="K3" s="141">
        <v>200000.0</v>
      </c>
      <c r="L3" s="140">
        <f t="shared" si="1"/>
        <v>1200000</v>
      </c>
      <c r="M3" s="17" t="s">
        <v>588</v>
      </c>
      <c r="N3" s="17" t="s">
        <v>3538</v>
      </c>
      <c r="O3" s="133" t="s">
        <v>3539</v>
      </c>
      <c r="P3" s="134" t="str">
        <f>HYPERLINK("https://drive.google.com/file/d/1DHrWLACs54WcVMX46W3_1MD9piFazUy5/view?usp=drivesdk","AAS_719")</f>
        <v>AAS_719</v>
      </c>
      <c r="Q3" s="17" t="s">
        <v>3540</v>
      </c>
    </row>
  </sheetData>
  <hyperlinks>
    <hyperlink r:id="rId1" ref="I2"/>
    <hyperlink r:id="rId2" ref="O2"/>
    <hyperlink r:id="rId3" ref="I3"/>
    <hyperlink r:id="rId4" ref="O3"/>
  </hyperlinks>
  <drawing r:id="rId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8.5"/>
    <col customWidth="1" min="3" max="3" width="7.75"/>
    <col customWidth="1" min="4" max="5" width="9.38"/>
    <col customWidth="1" min="9" max="9" width="8.0"/>
    <col customWidth="1" min="10" max="10" width="9.0"/>
    <col customWidth="1" min="11" max="11" width="10.38"/>
    <col customWidth="1" min="12" max="12" width="7.25"/>
    <col customWidth="1" min="13" max="13" width="11.0"/>
    <col customWidth="1" min="14" max="14" width="14.75"/>
    <col customWidth="1" min="15" max="20" width="6.63"/>
    <col customWidth="1" min="21" max="22" width="4.38"/>
    <col customWidth="1" min="23" max="24" width="18.88"/>
    <col customWidth="1" min="25" max="25" width="4.38"/>
  </cols>
  <sheetData>
    <row r="1">
      <c r="A1" s="320" t="s">
        <v>3541</v>
      </c>
      <c r="B1" s="303" t="s">
        <v>3337</v>
      </c>
      <c r="C1" s="303" t="s">
        <v>3542</v>
      </c>
      <c r="D1" s="321" t="s">
        <v>507</v>
      </c>
      <c r="E1" s="321" t="s">
        <v>3543</v>
      </c>
      <c r="F1" s="303" t="s">
        <v>3544</v>
      </c>
      <c r="G1" s="303" t="s">
        <v>3545</v>
      </c>
      <c r="H1" s="303" t="s">
        <v>3546</v>
      </c>
      <c r="I1" s="303" t="s">
        <v>3547</v>
      </c>
      <c r="J1" s="303" t="s">
        <v>690</v>
      </c>
      <c r="K1" s="303" t="s">
        <v>3548</v>
      </c>
      <c r="L1" s="322" t="s">
        <v>3549</v>
      </c>
      <c r="M1" s="322" t="s">
        <v>3550</v>
      </c>
      <c r="N1" s="323" t="s">
        <v>3347</v>
      </c>
      <c r="O1" s="322" t="s">
        <v>3551</v>
      </c>
      <c r="P1" s="322" t="s">
        <v>3552</v>
      </c>
      <c r="Q1" s="322" t="s">
        <v>3553</v>
      </c>
      <c r="R1" s="322" t="s">
        <v>3554</v>
      </c>
      <c r="S1" s="322" t="s">
        <v>3555</v>
      </c>
      <c r="T1" s="322" t="s">
        <v>3556</v>
      </c>
      <c r="U1" s="324"/>
      <c r="V1" s="324" t="s">
        <v>3557</v>
      </c>
      <c r="W1" s="324" t="s">
        <v>3558</v>
      </c>
      <c r="X1" s="324" t="s">
        <v>3559</v>
      </c>
      <c r="Y1" s="324" t="s">
        <v>3560</v>
      </c>
      <c r="Z1" s="310"/>
      <c r="AA1" s="310"/>
      <c r="AB1" s="310"/>
      <c r="AC1" s="310"/>
      <c r="AD1" s="310"/>
    </row>
    <row r="2">
      <c r="A2" s="325"/>
      <c r="B2" s="325"/>
      <c r="C2" s="136" t="s">
        <v>3357</v>
      </c>
      <c r="D2" s="326"/>
      <c r="E2" s="326">
        <v>275.0</v>
      </c>
      <c r="F2" s="136" t="s">
        <v>3561</v>
      </c>
      <c r="G2" s="136" t="s">
        <v>3562</v>
      </c>
      <c r="I2" s="136" t="s">
        <v>541</v>
      </c>
      <c r="J2" s="17" t="s">
        <v>3563</v>
      </c>
      <c r="K2" s="136" t="s">
        <v>3357</v>
      </c>
      <c r="L2" s="150">
        <v>30.0</v>
      </c>
      <c r="M2" s="184"/>
      <c r="N2" s="327">
        <f>if(L2&lt;=10,L2*'Penggunaan Alat'!$H$305,(10*'Penggunaan Alat'!$H$305)+((L2-10)*'Penggunaan Alat'!$H$306))</f>
        <v>1100000</v>
      </c>
      <c r="O2" s="17">
        <v>10.0</v>
      </c>
      <c r="P2" s="17">
        <v>5.0</v>
      </c>
      <c r="Q2" s="171">
        <f t="shared" ref="Q2:Q19" si="1">O2+(3*L2)</f>
        <v>100</v>
      </c>
      <c r="R2" s="17">
        <v>10.0</v>
      </c>
      <c r="S2" s="17">
        <v>5.0</v>
      </c>
      <c r="T2" s="171">
        <f t="shared" ref="T2:T19" si="2">sum(P2:S2)</f>
        <v>120</v>
      </c>
      <c r="U2" s="171">
        <f t="shared" ref="U2:U19" si="3">T2/60</f>
        <v>2</v>
      </c>
      <c r="V2" s="17" t="s">
        <v>3564</v>
      </c>
      <c r="W2" s="133" t="s">
        <v>3565</v>
      </c>
      <c r="X2" s="134" t="str">
        <f>HYPERLINK("https://drive.google.com/file/d/1c5tyZHahYc00AM1iPshbL1DeRaiFjJrm/view?usp=drivesdk","Impact Tester_Achmad Nurhidayat_275")</f>
        <v>Impact Tester_Achmad Nurhidayat_275</v>
      </c>
      <c r="Y2" s="17" t="s">
        <v>3566</v>
      </c>
    </row>
    <row r="3">
      <c r="A3" s="325"/>
      <c r="B3" s="325"/>
      <c r="C3" s="136" t="s">
        <v>3357</v>
      </c>
      <c r="D3" s="326"/>
      <c r="E3" s="326">
        <v>440.0</v>
      </c>
      <c r="F3" s="136" t="s">
        <v>3567</v>
      </c>
      <c r="G3" s="150">
        <v>2.0539144003E10</v>
      </c>
      <c r="H3" s="136" t="s">
        <v>3568</v>
      </c>
      <c r="I3" s="136" t="s">
        <v>541</v>
      </c>
      <c r="J3" s="17" t="s">
        <v>3563</v>
      </c>
      <c r="K3" s="136" t="s">
        <v>3357</v>
      </c>
      <c r="L3" s="150">
        <v>15.0</v>
      </c>
      <c r="M3" s="184"/>
      <c r="N3" s="327">
        <f>if(L3&lt;=10,L3*'Penggunaan Alat'!$H$305,(10*'Penggunaan Alat'!$H$305)+((L3-10)*'Penggunaan Alat'!$H$306))</f>
        <v>1025000</v>
      </c>
      <c r="O3" s="17">
        <v>10.0</v>
      </c>
      <c r="P3" s="17">
        <v>5.0</v>
      </c>
      <c r="Q3" s="171">
        <f t="shared" si="1"/>
        <v>55</v>
      </c>
      <c r="R3" s="17">
        <v>10.0</v>
      </c>
      <c r="S3" s="17">
        <v>5.0</v>
      </c>
      <c r="T3" s="171">
        <f t="shared" si="2"/>
        <v>75</v>
      </c>
      <c r="U3" s="171">
        <f t="shared" si="3"/>
        <v>1.25</v>
      </c>
      <c r="V3" s="17" t="s">
        <v>3569</v>
      </c>
      <c r="W3" s="133" t="s">
        <v>3570</v>
      </c>
      <c r="X3" s="134" t="str">
        <f>HYPERLINK("https://drive.google.com/file/d/1ewXjOUYV5WmO31JnVaZV4q8ZwyKyedY3/view?usp=drivesdk","Impact Tester_Rio Valeriano Sbroong _440")</f>
        <v>Impact Tester_Rio Valeriano Sbroong _440</v>
      </c>
      <c r="Y3" s="17" t="s">
        <v>3566</v>
      </c>
    </row>
    <row r="4">
      <c r="A4" s="325"/>
      <c r="B4" s="325"/>
      <c r="C4" s="136" t="s">
        <v>3357</v>
      </c>
      <c r="D4" s="326"/>
      <c r="E4" s="326">
        <v>444.0</v>
      </c>
      <c r="F4" s="136" t="s">
        <v>3567</v>
      </c>
      <c r="G4" s="150">
        <v>2.0539144003E10</v>
      </c>
      <c r="H4" s="136" t="s">
        <v>3568</v>
      </c>
      <c r="I4" s="136" t="s">
        <v>541</v>
      </c>
      <c r="J4" s="17" t="s">
        <v>3563</v>
      </c>
      <c r="K4" s="136" t="s">
        <v>3357</v>
      </c>
      <c r="L4" s="150">
        <v>15.0</v>
      </c>
      <c r="M4" s="184"/>
      <c r="N4" s="327">
        <f>if(L4&lt;=10,L4*'Penggunaan Alat'!$H$305,(10*'Penggunaan Alat'!$H$305)+((L4-10)*'Penggunaan Alat'!$H$306))</f>
        <v>1025000</v>
      </c>
      <c r="O4" s="17">
        <v>10.0</v>
      </c>
      <c r="P4" s="17">
        <v>5.0</v>
      </c>
      <c r="Q4" s="171">
        <f t="shared" si="1"/>
        <v>55</v>
      </c>
      <c r="R4" s="17">
        <v>10.0</v>
      </c>
      <c r="S4" s="17">
        <v>5.0</v>
      </c>
      <c r="T4" s="171">
        <f t="shared" si="2"/>
        <v>75</v>
      </c>
      <c r="U4" s="171">
        <f t="shared" si="3"/>
        <v>1.25</v>
      </c>
      <c r="V4" s="17" t="s">
        <v>3571</v>
      </c>
      <c r="W4" s="133" t="s">
        <v>3572</v>
      </c>
      <c r="X4" s="134" t="str">
        <f>HYPERLINK("https://drive.google.com/file/d/1r9DbuBZH13pHEfAWh5qheZu7ak07ELeX/view?usp=drivesdk","Impact Tester_Rio Valeriano Sbroong _444")</f>
        <v>Impact Tester_Rio Valeriano Sbroong _444</v>
      </c>
      <c r="Y4" s="17" t="s">
        <v>3566</v>
      </c>
    </row>
    <row r="5">
      <c r="A5" s="325"/>
      <c r="B5" s="325"/>
      <c r="C5" s="136" t="s">
        <v>3357</v>
      </c>
      <c r="D5" s="326"/>
      <c r="E5" s="326">
        <v>511.0</v>
      </c>
      <c r="F5" s="136" t="s">
        <v>3573</v>
      </c>
      <c r="G5" s="136" t="s">
        <v>3574</v>
      </c>
      <c r="H5" s="136" t="s">
        <v>3575</v>
      </c>
      <c r="I5" s="136" t="s">
        <v>621</v>
      </c>
      <c r="J5" s="17" t="s">
        <v>3563</v>
      </c>
      <c r="K5" s="136" t="s">
        <v>3357</v>
      </c>
      <c r="L5" s="150">
        <v>49.0</v>
      </c>
      <c r="M5" s="184"/>
      <c r="N5" s="327">
        <f>if(L5&lt;=10,L5*'Penggunaan Alat'!$H$305,(10*'Penggunaan Alat'!$H$305)+((L5-10)*'Penggunaan Alat'!$H$306))</f>
        <v>1195000</v>
      </c>
      <c r="O5" s="17">
        <v>10.0</v>
      </c>
      <c r="P5" s="17">
        <v>5.0</v>
      </c>
      <c r="Q5" s="171">
        <f t="shared" si="1"/>
        <v>157</v>
      </c>
      <c r="R5" s="17">
        <v>10.0</v>
      </c>
      <c r="S5" s="17">
        <v>5.0</v>
      </c>
      <c r="T5" s="171">
        <f t="shared" si="2"/>
        <v>177</v>
      </c>
      <c r="U5" s="171">
        <f t="shared" si="3"/>
        <v>2.95</v>
      </c>
      <c r="V5" s="17" t="s">
        <v>3576</v>
      </c>
      <c r="W5" s="133" t="s">
        <v>3577</v>
      </c>
      <c r="X5" s="134" t="str">
        <f>HYPERLINK("https://drive.google.com/file/d/1KpbziA3wGaPbFdeAq1wXLrz2XIxxuj6m/view?usp=drivesdk","Impact Tester_Yosafat Kukuh_511")</f>
        <v>Impact Tester_Yosafat Kukuh_511</v>
      </c>
      <c r="Y5" s="17" t="s">
        <v>3566</v>
      </c>
    </row>
    <row r="6">
      <c r="A6" s="325"/>
      <c r="B6" s="325"/>
      <c r="C6" s="136" t="s">
        <v>3357</v>
      </c>
      <c r="D6" s="326"/>
      <c r="E6" s="326">
        <v>516.0</v>
      </c>
      <c r="F6" s="136" t="s">
        <v>3578</v>
      </c>
      <c r="G6" s="136" t="s">
        <v>3579</v>
      </c>
      <c r="H6" s="136" t="s">
        <v>3580</v>
      </c>
      <c r="I6" s="136" t="s">
        <v>621</v>
      </c>
      <c r="J6" s="17" t="s">
        <v>3563</v>
      </c>
      <c r="K6" s="136" t="s">
        <v>3357</v>
      </c>
      <c r="L6" s="137">
        <v>1.0</v>
      </c>
      <c r="M6" s="184"/>
      <c r="N6" s="327">
        <f>if(L6&lt;=10,L6*'Penggunaan Alat'!$H$305,(10*'Penggunaan Alat'!$H$305)+((L6-10)*'Penggunaan Alat'!$H$306))</f>
        <v>100000</v>
      </c>
      <c r="O6" s="17">
        <v>10.0</v>
      </c>
      <c r="P6" s="17">
        <v>5.0</v>
      </c>
      <c r="Q6" s="171">
        <f t="shared" si="1"/>
        <v>13</v>
      </c>
      <c r="R6" s="17">
        <v>10.0</v>
      </c>
      <c r="S6" s="17">
        <v>5.0</v>
      </c>
      <c r="T6" s="171">
        <f t="shared" si="2"/>
        <v>33</v>
      </c>
      <c r="U6" s="171">
        <f t="shared" si="3"/>
        <v>0.55</v>
      </c>
      <c r="V6" s="17" t="s">
        <v>3581</v>
      </c>
      <c r="W6" s="133" t="s">
        <v>3582</v>
      </c>
      <c r="X6" s="134" t="str">
        <f>HYPERLINK("https://drive.google.com/file/d/1xSwP3i_rUQfxPw3tsMyVRLlBMK5aoass/view?usp=drivesdk","Impact Tester_Teguh Slamet_516")</f>
        <v>Impact Tester_Teguh Slamet_516</v>
      </c>
      <c r="Y6" s="17" t="s">
        <v>3583</v>
      </c>
    </row>
    <row r="7">
      <c r="A7" s="325"/>
      <c r="B7" s="325"/>
      <c r="C7" s="136" t="s">
        <v>3357</v>
      </c>
      <c r="D7" s="326"/>
      <c r="E7" s="326">
        <v>602.0</v>
      </c>
      <c r="F7" s="136" t="s">
        <v>3578</v>
      </c>
      <c r="G7" s="136" t="s">
        <v>3584</v>
      </c>
      <c r="H7" s="136" t="s">
        <v>3580</v>
      </c>
      <c r="I7" s="136" t="s">
        <v>621</v>
      </c>
      <c r="J7" s="17" t="s">
        <v>3563</v>
      </c>
      <c r="K7" s="136" t="s">
        <v>3357</v>
      </c>
      <c r="L7" s="150">
        <v>30.0</v>
      </c>
      <c r="M7" s="184"/>
      <c r="N7" s="327">
        <f>if(L7&lt;=10,L7*'Penggunaan Alat'!$H$305,(10*'Penggunaan Alat'!$H$305)+((L7-10)*'Penggunaan Alat'!$H$306))</f>
        <v>1100000</v>
      </c>
      <c r="O7" s="17">
        <v>10.0</v>
      </c>
      <c r="P7" s="17">
        <v>5.0</v>
      </c>
      <c r="Q7" s="171">
        <f t="shared" si="1"/>
        <v>100</v>
      </c>
      <c r="R7" s="17">
        <v>10.0</v>
      </c>
      <c r="S7" s="17">
        <v>5.0</v>
      </c>
      <c r="T7" s="171">
        <f t="shared" si="2"/>
        <v>120</v>
      </c>
      <c r="U7" s="171">
        <f t="shared" si="3"/>
        <v>2</v>
      </c>
      <c r="V7" s="17" t="s">
        <v>3585</v>
      </c>
      <c r="W7" s="133" t="s">
        <v>3586</v>
      </c>
      <c r="X7" s="134" t="str">
        <f>HYPERLINK("https://drive.google.com/file/d/1GqxGlx5WN8JTsXQRVgRSw88pSe4QmCVy/view?usp=drivesdk","Impact Tester_Teguh Slamet_602")</f>
        <v>Impact Tester_Teguh Slamet_602</v>
      </c>
      <c r="Y7" s="17" t="s">
        <v>3587</v>
      </c>
    </row>
    <row r="8">
      <c r="A8" s="325"/>
      <c r="B8" s="325"/>
      <c r="C8" s="136" t="s">
        <v>3357</v>
      </c>
      <c r="D8" s="326"/>
      <c r="E8" s="326">
        <v>626.0</v>
      </c>
      <c r="F8" s="136" t="s">
        <v>3588</v>
      </c>
      <c r="G8" s="136" t="s">
        <v>3589</v>
      </c>
      <c r="H8" s="136" t="s">
        <v>3580</v>
      </c>
      <c r="I8" s="136" t="s">
        <v>621</v>
      </c>
      <c r="J8" s="17" t="s">
        <v>3563</v>
      </c>
      <c r="K8" s="136" t="s">
        <v>3357</v>
      </c>
      <c r="L8" s="150">
        <v>35.0</v>
      </c>
      <c r="M8" s="184"/>
      <c r="N8" s="327">
        <f>if(L8&lt;=10,L8*'Penggunaan Alat'!$H$305,(10*'Penggunaan Alat'!$H$305)+((L8-10)*'Penggunaan Alat'!$H$306))</f>
        <v>1125000</v>
      </c>
      <c r="O8" s="17">
        <v>10.0</v>
      </c>
      <c r="P8" s="17">
        <v>5.0</v>
      </c>
      <c r="Q8" s="171">
        <f t="shared" si="1"/>
        <v>115</v>
      </c>
      <c r="R8" s="17">
        <v>10.0</v>
      </c>
      <c r="S8" s="17">
        <v>5.0</v>
      </c>
      <c r="T8" s="171">
        <f t="shared" si="2"/>
        <v>135</v>
      </c>
      <c r="U8" s="171">
        <f t="shared" si="3"/>
        <v>2.25</v>
      </c>
      <c r="V8" s="17" t="s">
        <v>3590</v>
      </c>
      <c r="W8" s="133" t="s">
        <v>3591</v>
      </c>
      <c r="X8" s="134" t="str">
        <f>HYPERLINK("https://drive.google.com/file/d/1DwRUWUEiBizC-Jn0J0m01jzhAu6M0l0W/view?usp=drivesdk","Impact Tester_Salman Al Farisi_626")</f>
        <v>Impact Tester_Salman Al Farisi_626</v>
      </c>
      <c r="Y8" s="17" t="s">
        <v>3587</v>
      </c>
    </row>
    <row r="9">
      <c r="A9" s="328">
        <v>45516.0</v>
      </c>
      <c r="B9" s="328">
        <v>45530.0</v>
      </c>
      <c r="C9" s="136" t="s">
        <v>3357</v>
      </c>
      <c r="D9" s="329"/>
      <c r="E9" s="329">
        <v>706.0</v>
      </c>
      <c r="F9" s="136" t="s">
        <v>3592</v>
      </c>
      <c r="G9" s="150">
        <v>2.0036010002E10</v>
      </c>
      <c r="H9" s="136" t="s">
        <v>3593</v>
      </c>
      <c r="I9" s="136" t="s">
        <v>541</v>
      </c>
      <c r="J9" s="17" t="s">
        <v>3563</v>
      </c>
      <c r="K9" s="136" t="s">
        <v>3357</v>
      </c>
      <c r="L9" s="17">
        <v>81.0</v>
      </c>
      <c r="M9" s="184"/>
      <c r="N9" s="327">
        <f>if(L9&lt;=10,L9*'Penggunaan Alat'!$H$305,(10*'Penggunaan Alat'!$H$305)+((L9-10)*'Penggunaan Alat'!$H$306))</f>
        <v>1355000</v>
      </c>
      <c r="O9" s="17">
        <v>60.0</v>
      </c>
      <c r="P9" s="17">
        <v>5.0</v>
      </c>
      <c r="Q9" s="171">
        <f t="shared" si="1"/>
        <v>303</v>
      </c>
      <c r="R9" s="17">
        <v>10.0</v>
      </c>
      <c r="S9" s="17">
        <v>5.0</v>
      </c>
      <c r="T9" s="171">
        <f t="shared" si="2"/>
        <v>323</v>
      </c>
      <c r="U9" s="171">
        <f t="shared" si="3"/>
        <v>5.383333333</v>
      </c>
      <c r="V9" s="17" t="s">
        <v>3594</v>
      </c>
      <c r="W9" s="133" t="s">
        <v>3595</v>
      </c>
      <c r="X9" s="134" t="str">
        <f>HYPERLINK("https://drive.google.com/file/d/111RHWl-dQNNUa_OHqKT2FcB9gCuH98iC/view?usp=drivesdk","Impact Izod_Abdi Satryo Mukti_706")</f>
        <v>Impact Izod_Abdi Satryo Mukti_706</v>
      </c>
      <c r="Y9" s="17" t="s">
        <v>3596</v>
      </c>
    </row>
    <row r="10">
      <c r="A10" s="328">
        <v>45517.0</v>
      </c>
      <c r="B10" s="328">
        <v>45530.0</v>
      </c>
      <c r="C10" s="136" t="s">
        <v>3357</v>
      </c>
      <c r="D10" s="329"/>
      <c r="E10" s="329">
        <v>707.0</v>
      </c>
      <c r="F10" s="136" t="s">
        <v>3597</v>
      </c>
      <c r="G10" s="150">
        <v>2.0036010024E10</v>
      </c>
      <c r="H10" s="136" t="s">
        <v>3593</v>
      </c>
      <c r="I10" s="136" t="s">
        <v>541</v>
      </c>
      <c r="J10" s="17" t="s">
        <v>3563</v>
      </c>
      <c r="K10" s="136" t="s">
        <v>3357</v>
      </c>
      <c r="L10" s="17">
        <v>81.0</v>
      </c>
      <c r="M10" s="184"/>
      <c r="N10" s="327">
        <f>if(L10&lt;=10,L10*'Penggunaan Alat'!$H$305,(10*'Penggunaan Alat'!$H$305)+((L10-10)*'Penggunaan Alat'!$H$306))</f>
        <v>1355000</v>
      </c>
      <c r="O10" s="17">
        <v>60.0</v>
      </c>
      <c r="P10" s="17">
        <v>5.0</v>
      </c>
      <c r="Q10" s="171">
        <f t="shared" si="1"/>
        <v>303</v>
      </c>
      <c r="R10" s="17">
        <v>10.0</v>
      </c>
      <c r="S10" s="17">
        <v>5.0</v>
      </c>
      <c r="T10" s="171">
        <f t="shared" si="2"/>
        <v>323</v>
      </c>
      <c r="U10" s="171">
        <f t="shared" si="3"/>
        <v>5.383333333</v>
      </c>
      <c r="V10" s="17" t="s">
        <v>3598</v>
      </c>
      <c r="W10" s="133" t="s">
        <v>3599</v>
      </c>
      <c r="X10" s="134" t="str">
        <f>HYPERLINK("https://drive.google.com/file/d/1ehdbz1MYiiUtl29EKK6df7lMe16Vx20s/view?usp=drivesdk","Impact Izod_Mochammad Willdan Rosyadi _707")</f>
        <v>Impact Izod_Mochammad Willdan Rosyadi _707</v>
      </c>
      <c r="Y10" s="17" t="s">
        <v>3600</v>
      </c>
    </row>
    <row r="11">
      <c r="A11" s="328">
        <v>45524.0</v>
      </c>
      <c r="B11" s="328">
        <v>45532.0</v>
      </c>
      <c r="C11" s="136" t="s">
        <v>3357</v>
      </c>
      <c r="D11" s="329"/>
      <c r="E11" s="329">
        <v>727.0</v>
      </c>
      <c r="F11" s="17" t="s">
        <v>3601</v>
      </c>
      <c r="G11" s="136" t="s">
        <v>3602</v>
      </c>
      <c r="H11" s="136" t="s">
        <v>3603</v>
      </c>
      <c r="I11" s="17" t="s">
        <v>621</v>
      </c>
      <c r="J11" s="17" t="s">
        <v>3563</v>
      </c>
      <c r="K11" s="136" t="s">
        <v>3357</v>
      </c>
      <c r="L11" s="17">
        <v>70.0</v>
      </c>
      <c r="M11" s="184"/>
      <c r="N11" s="327">
        <f>if(L11&lt;=10,L11*'Penggunaan Alat'!$H$305,(10*'Penggunaan Alat'!$H$305)+((L11-10)*'Penggunaan Alat'!$H$306))</f>
        <v>1300000</v>
      </c>
      <c r="O11" s="17">
        <v>10.0</v>
      </c>
      <c r="P11" s="17">
        <v>5.0</v>
      </c>
      <c r="Q11" s="171">
        <f t="shared" si="1"/>
        <v>220</v>
      </c>
      <c r="R11" s="17">
        <v>10.0</v>
      </c>
      <c r="S11" s="17">
        <v>5.0</v>
      </c>
      <c r="T11" s="171">
        <f t="shared" si="2"/>
        <v>240</v>
      </c>
      <c r="U11" s="171">
        <f t="shared" si="3"/>
        <v>4</v>
      </c>
      <c r="V11" s="17" t="s">
        <v>3604</v>
      </c>
      <c r="W11" s="133" t="s">
        <v>3605</v>
      </c>
      <c r="X11" s="134" t="str">
        <f>HYPERLINK("https://drive.google.com/file/d/1_gH44EQSS00bolZn1FZJaYgn2tSc-B_o/view?usp=drivesdk","Impact Izod_Gema Elwalie _727")</f>
        <v>Impact Izod_Gema Elwalie _727</v>
      </c>
      <c r="Y11" s="17" t="s">
        <v>3606</v>
      </c>
    </row>
    <row r="12">
      <c r="A12" s="328">
        <v>45526.0</v>
      </c>
      <c r="B12" s="328">
        <v>45532.0</v>
      </c>
      <c r="C12" s="136" t="s">
        <v>3357</v>
      </c>
      <c r="D12" s="329"/>
      <c r="E12" s="329">
        <v>721.0</v>
      </c>
      <c r="F12" s="17" t="s">
        <v>3607</v>
      </c>
      <c r="G12" s="150">
        <v>205021.0</v>
      </c>
      <c r="H12" s="136" t="s">
        <v>3608</v>
      </c>
      <c r="I12" s="136" t="s">
        <v>541</v>
      </c>
      <c r="J12" s="17" t="s">
        <v>3563</v>
      </c>
      <c r="K12" s="136" t="s">
        <v>3357</v>
      </c>
      <c r="L12" s="17">
        <v>12.0</v>
      </c>
      <c r="M12" s="184"/>
      <c r="N12" s="327">
        <f>if(L12&lt;=10,L12*'Penggunaan Alat'!$H$305,(10*'Penggunaan Alat'!$H$305)+((L12-10)*'Penggunaan Alat'!$H$306))</f>
        <v>1010000</v>
      </c>
      <c r="O12" s="17">
        <v>10.0</v>
      </c>
      <c r="P12" s="17">
        <v>5.0</v>
      </c>
      <c r="Q12" s="171">
        <f t="shared" si="1"/>
        <v>46</v>
      </c>
      <c r="R12" s="17">
        <v>10.0</v>
      </c>
      <c r="S12" s="17">
        <v>5.0</v>
      </c>
      <c r="T12" s="171">
        <f t="shared" si="2"/>
        <v>66</v>
      </c>
      <c r="U12" s="171">
        <f t="shared" si="3"/>
        <v>1.1</v>
      </c>
      <c r="V12" s="17" t="s">
        <v>3609</v>
      </c>
      <c r="W12" s="133" t="s">
        <v>3610</v>
      </c>
      <c r="X12" s="134" t="str">
        <f>HYPERLINK("https://drive.google.com/file/d/1QlXXvPEYApiXycTTooCyoal1qfRMSjE7/view?usp=drivesdk","Impact Izod_Rizky Febry Budiyono_721")</f>
        <v>Impact Izod_Rizky Febry Budiyono_721</v>
      </c>
      <c r="Y12" s="17" t="s">
        <v>3611</v>
      </c>
    </row>
    <row r="13">
      <c r="A13" s="328">
        <v>45534.0</v>
      </c>
      <c r="B13" s="328">
        <v>45537.0</v>
      </c>
      <c r="C13" s="136" t="s">
        <v>3357</v>
      </c>
      <c r="D13" s="329"/>
      <c r="E13" s="329">
        <v>752.0</v>
      </c>
      <c r="F13" s="17" t="s">
        <v>2558</v>
      </c>
      <c r="G13" s="17" t="s">
        <v>2559</v>
      </c>
      <c r="H13" s="17" t="s">
        <v>3245</v>
      </c>
      <c r="I13" s="136" t="s">
        <v>541</v>
      </c>
      <c r="J13" s="17" t="s">
        <v>3563</v>
      </c>
      <c r="K13" s="136" t="s">
        <v>3357</v>
      </c>
      <c r="L13" s="17">
        <v>35.0</v>
      </c>
      <c r="M13" s="184"/>
      <c r="N13" s="327">
        <f>if(L13&lt;=10,L13*'Penggunaan Alat'!$H$305,(10*'Penggunaan Alat'!$H$305)+((L13-10)*'Penggunaan Alat'!$H$306))</f>
        <v>1125000</v>
      </c>
      <c r="O13" s="17">
        <v>5.0</v>
      </c>
      <c r="P13" s="17">
        <v>5.0</v>
      </c>
      <c r="Q13" s="171">
        <f t="shared" si="1"/>
        <v>110</v>
      </c>
      <c r="R13" s="17">
        <v>10.0</v>
      </c>
      <c r="S13" s="17">
        <v>5.0</v>
      </c>
      <c r="T13" s="171">
        <f t="shared" si="2"/>
        <v>130</v>
      </c>
      <c r="U13" s="171">
        <f t="shared" si="3"/>
        <v>2.166666667</v>
      </c>
      <c r="V13" s="17" t="s">
        <v>3612</v>
      </c>
      <c r="W13" s="133" t="s">
        <v>3613</v>
      </c>
      <c r="X13" s="134" t="str">
        <f>HYPERLINK("https://drive.google.com/file/d/19PktuXiczSAl1TCd4tvn4rI2W82NycZb/view?usp=drivesdk","Impact Izod_Gerald Christiano_752")</f>
        <v>Impact Izod_Gerald Christiano_752</v>
      </c>
      <c r="Y13" s="17" t="s">
        <v>3614</v>
      </c>
    </row>
    <row r="14">
      <c r="A14" s="328">
        <v>45546.0</v>
      </c>
      <c r="B14" s="328">
        <v>45548.0</v>
      </c>
      <c r="C14" s="136" t="s">
        <v>3357</v>
      </c>
      <c r="D14" s="329"/>
      <c r="E14" s="329">
        <v>769.0</v>
      </c>
      <c r="F14" s="136" t="s">
        <v>3615</v>
      </c>
      <c r="G14" s="136" t="s">
        <v>3616</v>
      </c>
      <c r="H14" s="136" t="s">
        <v>3617</v>
      </c>
      <c r="I14" s="17" t="s">
        <v>541</v>
      </c>
      <c r="J14" s="17" t="s">
        <v>3563</v>
      </c>
      <c r="K14" s="136" t="s">
        <v>3357</v>
      </c>
      <c r="L14" s="17">
        <v>32.0</v>
      </c>
      <c r="M14" s="184"/>
      <c r="N14" s="327">
        <f>if(L14&lt;=10,L14*'Penggunaan Alat'!$H$305,(10*'Penggunaan Alat'!$H$305)+((L14-10)*'Penggunaan Alat'!$H$306))</f>
        <v>1110000</v>
      </c>
      <c r="O14" s="17">
        <v>5.0</v>
      </c>
      <c r="P14" s="17">
        <v>5.0</v>
      </c>
      <c r="Q14" s="171">
        <f t="shared" si="1"/>
        <v>101</v>
      </c>
      <c r="R14" s="17">
        <v>10.0</v>
      </c>
      <c r="S14" s="17">
        <v>5.0</v>
      </c>
      <c r="T14" s="171">
        <f t="shared" si="2"/>
        <v>121</v>
      </c>
      <c r="U14" s="171">
        <f t="shared" si="3"/>
        <v>2.016666667</v>
      </c>
      <c r="V14" s="17" t="s">
        <v>3618</v>
      </c>
      <c r="W14" s="133" t="s">
        <v>3619</v>
      </c>
      <c r="X14" s="134" t="str">
        <f>HYPERLINK("https://drive.google.com/file/d/1t7IHovm8lgfOaSzM6rTGGAlnaeXr_vLE/view?usp=drivesdk","Impact Izod_Andrea Puspa_769")</f>
        <v>Impact Izod_Andrea Puspa_769</v>
      </c>
      <c r="Y14" s="17" t="s">
        <v>3620</v>
      </c>
    </row>
    <row r="15">
      <c r="A15" s="328">
        <v>45546.0</v>
      </c>
      <c r="B15" s="328">
        <v>45553.0</v>
      </c>
      <c r="C15" s="136" t="s">
        <v>3357</v>
      </c>
      <c r="D15" s="329"/>
      <c r="E15" s="329">
        <v>775.0</v>
      </c>
      <c r="F15" s="136" t="s">
        <v>2585</v>
      </c>
      <c r="G15" s="136" t="s">
        <v>2586</v>
      </c>
      <c r="H15" s="136" t="s">
        <v>3580</v>
      </c>
      <c r="I15" s="136" t="s">
        <v>541</v>
      </c>
      <c r="J15" s="17" t="s">
        <v>3563</v>
      </c>
      <c r="K15" s="178" t="s">
        <v>3621</v>
      </c>
      <c r="L15" s="17">
        <v>21.0</v>
      </c>
      <c r="M15" s="184"/>
      <c r="N15" s="327">
        <f>if(L15&lt;=10,L15*'Penggunaan Alat'!$H$305,(10*'Penggunaan Alat'!$H$305)+((L15-10)*'Penggunaan Alat'!$H$306))</f>
        <v>1055000</v>
      </c>
      <c r="O15" s="17">
        <v>5.0</v>
      </c>
      <c r="P15" s="17">
        <v>5.0</v>
      </c>
      <c r="Q15" s="171">
        <f t="shared" si="1"/>
        <v>68</v>
      </c>
      <c r="R15" s="17">
        <v>10.0</v>
      </c>
      <c r="S15" s="17">
        <v>5.0</v>
      </c>
      <c r="T15" s="171">
        <f t="shared" si="2"/>
        <v>88</v>
      </c>
      <c r="U15" s="171">
        <f t="shared" si="3"/>
        <v>1.466666667</v>
      </c>
      <c r="V15" s="17" t="s">
        <v>3622</v>
      </c>
      <c r="W15" s="133" t="s">
        <v>3623</v>
      </c>
      <c r="X15" s="134" t="str">
        <f>HYPERLINK("https://drive.google.com/file/d/1y_i-owQc5gUC0a0fSVWbN-x2GwxQU-M2/view?usp=drivesdk","Impact Izod_Anggara Tri Atmaja_775")</f>
        <v>Impact Izod_Anggara Tri Atmaja_775</v>
      </c>
      <c r="Y15" s="17" t="s">
        <v>3620</v>
      </c>
    </row>
    <row r="16" ht="15.0" customHeight="1">
      <c r="A16" s="328">
        <v>45546.0</v>
      </c>
      <c r="B16" s="328">
        <v>45553.0</v>
      </c>
      <c r="C16" s="136" t="s">
        <v>3357</v>
      </c>
      <c r="D16" s="329"/>
      <c r="E16" s="329">
        <v>774.0</v>
      </c>
      <c r="F16" s="136" t="s">
        <v>3624</v>
      </c>
      <c r="G16" s="136" t="s">
        <v>3625</v>
      </c>
      <c r="H16" s="136" t="s">
        <v>3580</v>
      </c>
      <c r="I16" s="136" t="s">
        <v>541</v>
      </c>
      <c r="J16" s="17" t="s">
        <v>3563</v>
      </c>
      <c r="K16" s="178" t="s">
        <v>3621</v>
      </c>
      <c r="L16" s="17">
        <v>42.0</v>
      </c>
      <c r="M16" s="184"/>
      <c r="N16" s="327">
        <f>if(L16&lt;=10,L16*'Penggunaan Alat'!$H$305,(10*'Penggunaan Alat'!$H$305)+((L16-10)*'Penggunaan Alat'!$H$306))</f>
        <v>1160000</v>
      </c>
      <c r="O16" s="17">
        <v>5.0</v>
      </c>
      <c r="P16" s="17">
        <v>5.0</v>
      </c>
      <c r="Q16" s="171">
        <f t="shared" si="1"/>
        <v>131</v>
      </c>
      <c r="R16" s="17">
        <v>10.0</v>
      </c>
      <c r="S16" s="17">
        <v>5.0</v>
      </c>
      <c r="T16" s="171">
        <f t="shared" si="2"/>
        <v>151</v>
      </c>
      <c r="U16" s="171">
        <f t="shared" si="3"/>
        <v>2.516666667</v>
      </c>
      <c r="V16" s="17" t="s">
        <v>3626</v>
      </c>
      <c r="W16" s="133" t="s">
        <v>3627</v>
      </c>
      <c r="X16" s="134" t="str">
        <f>HYPERLINK("https://drive.google.com/file/d/1ZeN5iAMYjv83T0KOVCpYrBwnSwd8Nc-c/view?usp=drivesdk","Impact Izod_Abdul Ghofur Safari_774")</f>
        <v>Impact Izod_Abdul Ghofur Safari_774</v>
      </c>
      <c r="Y16" s="17" t="s">
        <v>3628</v>
      </c>
    </row>
    <row r="17">
      <c r="A17" s="328">
        <v>45546.0</v>
      </c>
      <c r="B17" s="328">
        <v>45555.0</v>
      </c>
      <c r="C17" s="136" t="s">
        <v>3357</v>
      </c>
      <c r="D17" s="330"/>
      <c r="E17" s="330">
        <v>776.0</v>
      </c>
      <c r="F17" s="136" t="s">
        <v>3629</v>
      </c>
      <c r="G17" s="136" t="s">
        <v>3630</v>
      </c>
      <c r="H17" s="136" t="s">
        <v>3631</v>
      </c>
      <c r="I17" s="136" t="s">
        <v>541</v>
      </c>
      <c r="J17" s="17" t="s">
        <v>3563</v>
      </c>
      <c r="K17" s="178" t="s">
        <v>3621</v>
      </c>
      <c r="L17" s="17">
        <v>42.0</v>
      </c>
      <c r="M17" s="184"/>
      <c r="N17" s="327">
        <f>if(L17&lt;=10,L17*'Penggunaan Alat'!$H$305,(10*'Penggunaan Alat'!$H$305)+((L17-10)*'Penggunaan Alat'!$H$306))</f>
        <v>1160000</v>
      </c>
      <c r="O17" s="17">
        <v>5.0</v>
      </c>
      <c r="P17" s="17">
        <v>5.0</v>
      </c>
      <c r="Q17" s="171">
        <f t="shared" si="1"/>
        <v>131</v>
      </c>
      <c r="R17" s="17">
        <v>10.0</v>
      </c>
      <c r="S17" s="17">
        <v>5.0</v>
      </c>
      <c r="T17" s="171">
        <f t="shared" si="2"/>
        <v>151</v>
      </c>
      <c r="U17" s="171">
        <f t="shared" si="3"/>
        <v>2.516666667</v>
      </c>
      <c r="V17" s="17" t="s">
        <v>3632</v>
      </c>
      <c r="W17" s="133" t="s">
        <v>3633</v>
      </c>
      <c r="X17" s="134" t="str">
        <f>HYPERLINK("https://drive.google.com/file/d/1psbsy8ITcDQ2ajiFVLNyINcrotJrD85i/view?usp=drivesdk","Impact Izod_Argian Tegar Anggit Purwaka_776")</f>
        <v>Impact Izod_Argian Tegar Anggit Purwaka_776</v>
      </c>
      <c r="Y17" s="17" t="s">
        <v>3628</v>
      </c>
    </row>
    <row r="18">
      <c r="A18" s="328">
        <v>45546.0</v>
      </c>
      <c r="B18" s="328">
        <v>45555.0</v>
      </c>
      <c r="C18" s="136" t="s">
        <v>3357</v>
      </c>
      <c r="D18" s="331"/>
      <c r="E18" s="331">
        <v>777.0</v>
      </c>
      <c r="F18" s="136" t="s">
        <v>3634</v>
      </c>
      <c r="G18" s="136" t="s">
        <v>3635</v>
      </c>
      <c r="H18" s="136" t="s">
        <v>3636</v>
      </c>
      <c r="I18" s="136" t="s">
        <v>541</v>
      </c>
      <c r="J18" s="17" t="s">
        <v>3563</v>
      </c>
      <c r="K18" s="178" t="s">
        <v>3621</v>
      </c>
      <c r="L18" s="17">
        <v>42.0</v>
      </c>
      <c r="M18" s="184"/>
      <c r="N18" s="327">
        <f>if(L18&lt;=10,L18*'Penggunaan Alat'!$H$305,(10*'Penggunaan Alat'!$H$305)+((L18-10)*'Penggunaan Alat'!$H$306))</f>
        <v>1160000</v>
      </c>
      <c r="O18" s="17">
        <v>5.0</v>
      </c>
      <c r="P18" s="17">
        <v>5.0</v>
      </c>
      <c r="Q18" s="171">
        <f t="shared" si="1"/>
        <v>131</v>
      </c>
      <c r="R18" s="17">
        <v>10.0</v>
      </c>
      <c r="S18" s="17">
        <v>5.0</v>
      </c>
      <c r="T18" s="171">
        <f t="shared" si="2"/>
        <v>151</v>
      </c>
      <c r="U18" s="171">
        <f t="shared" si="3"/>
        <v>2.516666667</v>
      </c>
      <c r="V18" s="17" t="s">
        <v>3637</v>
      </c>
      <c r="W18" s="133" t="s">
        <v>3638</v>
      </c>
      <c r="X18" s="134" t="str">
        <f>HYPERLINK("https://drive.google.com/file/d/1ud9SIaGvant6tRbbNYrK0IoRj7l2K4Se/view?usp=drivesdk","Impact Izod_Diva Naswa Abdilah_777")</f>
        <v>Impact Izod_Diva Naswa Abdilah_777</v>
      </c>
      <c r="Y18" s="17" t="s">
        <v>3628</v>
      </c>
    </row>
    <row r="19">
      <c r="A19" s="328">
        <v>45560.0</v>
      </c>
      <c r="B19" s="328">
        <v>45573.0</v>
      </c>
      <c r="C19" s="136" t="s">
        <v>3357</v>
      </c>
      <c r="D19" s="331"/>
      <c r="E19" s="331">
        <v>802.0</v>
      </c>
      <c r="F19" s="136" t="s">
        <v>3639</v>
      </c>
      <c r="G19" s="136" t="s">
        <v>3640</v>
      </c>
      <c r="H19" s="136" t="s">
        <v>3641</v>
      </c>
      <c r="I19" s="136" t="s">
        <v>541</v>
      </c>
      <c r="J19" s="17" t="s">
        <v>3563</v>
      </c>
      <c r="K19" s="178" t="s">
        <v>3621</v>
      </c>
      <c r="L19" s="17">
        <v>266.0</v>
      </c>
      <c r="M19" s="184"/>
      <c r="N19" s="327">
        <f>if(L19&lt;=10,L19*'Penggunaan Alat'!$H$305,(10*'Penggunaan Alat'!$H$305)+((L19-10)*'Penggunaan Alat'!$H$306))</f>
        <v>2280000</v>
      </c>
      <c r="O19" s="17">
        <v>30.0</v>
      </c>
      <c r="P19" s="17">
        <v>5.0</v>
      </c>
      <c r="Q19" s="171">
        <f t="shared" si="1"/>
        <v>828</v>
      </c>
      <c r="R19" s="17">
        <v>10.0</v>
      </c>
      <c r="S19" s="17">
        <v>5.0</v>
      </c>
      <c r="T19" s="171">
        <f t="shared" si="2"/>
        <v>848</v>
      </c>
      <c r="U19" s="171">
        <f t="shared" si="3"/>
        <v>14.13333333</v>
      </c>
      <c r="V19" s="17" t="s">
        <v>3642</v>
      </c>
      <c r="W19" s="133" t="s">
        <v>3643</v>
      </c>
      <c r="X19" s="134" t="str">
        <f>HYPERLINK("https://drive.google.com/file/d/1V6Y72PC7BVsVKGC33AhCkSyCTb1cjkQ8/view?usp=drivesdk","Impact Izod_Tri Wibawa_802")</f>
        <v>Impact Izod_Tri Wibawa_802</v>
      </c>
      <c r="Y19" s="17" t="s">
        <v>3644</v>
      </c>
    </row>
    <row r="20">
      <c r="A20" s="328">
        <v>45583.0</v>
      </c>
      <c r="B20" s="328">
        <v>45586.0</v>
      </c>
      <c r="C20" s="17" t="s">
        <v>3645</v>
      </c>
      <c r="D20" s="280"/>
      <c r="E20" s="280">
        <v>836.0</v>
      </c>
      <c r="F20" s="136" t="s">
        <v>3639</v>
      </c>
      <c r="G20" s="136" t="s">
        <v>3640</v>
      </c>
      <c r="H20" s="136" t="s">
        <v>3646</v>
      </c>
      <c r="I20" s="136" t="s">
        <v>541</v>
      </c>
      <c r="J20" s="17" t="s">
        <v>3563</v>
      </c>
      <c r="K20" s="178" t="s">
        <v>3621</v>
      </c>
      <c r="L20" s="17">
        <v>80.0</v>
      </c>
      <c r="M20" s="184"/>
      <c r="N20" s="327">
        <f>if(L20&lt;=10,L20*'Penggunaan Alat'!$H$305,(10*'Penggunaan Alat'!$H$305)+((L20-10)*'Penggunaan Alat'!$H$306))</f>
        <v>1350000</v>
      </c>
      <c r="V20" s="17" t="s">
        <v>3647</v>
      </c>
      <c r="W20" s="133" t="s">
        <v>3648</v>
      </c>
      <c r="X20" s="134" t="str">
        <f>HYPERLINK("https://drive.google.com/file/d/1A9js4zXJNdH3afFsoBvWeF0am8q_9PNO/view?usp=drivesdk","Impact Izod_Tri Wibawa_836")</f>
        <v>Impact Izod_Tri Wibawa_836</v>
      </c>
      <c r="Y20" s="17" t="s">
        <v>3649</v>
      </c>
    </row>
    <row r="21">
      <c r="A21" s="328">
        <v>45587.0</v>
      </c>
      <c r="B21" s="328">
        <v>45588.0</v>
      </c>
      <c r="C21" s="17" t="s">
        <v>3645</v>
      </c>
      <c r="D21" s="280"/>
      <c r="E21" s="280">
        <v>841.0</v>
      </c>
      <c r="F21" s="136" t="s">
        <v>3650</v>
      </c>
      <c r="G21" s="136" t="s">
        <v>3651</v>
      </c>
      <c r="H21" s="136" t="s">
        <v>3652</v>
      </c>
      <c r="I21" s="136" t="s">
        <v>541</v>
      </c>
      <c r="J21" s="17" t="s">
        <v>3563</v>
      </c>
      <c r="K21" s="178" t="s">
        <v>3621</v>
      </c>
      <c r="L21" s="17">
        <v>25.0</v>
      </c>
      <c r="M21" s="184"/>
      <c r="N21" s="327">
        <f>if(L21&lt;=10,L21*'Penggunaan Alat'!$H$305,(10*'Penggunaan Alat'!$H$305)+((L21-10)*'Penggunaan Alat'!$H$306))</f>
        <v>1075000</v>
      </c>
      <c r="V21" s="17" t="s">
        <v>3653</v>
      </c>
      <c r="W21" s="133" t="s">
        <v>3654</v>
      </c>
      <c r="X21" s="134" t="str">
        <f>HYPERLINK("https://drive.google.com/file/d/119Rt5u_kpRrdDfPPp0dRdUEEFGEXFHNp/view?usp=drivesdk","Impact Izod_Mohamad Haikal Kenang Octori_841")</f>
        <v>Impact Izod_Mohamad Haikal Kenang Octori_841</v>
      </c>
      <c r="Y21" s="17" t="s">
        <v>3655</v>
      </c>
    </row>
    <row r="22">
      <c r="A22" s="328">
        <v>45587.0</v>
      </c>
      <c r="B22" s="328">
        <v>45588.0</v>
      </c>
      <c r="C22" s="17" t="s">
        <v>3645</v>
      </c>
      <c r="D22" s="280"/>
      <c r="E22" s="280">
        <v>842.0</v>
      </c>
      <c r="F22" s="136" t="s">
        <v>3656</v>
      </c>
      <c r="G22" s="136" t="s">
        <v>3657</v>
      </c>
      <c r="H22" s="136" t="s">
        <v>2020</v>
      </c>
      <c r="I22" s="136" t="s">
        <v>541</v>
      </c>
      <c r="J22" s="17" t="s">
        <v>3563</v>
      </c>
      <c r="K22" s="178" t="s">
        <v>3621</v>
      </c>
      <c r="L22" s="17">
        <v>25.0</v>
      </c>
      <c r="M22" s="184"/>
      <c r="N22" s="327">
        <f>if(L22&lt;=10,L22*'Penggunaan Alat'!$H$305,(10*'Penggunaan Alat'!$H$305)+((L22-10)*'Penggunaan Alat'!$H$306))</f>
        <v>1075000</v>
      </c>
      <c r="V22" s="17" t="s">
        <v>3658</v>
      </c>
      <c r="W22" s="133" t="s">
        <v>3659</v>
      </c>
      <c r="X22" s="134" t="str">
        <f>HYPERLINK("https://drive.google.com/file/d/1Rkyv-EXj0wjjMnhQdADfo9Eit9rw_8gO/view?usp=drivesdk","Impact Izod_Syarief Abdurrazzaq_842")</f>
        <v>Impact Izod_Syarief Abdurrazzaq_842</v>
      </c>
      <c r="Y22" s="17" t="s">
        <v>3655</v>
      </c>
    </row>
    <row r="23">
      <c r="A23" s="328">
        <v>45609.0</v>
      </c>
      <c r="B23" s="328">
        <v>45616.0</v>
      </c>
      <c r="C23" s="17" t="s">
        <v>3660</v>
      </c>
      <c r="D23" s="329"/>
      <c r="E23" s="329">
        <v>884.0</v>
      </c>
      <c r="F23" s="17" t="s">
        <v>3661</v>
      </c>
      <c r="G23" s="136" t="s">
        <v>3662</v>
      </c>
      <c r="H23" s="136" t="s">
        <v>3663</v>
      </c>
      <c r="I23" s="136" t="s">
        <v>621</v>
      </c>
      <c r="J23" s="17" t="s">
        <v>3563</v>
      </c>
      <c r="K23" s="178" t="s">
        <v>3621</v>
      </c>
      <c r="L23" s="17">
        <v>15.0</v>
      </c>
      <c r="M23" s="184"/>
      <c r="N23" s="327">
        <f>if(L23&lt;=10,L23*'Penggunaan Alat'!$H$305,(10*'Penggunaan Alat'!$H$305)+((L23-10)*'Penggunaan Alat'!$H$306))</f>
        <v>1025000</v>
      </c>
      <c r="V23" s="17" t="s">
        <v>3664</v>
      </c>
      <c r="W23" s="133" t="s">
        <v>3665</v>
      </c>
      <c r="X23" s="134" t="str">
        <f>HYPERLINK("https://drive.google.com/file/d/1yGhm-AuCjyDB1jFDAvI_55Z1BV73m9Dr/view?usp=drivesdk","Impact Izod_Muhammad Helmi_884")</f>
        <v>Impact Izod_Muhammad Helmi_884</v>
      </c>
      <c r="Y23" s="17" t="s">
        <v>3666</v>
      </c>
    </row>
    <row r="24">
      <c r="A24" s="328">
        <v>45644.0</v>
      </c>
      <c r="B24" s="328">
        <v>45645.0</v>
      </c>
      <c r="C24" s="17" t="s">
        <v>3660</v>
      </c>
      <c r="D24" s="329"/>
      <c r="E24" s="329">
        <v>939.0</v>
      </c>
      <c r="F24" s="136" t="s">
        <v>3624</v>
      </c>
      <c r="G24" s="136" t="s">
        <v>3625</v>
      </c>
      <c r="H24" s="136" t="s">
        <v>3663</v>
      </c>
      <c r="I24" s="178" t="s">
        <v>541</v>
      </c>
      <c r="J24" s="17" t="s">
        <v>3563</v>
      </c>
      <c r="K24" s="178" t="s">
        <v>3621</v>
      </c>
      <c r="L24" s="17">
        <v>105.0</v>
      </c>
      <c r="M24" s="184"/>
      <c r="N24" s="327">
        <f>if(L24&lt;=10,L24*'Penggunaan Alat'!$H$305,(10*'Penggunaan Alat'!$H$305)+((L24-10)*'Penggunaan Alat'!$H$306))</f>
        <v>1475000</v>
      </c>
      <c r="V24" s="17" t="s">
        <v>3667</v>
      </c>
      <c r="W24" s="133" t="s">
        <v>3668</v>
      </c>
      <c r="X24" s="134" t="str">
        <f>HYPERLINK("https://drive.google.com/file/d/11aACBqJDh1uQGjM4MM5grEQwS_9qvYgt/view?usp=drivesdk","Impact Izod_Abdul Ghofur Safari_939")</f>
        <v>Impact Izod_Abdul Ghofur Safari_939</v>
      </c>
      <c r="Y24" s="17" t="s">
        <v>3669</v>
      </c>
    </row>
    <row r="25">
      <c r="A25" s="328">
        <v>45665.0</v>
      </c>
      <c r="B25" s="328">
        <v>45672.0</v>
      </c>
      <c r="C25" s="17" t="s">
        <v>3660</v>
      </c>
      <c r="D25" s="329"/>
      <c r="E25" s="329">
        <v>6.0</v>
      </c>
      <c r="F25" s="136" t="s">
        <v>3670</v>
      </c>
      <c r="G25" s="136" t="s">
        <v>3671</v>
      </c>
      <c r="H25" s="136" t="s">
        <v>3652</v>
      </c>
      <c r="I25" s="17" t="s">
        <v>3672</v>
      </c>
      <c r="J25" s="17" t="s">
        <v>3563</v>
      </c>
      <c r="K25" s="178" t="s">
        <v>3621</v>
      </c>
      <c r="L25" s="17">
        <v>30.0</v>
      </c>
      <c r="M25" s="184"/>
      <c r="N25" s="327">
        <f>75000*L25</f>
        <v>2250000</v>
      </c>
      <c r="V25" s="17" t="s">
        <v>3673</v>
      </c>
      <c r="W25" s="133" t="s">
        <v>3674</v>
      </c>
      <c r="X25" s="134" t="str">
        <f>HYPERLINK("https://drive.google.com/file/d/1zgTRrallgfqnD91hSFf8pl5h2_OY09Tm/view?usp=drivesdk","Impact Izod_Ariq Muhammad Rafi_006")</f>
        <v>Impact Izod_Ariq Muhammad Rafi_006</v>
      </c>
      <c r="Y25" s="17" t="s">
        <v>3675</v>
      </c>
    </row>
    <row r="26">
      <c r="A26" s="328">
        <v>45677.0</v>
      </c>
      <c r="B26" s="328">
        <v>45688.0</v>
      </c>
      <c r="C26" s="17" t="s">
        <v>3660</v>
      </c>
      <c r="D26" s="329"/>
      <c r="E26" s="329">
        <v>34.0</v>
      </c>
      <c r="F26" s="136" t="s">
        <v>3676</v>
      </c>
      <c r="G26" s="136" t="s">
        <v>2559</v>
      </c>
      <c r="H26" s="136" t="s">
        <v>3677</v>
      </c>
      <c r="I26" s="17" t="s">
        <v>3672</v>
      </c>
      <c r="J26" s="17" t="s">
        <v>3563</v>
      </c>
      <c r="K26" s="178" t="s">
        <v>3621</v>
      </c>
      <c r="L26" s="17">
        <v>20.0</v>
      </c>
      <c r="M26" s="184"/>
      <c r="N26" s="327">
        <f>if(I26="UNS",L26*50000,L26*60000)</f>
        <v>1000000</v>
      </c>
      <c r="V26" s="17" t="s">
        <v>3678</v>
      </c>
      <c r="W26" s="133" t="s">
        <v>3679</v>
      </c>
      <c r="X26" s="134" t="str">
        <f>HYPERLINK("https://drive.google.com/file/d/1Gy6HpeQO3NCwF6i1WkQl3HXnO-nvwShu/view?usp=drivesdk","Impact Izod_Gerald Christiano _034")</f>
        <v>Impact Izod_Gerald Christiano _034</v>
      </c>
      <c r="Y26" s="17" t="s">
        <v>3680</v>
      </c>
    </row>
    <row r="27">
      <c r="A27" s="328">
        <v>45691.0</v>
      </c>
      <c r="B27" s="328">
        <v>45698.0</v>
      </c>
      <c r="C27" s="17" t="s">
        <v>588</v>
      </c>
      <c r="D27" s="329" t="s">
        <v>3681</v>
      </c>
      <c r="E27" s="329">
        <v>69.0</v>
      </c>
      <c r="F27" s="136" t="s">
        <v>3682</v>
      </c>
      <c r="G27" s="136" t="s">
        <v>3683</v>
      </c>
      <c r="H27" s="17" t="s">
        <v>3684</v>
      </c>
      <c r="I27" s="17" t="s">
        <v>3685</v>
      </c>
      <c r="J27" s="17" t="s">
        <v>3686</v>
      </c>
      <c r="K27" s="17" t="s">
        <v>3687</v>
      </c>
      <c r="L27" s="17">
        <v>1.0</v>
      </c>
      <c r="M27" s="184"/>
      <c r="N27" s="327">
        <f>(100000+150000)*L27</f>
        <v>250000</v>
      </c>
      <c r="V27" s="17" t="s">
        <v>3688</v>
      </c>
      <c r="W27" s="133" t="s">
        <v>3689</v>
      </c>
      <c r="X27" s="134" t="str">
        <f>HYPERLINK("https://drive.google.com/file/d/1A0aZ5_0zESfhZ7eLV-fmZaDKu1k655TD/view?usp=drivesdk","Kadar Air &amp; Abu Furnace, Oven, Analitical Balance_ALILAH SYAH BUDI_069")</f>
        <v>Kadar Air &amp; Abu Furnace, Oven, Analitical Balance_ALILAH SYAH BUDI_069</v>
      </c>
      <c r="Y27" s="17" t="s">
        <v>3690</v>
      </c>
    </row>
    <row r="28">
      <c r="A28" s="328">
        <v>45708.0</v>
      </c>
      <c r="B28" s="328">
        <v>45726.0</v>
      </c>
      <c r="C28" s="17" t="s">
        <v>588</v>
      </c>
      <c r="D28" s="329" t="s">
        <v>227</v>
      </c>
      <c r="E28" s="329">
        <v>108.0</v>
      </c>
      <c r="F28" s="17" t="s">
        <v>3691</v>
      </c>
      <c r="G28" s="17" t="s">
        <v>155</v>
      </c>
      <c r="H28" s="17" t="s">
        <v>3692</v>
      </c>
      <c r="I28" s="136" t="s">
        <v>541</v>
      </c>
      <c r="J28" s="329" t="s">
        <v>227</v>
      </c>
      <c r="K28" s="136" t="s">
        <v>3357</v>
      </c>
      <c r="L28" s="17">
        <v>1.0</v>
      </c>
      <c r="M28" s="17">
        <v>1.0</v>
      </c>
      <c r="N28" s="332">
        <v>100000.0</v>
      </c>
      <c r="V28" s="17" t="s">
        <v>3693</v>
      </c>
      <c r="W28" s="133" t="s">
        <v>3694</v>
      </c>
      <c r="X28" s="134" t="str">
        <f>HYPERLINK("https://drive.google.com/file/d/1F2NsMzNXgdg7rtoq6fVWqwgKzR0X08mc/view?usp=drivesdk","Thermal Conductivity Thermal Conductivity_PT Delima Karya_108")</f>
        <v>Thermal Conductivity Thermal Conductivity_PT Delima Karya_108</v>
      </c>
      <c r="Y28" s="17" t="s">
        <v>3695</v>
      </c>
    </row>
    <row r="29">
      <c r="A29" s="328">
        <v>45692.0</v>
      </c>
      <c r="B29" s="325">
        <v>45730.0</v>
      </c>
      <c r="C29" s="17" t="s">
        <v>588</v>
      </c>
      <c r="D29" s="329" t="s">
        <v>227</v>
      </c>
      <c r="E29" s="329">
        <v>60.0</v>
      </c>
      <c r="F29" s="17" t="s">
        <v>3696</v>
      </c>
      <c r="G29" s="17" t="s">
        <v>3697</v>
      </c>
      <c r="H29" s="17" t="s">
        <v>3698</v>
      </c>
      <c r="I29" s="17" t="s">
        <v>3672</v>
      </c>
      <c r="J29" s="329" t="s">
        <v>227</v>
      </c>
      <c r="K29" s="136" t="s">
        <v>3357</v>
      </c>
      <c r="L29" s="17">
        <v>1.0</v>
      </c>
      <c r="M29" s="17">
        <v>3.0</v>
      </c>
      <c r="N29" s="332">
        <v>200000.0</v>
      </c>
      <c r="V29" s="17" t="s">
        <v>3699</v>
      </c>
      <c r="W29" s="133" t="s">
        <v>3700</v>
      </c>
      <c r="X29" s="134" t="str">
        <f>HYPERLINK("https://drive.google.com/file/d/1Ch23bWrDPk-osPd1XKBXikjU7_lkmANc/view?usp=drivesdk","Thermal Conductivity Thermal Conductivity_Florentina Maria_060")</f>
        <v>Thermal Conductivity Thermal Conductivity_Florentina Maria_060</v>
      </c>
      <c r="Y29" s="17" t="s">
        <v>3701</v>
      </c>
    </row>
    <row r="30">
      <c r="A30" s="328">
        <v>45727.0</v>
      </c>
      <c r="B30" s="328">
        <v>45734.0</v>
      </c>
      <c r="C30" s="17" t="s">
        <v>3660</v>
      </c>
      <c r="D30" s="329" t="s">
        <v>3702</v>
      </c>
      <c r="E30" s="329">
        <v>159.0</v>
      </c>
      <c r="F30" s="136" t="s">
        <v>3703</v>
      </c>
      <c r="G30" s="136" t="s">
        <v>3704</v>
      </c>
      <c r="H30" s="136" t="s">
        <v>2747</v>
      </c>
      <c r="I30" s="17" t="s">
        <v>541</v>
      </c>
      <c r="J30" s="17" t="s">
        <v>3563</v>
      </c>
      <c r="K30" s="178" t="s">
        <v>3621</v>
      </c>
      <c r="L30" s="17">
        <v>20.0</v>
      </c>
      <c r="M30" s="17">
        <v>1.0</v>
      </c>
      <c r="N30" s="327">
        <f>20*50000</f>
        <v>1000000</v>
      </c>
      <c r="V30" s="17" t="s">
        <v>3705</v>
      </c>
      <c r="W30" s="133" t="s">
        <v>3706</v>
      </c>
      <c r="X30" s="134" t="str">
        <f>HYPERLINK("https://drive.google.com/file/d/16Dn6zRjNnVrmDK01djIXLfAInOW7O3dj/view?usp=drivesdk","Impact Tester Izod_Adiwidya Davin Pradipa_159")</f>
        <v>Impact Tester Izod_Adiwidya Davin Pradipa_159</v>
      </c>
      <c r="Y30" s="17" t="s">
        <v>3707</v>
      </c>
    </row>
    <row r="31">
      <c r="A31" s="328">
        <v>45741.0</v>
      </c>
      <c r="B31" s="328">
        <v>45743.0</v>
      </c>
      <c r="C31" s="17" t="s">
        <v>3660</v>
      </c>
      <c r="D31" s="329" t="s">
        <v>3702</v>
      </c>
      <c r="E31" s="329">
        <v>188.0</v>
      </c>
      <c r="F31" s="17" t="s">
        <v>3708</v>
      </c>
      <c r="G31" s="136" t="s">
        <v>3709</v>
      </c>
      <c r="H31" s="136" t="s">
        <v>3631</v>
      </c>
      <c r="I31" s="17" t="s">
        <v>541</v>
      </c>
      <c r="J31" s="17" t="s">
        <v>3563</v>
      </c>
      <c r="K31" s="178" t="s">
        <v>3621</v>
      </c>
      <c r="L31" s="17">
        <v>10.0</v>
      </c>
      <c r="M31" s="184"/>
      <c r="N31" s="327">
        <f>L31*50000</f>
        <v>500000</v>
      </c>
      <c r="V31" s="17" t="s">
        <v>3710</v>
      </c>
      <c r="W31" s="133" t="s">
        <v>3711</v>
      </c>
      <c r="X31" s="134" t="str">
        <f>HYPERLINK("https://drive.google.com/file/d/1TaL3JzEWSG4hVpEeHdt53o0KyBVnAfh5/view?usp=drivesdk","Impact Tester Izod_Yossa Aulia_188")</f>
        <v>Impact Tester Izod_Yossa Aulia_188</v>
      </c>
      <c r="Y31" s="17" t="s">
        <v>3712</v>
      </c>
    </row>
    <row r="32">
      <c r="A32" s="325"/>
      <c r="B32" s="325"/>
      <c r="D32" s="333"/>
      <c r="E32" s="333"/>
      <c r="M32" s="184"/>
      <c r="N32" s="327"/>
    </row>
    <row r="33">
      <c r="A33" s="325"/>
      <c r="B33" s="325"/>
      <c r="D33" s="333"/>
      <c r="E33" s="333"/>
      <c r="M33" s="184"/>
      <c r="N33" s="327"/>
    </row>
    <row r="34">
      <c r="A34" s="325"/>
      <c r="B34" s="325"/>
      <c r="D34" s="333"/>
      <c r="E34" s="333"/>
      <c r="M34" s="184"/>
      <c r="N34" s="327"/>
    </row>
    <row r="35">
      <c r="A35" s="325"/>
      <c r="B35" s="325"/>
      <c r="D35" s="333"/>
      <c r="E35" s="333"/>
      <c r="M35" s="184"/>
      <c r="N35" s="327"/>
    </row>
    <row r="36">
      <c r="A36" s="325"/>
      <c r="B36" s="325"/>
      <c r="D36" s="333"/>
      <c r="E36" s="333"/>
      <c r="M36" s="184"/>
      <c r="N36" s="327"/>
    </row>
    <row r="37">
      <c r="A37" s="325"/>
      <c r="B37" s="325"/>
      <c r="D37" s="333"/>
      <c r="E37" s="333"/>
      <c r="M37" s="184"/>
      <c r="N37" s="327"/>
    </row>
    <row r="38">
      <c r="A38" s="325"/>
      <c r="B38" s="325"/>
      <c r="D38" s="333"/>
      <c r="E38" s="333"/>
      <c r="M38" s="184"/>
      <c r="N38" s="327"/>
    </row>
    <row r="39">
      <c r="A39" s="325"/>
      <c r="B39" s="325"/>
      <c r="D39" s="333"/>
      <c r="E39" s="333"/>
      <c r="M39" s="184"/>
      <c r="N39" s="327"/>
    </row>
    <row r="40">
      <c r="A40" s="325"/>
      <c r="B40" s="325"/>
      <c r="D40" s="333"/>
      <c r="E40" s="333"/>
      <c r="M40" s="184"/>
      <c r="N40" s="327"/>
    </row>
    <row r="41">
      <c r="A41" s="325"/>
      <c r="B41" s="325"/>
      <c r="D41" s="333"/>
      <c r="E41" s="333"/>
      <c r="M41" s="184"/>
      <c r="N41" s="327"/>
    </row>
    <row r="42">
      <c r="A42" s="325"/>
      <c r="B42" s="325"/>
      <c r="D42" s="333"/>
      <c r="E42" s="333"/>
      <c r="M42" s="184"/>
      <c r="N42" s="327"/>
    </row>
    <row r="43">
      <c r="A43" s="325"/>
      <c r="B43" s="325"/>
      <c r="D43" s="333"/>
      <c r="E43" s="333"/>
      <c r="M43" s="184"/>
      <c r="N43" s="327"/>
    </row>
    <row r="44">
      <c r="A44" s="325"/>
      <c r="B44" s="325"/>
      <c r="D44" s="333"/>
      <c r="E44" s="333"/>
      <c r="M44" s="184"/>
      <c r="N44" s="327"/>
    </row>
    <row r="45">
      <c r="A45" s="325"/>
      <c r="B45" s="325"/>
      <c r="D45" s="333"/>
      <c r="E45" s="333"/>
      <c r="M45" s="184"/>
      <c r="N45" s="327"/>
    </row>
    <row r="46">
      <c r="A46" s="325"/>
      <c r="B46" s="325"/>
      <c r="D46" s="333"/>
      <c r="E46" s="333"/>
      <c r="M46" s="184"/>
      <c r="N46" s="327"/>
    </row>
    <row r="47">
      <c r="A47" s="325"/>
      <c r="B47" s="325"/>
      <c r="D47" s="333"/>
      <c r="E47" s="333"/>
      <c r="M47" s="184"/>
      <c r="N47" s="327"/>
    </row>
    <row r="48">
      <c r="A48" s="325"/>
      <c r="B48" s="325"/>
      <c r="D48" s="333"/>
      <c r="E48" s="333"/>
      <c r="M48" s="184"/>
      <c r="N48" s="327"/>
    </row>
    <row r="49">
      <c r="A49" s="325"/>
      <c r="B49" s="325"/>
      <c r="D49" s="333"/>
      <c r="E49" s="333"/>
      <c r="M49" s="184"/>
      <c r="N49" s="327"/>
    </row>
    <row r="50">
      <c r="A50" s="325"/>
      <c r="B50" s="325"/>
      <c r="D50" s="333"/>
      <c r="E50" s="333"/>
      <c r="M50" s="184"/>
      <c r="N50" s="327"/>
    </row>
    <row r="51">
      <c r="A51" s="325"/>
      <c r="B51" s="325"/>
      <c r="D51" s="333"/>
      <c r="E51" s="333"/>
      <c r="M51" s="184"/>
      <c r="N51" s="327"/>
    </row>
    <row r="52">
      <c r="A52" s="325"/>
      <c r="B52" s="325"/>
      <c r="D52" s="333"/>
      <c r="E52" s="333"/>
      <c r="M52" s="184"/>
      <c r="N52" s="327"/>
    </row>
    <row r="53">
      <c r="A53" s="325"/>
      <c r="B53" s="325"/>
      <c r="D53" s="333"/>
      <c r="E53" s="333"/>
      <c r="M53" s="184"/>
      <c r="N53" s="327"/>
    </row>
    <row r="54">
      <c r="A54" s="325"/>
      <c r="B54" s="325"/>
      <c r="D54" s="333"/>
      <c r="E54" s="333"/>
      <c r="M54" s="184"/>
      <c r="N54" s="327"/>
    </row>
    <row r="55">
      <c r="A55" s="325"/>
      <c r="B55" s="325"/>
      <c r="D55" s="333"/>
      <c r="E55" s="333"/>
      <c r="M55" s="184"/>
      <c r="N55" s="327"/>
    </row>
    <row r="56">
      <c r="A56" s="325"/>
      <c r="B56" s="325"/>
      <c r="D56" s="333"/>
      <c r="E56" s="333"/>
      <c r="M56" s="184"/>
      <c r="N56" s="327"/>
    </row>
    <row r="57">
      <c r="A57" s="325"/>
      <c r="B57" s="325"/>
      <c r="D57" s="333"/>
      <c r="E57" s="333"/>
      <c r="M57" s="184"/>
      <c r="N57" s="327"/>
    </row>
    <row r="58">
      <c r="A58" s="325"/>
      <c r="B58" s="325"/>
      <c r="D58" s="333"/>
      <c r="E58" s="333"/>
      <c r="M58" s="184"/>
      <c r="N58" s="327"/>
    </row>
    <row r="59">
      <c r="A59" s="325"/>
      <c r="B59" s="325"/>
      <c r="D59" s="333"/>
      <c r="E59" s="333"/>
      <c r="M59" s="184"/>
      <c r="N59" s="327"/>
    </row>
    <row r="60">
      <c r="A60" s="325"/>
      <c r="B60" s="325"/>
      <c r="D60" s="333"/>
      <c r="E60" s="333"/>
      <c r="M60" s="184"/>
      <c r="N60" s="327"/>
    </row>
    <row r="61">
      <c r="A61" s="325"/>
      <c r="B61" s="325"/>
      <c r="D61" s="333"/>
      <c r="E61" s="333"/>
      <c r="M61" s="184"/>
      <c r="N61" s="327"/>
    </row>
    <row r="62">
      <c r="A62" s="325"/>
      <c r="B62" s="325"/>
      <c r="D62" s="333"/>
      <c r="E62" s="333"/>
      <c r="M62" s="184"/>
      <c r="N62" s="327"/>
    </row>
    <row r="63">
      <c r="A63" s="325"/>
      <c r="B63" s="325"/>
      <c r="D63" s="333"/>
      <c r="E63" s="333"/>
      <c r="M63" s="184"/>
      <c r="N63" s="327"/>
    </row>
    <row r="64">
      <c r="A64" s="325"/>
      <c r="B64" s="325"/>
      <c r="D64" s="333"/>
      <c r="E64" s="333"/>
      <c r="M64" s="184"/>
      <c r="N64" s="327"/>
    </row>
    <row r="65">
      <c r="A65" s="325"/>
      <c r="B65" s="325"/>
      <c r="D65" s="333"/>
      <c r="E65" s="333"/>
      <c r="M65" s="184"/>
      <c r="N65" s="327"/>
    </row>
    <row r="66">
      <c r="A66" s="325"/>
      <c r="B66" s="325"/>
      <c r="D66" s="333"/>
      <c r="E66" s="333"/>
      <c r="M66" s="184"/>
      <c r="N66" s="327"/>
    </row>
    <row r="67">
      <c r="A67" s="325"/>
      <c r="B67" s="325"/>
      <c r="D67" s="333"/>
      <c r="E67" s="333"/>
      <c r="M67" s="184"/>
      <c r="N67" s="327"/>
    </row>
    <row r="68">
      <c r="A68" s="325"/>
      <c r="B68" s="325"/>
      <c r="D68" s="333"/>
      <c r="E68" s="333"/>
      <c r="M68" s="184"/>
      <c r="N68" s="327"/>
    </row>
    <row r="69">
      <c r="A69" s="325"/>
      <c r="B69" s="325"/>
      <c r="D69" s="333"/>
      <c r="E69" s="333"/>
      <c r="M69" s="184"/>
      <c r="N69" s="327"/>
    </row>
    <row r="70">
      <c r="A70" s="325"/>
      <c r="B70" s="325"/>
      <c r="D70" s="333"/>
      <c r="E70" s="333"/>
      <c r="M70" s="184"/>
      <c r="N70" s="327"/>
    </row>
    <row r="71">
      <c r="A71" s="325"/>
      <c r="B71" s="325"/>
      <c r="D71" s="333"/>
      <c r="E71" s="333"/>
      <c r="M71" s="184"/>
      <c r="N71" s="327"/>
    </row>
    <row r="72">
      <c r="A72" s="325"/>
      <c r="B72" s="325"/>
      <c r="D72" s="333"/>
      <c r="E72" s="333"/>
      <c r="M72" s="184"/>
      <c r="N72" s="327"/>
    </row>
    <row r="73">
      <c r="A73" s="325"/>
      <c r="B73" s="325"/>
      <c r="D73" s="333"/>
      <c r="E73" s="333"/>
      <c r="M73" s="184"/>
      <c r="N73" s="327"/>
    </row>
    <row r="74">
      <c r="A74" s="325"/>
      <c r="B74" s="325"/>
      <c r="D74" s="333"/>
      <c r="E74" s="333"/>
      <c r="M74" s="184"/>
      <c r="N74" s="327"/>
    </row>
    <row r="75">
      <c r="A75" s="325"/>
      <c r="B75" s="325"/>
      <c r="D75" s="333"/>
      <c r="E75" s="333"/>
      <c r="M75" s="184"/>
      <c r="N75" s="327"/>
    </row>
    <row r="76">
      <c r="A76" s="325"/>
      <c r="B76" s="325"/>
      <c r="D76" s="333"/>
      <c r="E76" s="333"/>
      <c r="M76" s="184"/>
      <c r="N76" s="327"/>
    </row>
    <row r="77">
      <c r="A77" s="325"/>
      <c r="B77" s="325"/>
      <c r="D77" s="333"/>
      <c r="E77" s="333"/>
      <c r="M77" s="184"/>
      <c r="N77" s="327"/>
    </row>
    <row r="78">
      <c r="A78" s="325"/>
      <c r="B78" s="325"/>
      <c r="D78" s="333"/>
      <c r="E78" s="333"/>
      <c r="M78" s="184"/>
      <c r="N78" s="327"/>
    </row>
    <row r="79">
      <c r="A79" s="325"/>
      <c r="B79" s="325"/>
      <c r="D79" s="333"/>
      <c r="E79" s="333"/>
      <c r="M79" s="184"/>
      <c r="N79" s="327"/>
    </row>
    <row r="80">
      <c r="A80" s="325"/>
      <c r="B80" s="325"/>
      <c r="D80" s="333"/>
      <c r="E80" s="333"/>
      <c r="M80" s="184"/>
      <c r="N80" s="327"/>
    </row>
    <row r="81">
      <c r="A81" s="325"/>
      <c r="B81" s="325"/>
      <c r="D81" s="333"/>
      <c r="E81" s="333"/>
      <c r="M81" s="184"/>
      <c r="N81" s="327"/>
    </row>
    <row r="82">
      <c r="A82" s="325"/>
      <c r="B82" s="325"/>
      <c r="D82" s="333"/>
      <c r="E82" s="333"/>
      <c r="M82" s="184"/>
      <c r="N82" s="327"/>
    </row>
    <row r="83">
      <c r="A83" s="325"/>
      <c r="B83" s="325"/>
      <c r="D83" s="333"/>
      <c r="E83" s="333"/>
      <c r="M83" s="184"/>
      <c r="N83" s="327"/>
    </row>
    <row r="84">
      <c r="A84" s="325"/>
      <c r="B84" s="325"/>
      <c r="D84" s="333"/>
      <c r="E84" s="333"/>
      <c r="M84" s="184"/>
      <c r="N84" s="327"/>
    </row>
    <row r="85">
      <c r="A85" s="325"/>
      <c r="B85" s="325"/>
      <c r="D85" s="333"/>
      <c r="E85" s="333"/>
      <c r="M85" s="184"/>
      <c r="N85" s="327"/>
    </row>
    <row r="86">
      <c r="A86" s="325"/>
      <c r="B86" s="325"/>
      <c r="D86" s="333"/>
      <c r="E86" s="333"/>
      <c r="M86" s="184"/>
      <c r="N86" s="327"/>
    </row>
    <row r="87">
      <c r="A87" s="325"/>
      <c r="B87" s="325"/>
      <c r="D87" s="333"/>
      <c r="E87" s="333"/>
      <c r="M87" s="184"/>
      <c r="N87" s="327"/>
    </row>
    <row r="88">
      <c r="A88" s="325"/>
      <c r="B88" s="325"/>
      <c r="D88" s="333"/>
      <c r="E88" s="333"/>
      <c r="M88" s="184"/>
      <c r="N88" s="327"/>
    </row>
    <row r="89">
      <c r="A89" s="325"/>
      <c r="B89" s="325"/>
      <c r="D89" s="333"/>
      <c r="E89" s="333"/>
      <c r="M89" s="184"/>
      <c r="N89" s="327"/>
    </row>
    <row r="90">
      <c r="A90" s="325"/>
      <c r="B90" s="325"/>
      <c r="D90" s="333"/>
      <c r="E90" s="333"/>
      <c r="M90" s="184"/>
      <c r="N90" s="327"/>
    </row>
    <row r="91">
      <c r="A91" s="325"/>
      <c r="B91" s="325"/>
      <c r="D91" s="333"/>
      <c r="E91" s="333"/>
      <c r="M91" s="184"/>
      <c r="N91" s="327"/>
    </row>
    <row r="92">
      <c r="A92" s="325"/>
      <c r="B92" s="325"/>
      <c r="D92" s="333"/>
      <c r="E92" s="333"/>
      <c r="M92" s="184"/>
      <c r="N92" s="327"/>
    </row>
    <row r="93">
      <c r="A93" s="325"/>
      <c r="B93" s="325"/>
      <c r="D93" s="333"/>
      <c r="E93" s="333"/>
      <c r="M93" s="184"/>
      <c r="N93" s="327"/>
    </row>
    <row r="94">
      <c r="A94" s="325"/>
      <c r="B94" s="325"/>
      <c r="D94" s="333"/>
      <c r="E94" s="333"/>
      <c r="M94" s="184"/>
      <c r="N94" s="327"/>
    </row>
    <row r="95">
      <c r="A95" s="325"/>
      <c r="B95" s="325"/>
      <c r="D95" s="333"/>
      <c r="E95" s="333"/>
      <c r="M95" s="184"/>
      <c r="N95" s="327"/>
    </row>
    <row r="96">
      <c r="A96" s="325"/>
      <c r="B96" s="325"/>
      <c r="D96" s="333"/>
      <c r="E96" s="333"/>
      <c r="M96" s="184"/>
      <c r="N96" s="327"/>
    </row>
    <row r="97">
      <c r="A97" s="325"/>
      <c r="B97" s="325"/>
      <c r="D97" s="333"/>
      <c r="E97" s="333"/>
      <c r="M97" s="184"/>
      <c r="N97" s="327"/>
    </row>
    <row r="98">
      <c r="A98" s="325"/>
      <c r="B98" s="325"/>
      <c r="D98" s="333"/>
      <c r="E98" s="333"/>
      <c r="M98" s="184"/>
      <c r="N98" s="327"/>
    </row>
    <row r="99">
      <c r="A99" s="325"/>
      <c r="B99" s="325"/>
      <c r="D99" s="333"/>
      <c r="E99" s="333"/>
      <c r="M99" s="184"/>
      <c r="N99" s="327"/>
    </row>
    <row r="100">
      <c r="A100" s="325"/>
      <c r="B100" s="325"/>
      <c r="D100" s="333"/>
      <c r="E100" s="333"/>
      <c r="M100" s="184"/>
      <c r="N100" s="327"/>
    </row>
    <row r="101">
      <c r="A101" s="325"/>
      <c r="B101" s="325"/>
      <c r="D101" s="333"/>
      <c r="E101" s="333"/>
      <c r="M101" s="184"/>
      <c r="N101" s="327"/>
    </row>
    <row r="102">
      <c r="A102" s="325"/>
      <c r="B102" s="325"/>
      <c r="D102" s="333"/>
      <c r="E102" s="333"/>
      <c r="M102" s="184"/>
      <c r="N102" s="327"/>
    </row>
    <row r="103">
      <c r="A103" s="325"/>
      <c r="B103" s="325"/>
      <c r="D103" s="333"/>
      <c r="E103" s="333"/>
      <c r="M103" s="184"/>
      <c r="N103" s="327"/>
    </row>
    <row r="104">
      <c r="A104" s="325"/>
      <c r="B104" s="325"/>
      <c r="D104" s="333"/>
      <c r="E104" s="333"/>
      <c r="M104" s="184"/>
      <c r="N104" s="327"/>
    </row>
    <row r="105">
      <c r="A105" s="325"/>
      <c r="B105" s="325"/>
      <c r="D105" s="333"/>
      <c r="E105" s="333"/>
      <c r="M105" s="184"/>
      <c r="N105" s="327"/>
    </row>
    <row r="106">
      <c r="A106" s="325"/>
      <c r="B106" s="325"/>
      <c r="D106" s="333"/>
      <c r="E106" s="333"/>
      <c r="M106" s="184"/>
      <c r="N106" s="327"/>
    </row>
    <row r="107">
      <c r="A107" s="325"/>
      <c r="B107" s="325"/>
      <c r="D107" s="333"/>
      <c r="E107" s="333"/>
      <c r="M107" s="184"/>
      <c r="N107" s="327"/>
    </row>
    <row r="108">
      <c r="A108" s="325"/>
      <c r="B108" s="325"/>
      <c r="D108" s="333"/>
      <c r="E108" s="333"/>
      <c r="M108" s="184"/>
      <c r="N108" s="327"/>
    </row>
    <row r="109">
      <c r="A109" s="325"/>
      <c r="B109" s="325"/>
      <c r="D109" s="333"/>
      <c r="E109" s="333"/>
      <c r="M109" s="184"/>
      <c r="N109" s="327"/>
    </row>
    <row r="110">
      <c r="A110" s="325"/>
      <c r="B110" s="325"/>
      <c r="D110" s="333"/>
      <c r="E110" s="333"/>
      <c r="M110" s="184"/>
      <c r="N110" s="327"/>
    </row>
    <row r="111">
      <c r="A111" s="325"/>
      <c r="B111" s="325"/>
      <c r="D111" s="333"/>
      <c r="E111" s="333"/>
      <c r="M111" s="184"/>
      <c r="N111" s="327"/>
    </row>
    <row r="112">
      <c r="A112" s="325"/>
      <c r="B112" s="325"/>
      <c r="D112" s="333"/>
      <c r="E112" s="333"/>
      <c r="M112" s="184"/>
      <c r="N112" s="327"/>
    </row>
    <row r="113">
      <c r="A113" s="325"/>
      <c r="B113" s="325"/>
      <c r="D113" s="333"/>
      <c r="E113" s="333"/>
      <c r="M113" s="184"/>
      <c r="N113" s="327"/>
    </row>
    <row r="114">
      <c r="A114" s="325"/>
      <c r="B114" s="325"/>
      <c r="D114" s="333"/>
      <c r="E114" s="333"/>
      <c r="M114" s="184"/>
      <c r="N114" s="327"/>
    </row>
    <row r="115">
      <c r="A115" s="325"/>
      <c r="B115" s="325"/>
      <c r="D115" s="333"/>
      <c r="E115" s="333"/>
      <c r="M115" s="184"/>
      <c r="N115" s="327"/>
    </row>
    <row r="116">
      <c r="A116" s="325"/>
      <c r="B116" s="325"/>
      <c r="D116" s="333"/>
      <c r="E116" s="333"/>
      <c r="M116" s="184"/>
      <c r="N116" s="327"/>
    </row>
    <row r="117">
      <c r="A117" s="325"/>
      <c r="B117" s="325"/>
      <c r="D117" s="333"/>
      <c r="E117" s="333"/>
      <c r="M117" s="184"/>
      <c r="N117" s="327"/>
    </row>
    <row r="118">
      <c r="A118" s="325"/>
      <c r="B118" s="325"/>
      <c r="D118" s="333"/>
      <c r="E118" s="333"/>
      <c r="M118" s="184"/>
      <c r="N118" s="327"/>
    </row>
    <row r="119">
      <c r="A119" s="325"/>
      <c r="B119" s="325"/>
      <c r="D119" s="333"/>
      <c r="E119" s="333"/>
      <c r="M119" s="184"/>
      <c r="N119" s="327"/>
    </row>
    <row r="120">
      <c r="A120" s="325"/>
      <c r="B120" s="325"/>
      <c r="D120" s="333"/>
      <c r="E120" s="333"/>
      <c r="M120" s="184"/>
      <c r="N120" s="327"/>
    </row>
    <row r="121">
      <c r="A121" s="325"/>
      <c r="B121" s="325"/>
      <c r="D121" s="333"/>
      <c r="E121" s="333"/>
      <c r="M121" s="184"/>
      <c r="N121" s="327"/>
    </row>
    <row r="122">
      <c r="A122" s="325"/>
      <c r="B122" s="325"/>
      <c r="D122" s="333"/>
      <c r="E122" s="333"/>
      <c r="M122" s="184"/>
      <c r="N122" s="327"/>
    </row>
    <row r="123">
      <c r="A123" s="325"/>
      <c r="B123" s="325"/>
      <c r="D123" s="333"/>
      <c r="E123" s="333"/>
      <c r="M123" s="184"/>
      <c r="N123" s="327"/>
    </row>
    <row r="124">
      <c r="A124" s="325"/>
      <c r="B124" s="325"/>
      <c r="D124" s="333"/>
      <c r="E124" s="333"/>
      <c r="M124" s="184"/>
      <c r="N124" s="327"/>
    </row>
    <row r="125">
      <c r="A125" s="325"/>
      <c r="B125" s="325"/>
      <c r="D125" s="333"/>
      <c r="E125" s="333"/>
      <c r="M125" s="184"/>
      <c r="N125" s="327"/>
    </row>
    <row r="126">
      <c r="A126" s="325"/>
      <c r="B126" s="325"/>
      <c r="D126" s="333"/>
      <c r="E126" s="333"/>
      <c r="M126" s="184"/>
      <c r="N126" s="327"/>
    </row>
    <row r="127">
      <c r="A127" s="325"/>
      <c r="B127" s="325"/>
      <c r="D127" s="333"/>
      <c r="E127" s="333"/>
      <c r="M127" s="184"/>
      <c r="N127" s="327"/>
    </row>
    <row r="128">
      <c r="A128" s="325"/>
      <c r="B128" s="325"/>
      <c r="D128" s="333"/>
      <c r="E128" s="333"/>
      <c r="M128" s="184"/>
      <c r="N128" s="327"/>
    </row>
    <row r="129">
      <c r="A129" s="325"/>
      <c r="B129" s="325"/>
      <c r="D129" s="333"/>
      <c r="E129" s="333"/>
      <c r="M129" s="184"/>
      <c r="N129" s="327"/>
    </row>
    <row r="130">
      <c r="A130" s="325"/>
      <c r="B130" s="325"/>
      <c r="D130" s="333"/>
      <c r="E130" s="333"/>
      <c r="M130" s="184"/>
      <c r="N130" s="327"/>
    </row>
    <row r="131">
      <c r="A131" s="325"/>
      <c r="B131" s="325"/>
      <c r="D131" s="333"/>
      <c r="E131" s="333"/>
      <c r="M131" s="184"/>
      <c r="N131" s="327"/>
    </row>
    <row r="132">
      <c r="A132" s="325"/>
      <c r="B132" s="325"/>
      <c r="D132" s="333"/>
      <c r="E132" s="333"/>
      <c r="M132" s="184"/>
      <c r="N132" s="327"/>
    </row>
    <row r="133">
      <c r="A133" s="325"/>
      <c r="B133" s="325"/>
      <c r="D133" s="333"/>
      <c r="E133" s="333"/>
      <c r="M133" s="184"/>
      <c r="N133" s="327"/>
    </row>
    <row r="134">
      <c r="A134" s="325"/>
      <c r="B134" s="325"/>
      <c r="D134" s="333"/>
      <c r="E134" s="333"/>
      <c r="M134" s="184"/>
      <c r="N134" s="327"/>
    </row>
    <row r="135">
      <c r="A135" s="325"/>
      <c r="B135" s="325"/>
      <c r="D135" s="333"/>
      <c r="E135" s="333"/>
      <c r="M135" s="184"/>
      <c r="N135" s="327"/>
    </row>
    <row r="136">
      <c r="A136" s="325"/>
      <c r="B136" s="325"/>
      <c r="D136" s="333"/>
      <c r="E136" s="333"/>
      <c r="M136" s="184"/>
      <c r="N136" s="327"/>
    </row>
    <row r="137">
      <c r="A137" s="325"/>
      <c r="B137" s="325"/>
      <c r="D137" s="333"/>
      <c r="E137" s="333"/>
      <c r="M137" s="184"/>
      <c r="N137" s="327"/>
    </row>
    <row r="138">
      <c r="A138" s="325"/>
      <c r="B138" s="325"/>
      <c r="D138" s="333"/>
      <c r="E138" s="333"/>
      <c r="M138" s="184"/>
      <c r="N138" s="327"/>
    </row>
    <row r="139">
      <c r="A139" s="325"/>
      <c r="B139" s="325"/>
      <c r="D139" s="333"/>
      <c r="E139" s="333"/>
      <c r="M139" s="184"/>
      <c r="N139" s="327"/>
    </row>
    <row r="140">
      <c r="A140" s="325"/>
      <c r="B140" s="325"/>
      <c r="D140" s="333"/>
      <c r="E140" s="333"/>
      <c r="M140" s="184"/>
      <c r="N140" s="327"/>
    </row>
    <row r="141">
      <c r="A141" s="325"/>
      <c r="B141" s="325"/>
      <c r="D141" s="333"/>
      <c r="E141" s="333"/>
      <c r="M141" s="184"/>
      <c r="N141" s="327"/>
    </row>
    <row r="142">
      <c r="A142" s="325"/>
      <c r="B142" s="325"/>
      <c r="D142" s="333"/>
      <c r="E142" s="333"/>
      <c r="M142" s="184"/>
      <c r="N142" s="327"/>
    </row>
    <row r="143">
      <c r="A143" s="325"/>
      <c r="B143" s="325"/>
      <c r="D143" s="333"/>
      <c r="E143" s="333"/>
      <c r="M143" s="184"/>
      <c r="N143" s="327"/>
    </row>
    <row r="144">
      <c r="A144" s="325"/>
      <c r="B144" s="325"/>
      <c r="D144" s="333"/>
      <c r="E144" s="333"/>
      <c r="M144" s="184"/>
      <c r="N144" s="327"/>
    </row>
    <row r="145">
      <c r="A145" s="325"/>
      <c r="B145" s="325"/>
      <c r="D145" s="333"/>
      <c r="E145" s="333"/>
      <c r="M145" s="184"/>
      <c r="N145" s="327"/>
    </row>
    <row r="146">
      <c r="A146" s="325"/>
      <c r="B146" s="325"/>
      <c r="D146" s="333"/>
      <c r="E146" s="333"/>
      <c r="M146" s="184"/>
      <c r="N146" s="327"/>
    </row>
    <row r="147">
      <c r="A147" s="325"/>
      <c r="B147" s="325"/>
      <c r="D147" s="333"/>
      <c r="E147" s="333"/>
      <c r="M147" s="184"/>
      <c r="N147" s="327"/>
    </row>
    <row r="148">
      <c r="A148" s="325"/>
      <c r="B148" s="325"/>
      <c r="D148" s="333"/>
      <c r="E148" s="333"/>
      <c r="M148" s="184"/>
      <c r="N148" s="327"/>
    </row>
    <row r="149">
      <c r="A149" s="325"/>
      <c r="B149" s="325"/>
      <c r="D149" s="333"/>
      <c r="E149" s="333"/>
      <c r="M149" s="184"/>
      <c r="N149" s="327"/>
    </row>
    <row r="150">
      <c r="A150" s="325"/>
      <c r="B150" s="325"/>
      <c r="D150" s="333"/>
      <c r="E150" s="333"/>
      <c r="M150" s="184"/>
      <c r="N150" s="327"/>
    </row>
    <row r="151">
      <c r="A151" s="325"/>
      <c r="B151" s="325"/>
      <c r="D151" s="333"/>
      <c r="E151" s="333"/>
      <c r="M151" s="184"/>
      <c r="N151" s="327"/>
    </row>
    <row r="152">
      <c r="A152" s="325"/>
      <c r="B152" s="325"/>
      <c r="D152" s="333"/>
      <c r="E152" s="333"/>
      <c r="M152" s="184"/>
      <c r="N152" s="327"/>
    </row>
    <row r="153">
      <c r="A153" s="325"/>
      <c r="B153" s="325"/>
      <c r="D153" s="333"/>
      <c r="E153" s="333"/>
      <c r="M153" s="184"/>
      <c r="N153" s="327"/>
    </row>
    <row r="154">
      <c r="A154" s="325"/>
      <c r="B154" s="325"/>
      <c r="D154" s="333"/>
      <c r="E154" s="333"/>
      <c r="M154" s="184"/>
      <c r="N154" s="327"/>
    </row>
    <row r="155">
      <c r="A155" s="325"/>
      <c r="B155" s="325"/>
      <c r="D155" s="333"/>
      <c r="E155" s="333"/>
      <c r="M155" s="184"/>
      <c r="N155" s="327"/>
    </row>
    <row r="156">
      <c r="A156" s="325"/>
      <c r="B156" s="325"/>
      <c r="D156" s="333"/>
      <c r="E156" s="333"/>
      <c r="M156" s="184"/>
      <c r="N156" s="327"/>
    </row>
    <row r="157">
      <c r="A157" s="325"/>
      <c r="B157" s="325"/>
      <c r="D157" s="333"/>
      <c r="E157" s="333"/>
      <c r="M157" s="184"/>
      <c r="N157" s="327"/>
    </row>
    <row r="158">
      <c r="A158" s="325"/>
      <c r="B158" s="325"/>
      <c r="D158" s="333"/>
      <c r="E158" s="333"/>
      <c r="M158" s="184"/>
      <c r="N158" s="327"/>
    </row>
    <row r="159">
      <c r="A159" s="325"/>
      <c r="B159" s="325"/>
      <c r="D159" s="333"/>
      <c r="E159" s="333"/>
      <c r="M159" s="184"/>
      <c r="N159" s="327"/>
    </row>
    <row r="160">
      <c r="A160" s="325"/>
      <c r="B160" s="325"/>
      <c r="D160" s="333"/>
      <c r="E160" s="333"/>
      <c r="M160" s="184"/>
      <c r="N160" s="327"/>
    </row>
    <row r="161">
      <c r="A161" s="325"/>
      <c r="B161" s="325"/>
      <c r="D161" s="333"/>
      <c r="E161" s="333"/>
      <c r="M161" s="184"/>
      <c r="N161" s="327"/>
    </row>
    <row r="162">
      <c r="A162" s="325"/>
      <c r="B162" s="325"/>
      <c r="D162" s="333"/>
      <c r="E162" s="333"/>
      <c r="M162" s="184"/>
      <c r="N162" s="327"/>
    </row>
    <row r="163">
      <c r="A163" s="325"/>
      <c r="B163" s="325"/>
      <c r="D163" s="333"/>
      <c r="E163" s="333"/>
      <c r="M163" s="184"/>
      <c r="N163" s="327"/>
    </row>
    <row r="164">
      <c r="A164" s="325"/>
      <c r="B164" s="325"/>
      <c r="D164" s="333"/>
      <c r="E164" s="333"/>
      <c r="M164" s="184"/>
      <c r="N164" s="327"/>
    </row>
    <row r="165">
      <c r="A165" s="325"/>
      <c r="B165" s="325"/>
      <c r="D165" s="333"/>
      <c r="E165" s="333"/>
      <c r="M165" s="184"/>
      <c r="N165" s="327"/>
    </row>
    <row r="166">
      <c r="A166" s="325"/>
      <c r="B166" s="325"/>
      <c r="D166" s="333"/>
      <c r="E166" s="333"/>
      <c r="M166" s="184"/>
      <c r="N166" s="327"/>
    </row>
    <row r="167">
      <c r="A167" s="325"/>
      <c r="B167" s="325"/>
      <c r="D167" s="333"/>
      <c r="E167" s="333"/>
      <c r="M167" s="184"/>
      <c r="N167" s="327"/>
    </row>
    <row r="168">
      <c r="A168" s="325"/>
      <c r="B168" s="325"/>
      <c r="D168" s="333"/>
      <c r="E168" s="333"/>
      <c r="M168" s="184"/>
      <c r="N168" s="327"/>
    </row>
    <row r="169">
      <c r="A169" s="325"/>
      <c r="B169" s="325"/>
      <c r="D169" s="333"/>
      <c r="E169" s="333"/>
      <c r="M169" s="184"/>
      <c r="N169" s="327"/>
    </row>
    <row r="170">
      <c r="A170" s="325"/>
      <c r="B170" s="325"/>
      <c r="D170" s="333"/>
      <c r="E170" s="333"/>
      <c r="M170" s="184"/>
      <c r="N170" s="327"/>
    </row>
    <row r="171">
      <c r="A171" s="325"/>
      <c r="B171" s="325"/>
      <c r="D171" s="333"/>
      <c r="E171" s="333"/>
      <c r="M171" s="184"/>
      <c r="N171" s="327"/>
    </row>
    <row r="172">
      <c r="A172" s="325"/>
      <c r="B172" s="325"/>
      <c r="D172" s="333"/>
      <c r="E172" s="333"/>
      <c r="M172" s="184"/>
      <c r="N172" s="327"/>
    </row>
    <row r="173">
      <c r="A173" s="325"/>
      <c r="B173" s="325"/>
      <c r="D173" s="333"/>
      <c r="E173" s="333"/>
      <c r="M173" s="184"/>
      <c r="N173" s="327"/>
    </row>
    <row r="174">
      <c r="A174" s="325"/>
      <c r="B174" s="325"/>
      <c r="D174" s="333"/>
      <c r="E174" s="333"/>
      <c r="M174" s="184"/>
      <c r="N174" s="327"/>
    </row>
    <row r="175">
      <c r="A175" s="325"/>
      <c r="B175" s="325"/>
      <c r="D175" s="333"/>
      <c r="E175" s="333"/>
      <c r="M175" s="184"/>
      <c r="N175" s="327"/>
    </row>
    <row r="176">
      <c r="A176" s="325"/>
      <c r="B176" s="325"/>
      <c r="D176" s="333"/>
      <c r="E176" s="333"/>
      <c r="M176" s="184"/>
      <c r="N176" s="327"/>
    </row>
    <row r="177">
      <c r="A177" s="325"/>
      <c r="B177" s="325"/>
      <c r="D177" s="333"/>
      <c r="E177" s="333"/>
      <c r="M177" s="184"/>
      <c r="N177" s="327"/>
    </row>
    <row r="178">
      <c r="A178" s="325"/>
      <c r="B178" s="325"/>
      <c r="D178" s="333"/>
      <c r="E178" s="333"/>
      <c r="M178" s="184"/>
      <c r="N178" s="327"/>
    </row>
    <row r="179">
      <c r="A179" s="325"/>
      <c r="B179" s="325"/>
      <c r="D179" s="333"/>
      <c r="E179" s="333"/>
      <c r="M179" s="184"/>
      <c r="N179" s="327"/>
    </row>
    <row r="180">
      <c r="A180" s="325"/>
      <c r="B180" s="325"/>
      <c r="D180" s="333"/>
      <c r="E180" s="333"/>
      <c r="M180" s="184"/>
      <c r="N180" s="327"/>
    </row>
    <row r="181">
      <c r="A181" s="325"/>
      <c r="B181" s="325"/>
      <c r="D181" s="333"/>
      <c r="E181" s="333"/>
      <c r="M181" s="184"/>
      <c r="N181" s="327"/>
    </row>
    <row r="182">
      <c r="A182" s="325"/>
      <c r="B182" s="325"/>
      <c r="D182" s="333"/>
      <c r="E182" s="333"/>
      <c r="M182" s="184"/>
      <c r="N182" s="327"/>
    </row>
    <row r="183">
      <c r="A183" s="325"/>
      <c r="B183" s="325"/>
      <c r="D183" s="333"/>
      <c r="E183" s="333"/>
      <c r="M183" s="184"/>
      <c r="N183" s="327"/>
    </row>
    <row r="184">
      <c r="A184" s="325"/>
      <c r="B184" s="325"/>
      <c r="D184" s="333"/>
      <c r="E184" s="333"/>
      <c r="M184" s="184"/>
      <c r="N184" s="327"/>
    </row>
    <row r="185">
      <c r="A185" s="325"/>
      <c r="B185" s="325"/>
      <c r="D185" s="333"/>
      <c r="E185" s="333"/>
      <c r="M185" s="184"/>
      <c r="N185" s="327"/>
    </row>
    <row r="186">
      <c r="A186" s="325"/>
      <c r="B186" s="325"/>
      <c r="D186" s="333"/>
      <c r="E186" s="333"/>
      <c r="M186" s="184"/>
      <c r="N186" s="327"/>
    </row>
    <row r="187">
      <c r="A187" s="325"/>
      <c r="B187" s="325"/>
      <c r="D187" s="333"/>
      <c r="E187" s="333"/>
      <c r="M187" s="184"/>
      <c r="N187" s="327"/>
    </row>
    <row r="188">
      <c r="A188" s="325"/>
      <c r="B188" s="325"/>
      <c r="D188" s="333"/>
      <c r="E188" s="333"/>
      <c r="M188" s="184"/>
      <c r="N188" s="327"/>
    </row>
    <row r="189">
      <c r="A189" s="325"/>
      <c r="B189" s="325"/>
      <c r="D189" s="333"/>
      <c r="E189" s="333"/>
      <c r="M189" s="184"/>
      <c r="N189" s="327"/>
    </row>
    <row r="190">
      <c r="A190" s="325"/>
      <c r="B190" s="325"/>
      <c r="D190" s="333"/>
      <c r="E190" s="333"/>
      <c r="M190" s="184"/>
      <c r="N190" s="327"/>
    </row>
    <row r="191">
      <c r="A191" s="325"/>
      <c r="B191" s="325"/>
      <c r="D191" s="333"/>
      <c r="E191" s="333"/>
      <c r="M191" s="184"/>
      <c r="N191" s="327"/>
    </row>
    <row r="192">
      <c r="A192" s="325"/>
      <c r="B192" s="325"/>
      <c r="D192" s="333"/>
      <c r="E192" s="333"/>
      <c r="M192" s="184"/>
      <c r="N192" s="327"/>
    </row>
    <row r="193">
      <c r="A193" s="325"/>
      <c r="B193" s="325"/>
      <c r="D193" s="333"/>
      <c r="E193" s="333"/>
      <c r="M193" s="184"/>
      <c r="N193" s="327"/>
    </row>
    <row r="194">
      <c r="A194" s="325"/>
      <c r="B194" s="325"/>
      <c r="D194" s="333"/>
      <c r="E194" s="333"/>
      <c r="M194" s="184"/>
      <c r="N194" s="327"/>
    </row>
    <row r="195">
      <c r="A195" s="325"/>
      <c r="B195" s="325"/>
      <c r="D195" s="333"/>
      <c r="E195" s="333"/>
      <c r="M195" s="184"/>
      <c r="N195" s="327"/>
    </row>
    <row r="196">
      <c r="A196" s="325"/>
      <c r="B196" s="325"/>
      <c r="D196" s="333"/>
      <c r="E196" s="333"/>
      <c r="M196" s="184"/>
      <c r="N196" s="327"/>
    </row>
    <row r="197">
      <c r="A197" s="325"/>
      <c r="B197" s="325"/>
      <c r="D197" s="333"/>
      <c r="E197" s="333"/>
      <c r="M197" s="184"/>
      <c r="N197" s="327"/>
    </row>
    <row r="198">
      <c r="A198" s="325"/>
      <c r="B198" s="325"/>
      <c r="D198" s="333"/>
      <c r="E198" s="333"/>
      <c r="M198" s="184"/>
      <c r="N198" s="327"/>
    </row>
    <row r="199">
      <c r="A199" s="325"/>
      <c r="B199" s="325"/>
      <c r="D199" s="333"/>
      <c r="E199" s="333"/>
      <c r="M199" s="184"/>
      <c r="N199" s="327"/>
    </row>
    <row r="200">
      <c r="A200" s="325"/>
      <c r="B200" s="325"/>
      <c r="D200" s="333"/>
      <c r="E200" s="333"/>
      <c r="M200" s="184"/>
      <c r="N200" s="327"/>
    </row>
    <row r="201">
      <c r="A201" s="325"/>
      <c r="B201" s="325"/>
      <c r="D201" s="333"/>
      <c r="E201" s="333"/>
      <c r="M201" s="184"/>
      <c r="N201" s="327"/>
    </row>
    <row r="202">
      <c r="A202" s="325"/>
      <c r="B202" s="325"/>
      <c r="D202" s="333"/>
      <c r="E202" s="333"/>
      <c r="M202" s="184"/>
      <c r="N202" s="327"/>
    </row>
    <row r="203">
      <c r="A203" s="325"/>
      <c r="B203" s="325"/>
      <c r="D203" s="333"/>
      <c r="E203" s="333"/>
      <c r="M203" s="184"/>
      <c r="N203" s="327"/>
    </row>
    <row r="204">
      <c r="A204" s="325"/>
      <c r="B204" s="325"/>
      <c r="D204" s="333"/>
      <c r="E204" s="333"/>
      <c r="M204" s="184"/>
      <c r="N204" s="327"/>
    </row>
    <row r="205">
      <c r="A205" s="325"/>
      <c r="B205" s="325"/>
      <c r="D205" s="333"/>
      <c r="E205" s="333"/>
      <c r="M205" s="184"/>
      <c r="N205" s="327"/>
    </row>
    <row r="206">
      <c r="A206" s="325"/>
      <c r="B206" s="325"/>
      <c r="D206" s="333"/>
      <c r="E206" s="333"/>
      <c r="M206" s="184"/>
      <c r="N206" s="327"/>
    </row>
    <row r="207">
      <c r="A207" s="325"/>
      <c r="B207" s="325"/>
      <c r="D207" s="333"/>
      <c r="E207" s="333"/>
      <c r="M207" s="184"/>
      <c r="N207" s="327"/>
    </row>
    <row r="208">
      <c r="A208" s="325"/>
      <c r="B208" s="325"/>
      <c r="D208" s="333"/>
      <c r="E208" s="333"/>
      <c r="M208" s="184"/>
      <c r="N208" s="327"/>
    </row>
    <row r="209">
      <c r="A209" s="325"/>
      <c r="B209" s="325"/>
      <c r="D209" s="333"/>
      <c r="E209" s="333"/>
      <c r="M209" s="184"/>
      <c r="N209" s="327"/>
    </row>
    <row r="210">
      <c r="A210" s="325"/>
      <c r="B210" s="325"/>
      <c r="D210" s="333"/>
      <c r="E210" s="333"/>
      <c r="M210" s="184"/>
      <c r="N210" s="327"/>
    </row>
    <row r="211">
      <c r="A211" s="325"/>
      <c r="B211" s="325"/>
      <c r="D211" s="333"/>
      <c r="E211" s="333"/>
      <c r="M211" s="184"/>
      <c r="N211" s="327"/>
    </row>
    <row r="212">
      <c r="A212" s="325"/>
      <c r="B212" s="325"/>
      <c r="D212" s="333"/>
      <c r="E212" s="333"/>
      <c r="M212" s="184"/>
      <c r="N212" s="327"/>
    </row>
    <row r="213">
      <c r="A213" s="325"/>
      <c r="B213" s="325"/>
      <c r="D213" s="333"/>
      <c r="E213" s="333"/>
      <c r="M213" s="184"/>
      <c r="N213" s="327"/>
    </row>
    <row r="214">
      <c r="A214" s="325"/>
      <c r="B214" s="325"/>
      <c r="D214" s="333"/>
      <c r="E214" s="333"/>
      <c r="M214" s="184"/>
      <c r="N214" s="327"/>
    </row>
    <row r="215">
      <c r="A215" s="325"/>
      <c r="B215" s="325"/>
      <c r="D215" s="333"/>
      <c r="E215" s="333"/>
      <c r="M215" s="184"/>
      <c r="N215" s="327"/>
    </row>
    <row r="216">
      <c r="A216" s="325"/>
      <c r="B216" s="325"/>
      <c r="D216" s="333"/>
      <c r="E216" s="333"/>
      <c r="M216" s="184"/>
      <c r="N216" s="327"/>
    </row>
    <row r="217">
      <c r="A217" s="325"/>
      <c r="B217" s="325"/>
      <c r="D217" s="333"/>
      <c r="E217" s="333"/>
      <c r="M217" s="184"/>
      <c r="N217" s="327"/>
    </row>
    <row r="218">
      <c r="A218" s="325"/>
      <c r="B218" s="325"/>
      <c r="D218" s="333"/>
      <c r="E218" s="333"/>
      <c r="M218" s="184"/>
      <c r="N218" s="327"/>
    </row>
    <row r="219">
      <c r="A219" s="325"/>
      <c r="B219" s="325"/>
      <c r="D219" s="333"/>
      <c r="E219" s="333"/>
      <c r="M219" s="184"/>
      <c r="N219" s="327"/>
    </row>
    <row r="220">
      <c r="A220" s="325"/>
      <c r="B220" s="325"/>
      <c r="D220" s="333"/>
      <c r="E220" s="333"/>
      <c r="M220" s="184"/>
      <c r="N220" s="327"/>
    </row>
    <row r="221">
      <c r="A221" s="325"/>
      <c r="B221" s="325"/>
      <c r="D221" s="333"/>
      <c r="E221" s="333"/>
      <c r="M221" s="184"/>
      <c r="N221" s="327"/>
    </row>
    <row r="222">
      <c r="A222" s="325"/>
      <c r="B222" s="325"/>
      <c r="D222" s="333"/>
      <c r="E222" s="333"/>
      <c r="M222" s="184"/>
      <c r="N222" s="327"/>
    </row>
    <row r="223">
      <c r="A223" s="325"/>
      <c r="B223" s="325"/>
      <c r="D223" s="333"/>
      <c r="E223" s="333"/>
      <c r="M223" s="184"/>
      <c r="N223" s="327"/>
    </row>
    <row r="224">
      <c r="A224" s="325"/>
      <c r="B224" s="325"/>
      <c r="D224" s="333"/>
      <c r="E224" s="333"/>
      <c r="M224" s="184"/>
      <c r="N224" s="327"/>
    </row>
    <row r="225">
      <c r="A225" s="325"/>
      <c r="B225" s="325"/>
      <c r="D225" s="333"/>
      <c r="E225" s="333"/>
      <c r="M225" s="184"/>
      <c r="N225" s="327"/>
    </row>
    <row r="226">
      <c r="A226" s="325"/>
      <c r="B226" s="325"/>
      <c r="D226" s="333"/>
      <c r="E226" s="333"/>
      <c r="M226" s="184"/>
      <c r="N226" s="327"/>
    </row>
    <row r="227">
      <c r="A227" s="325"/>
      <c r="B227" s="325"/>
      <c r="D227" s="333"/>
      <c r="E227" s="333"/>
      <c r="M227" s="184"/>
      <c r="N227" s="327"/>
    </row>
    <row r="228">
      <c r="A228" s="325"/>
      <c r="B228" s="325"/>
      <c r="D228" s="333"/>
      <c r="E228" s="333"/>
      <c r="M228" s="184"/>
      <c r="N228" s="327"/>
    </row>
    <row r="229">
      <c r="A229" s="325"/>
      <c r="B229" s="325"/>
      <c r="D229" s="333"/>
      <c r="E229" s="333"/>
      <c r="M229" s="184"/>
      <c r="N229" s="327"/>
    </row>
    <row r="230">
      <c r="A230" s="325"/>
      <c r="B230" s="325"/>
      <c r="D230" s="333"/>
      <c r="E230" s="333"/>
      <c r="M230" s="184"/>
      <c r="N230" s="327"/>
    </row>
    <row r="231">
      <c r="A231" s="325"/>
      <c r="B231" s="325"/>
      <c r="D231" s="333"/>
      <c r="E231" s="333"/>
      <c r="M231" s="184"/>
      <c r="N231" s="327"/>
    </row>
    <row r="232">
      <c r="A232" s="325"/>
      <c r="B232" s="325"/>
      <c r="D232" s="333"/>
      <c r="E232" s="333"/>
      <c r="M232" s="184"/>
      <c r="N232" s="327"/>
    </row>
    <row r="233">
      <c r="A233" s="325"/>
      <c r="B233" s="325"/>
      <c r="D233" s="333"/>
      <c r="E233" s="333"/>
      <c r="M233" s="184"/>
      <c r="N233" s="327"/>
    </row>
    <row r="234">
      <c r="A234" s="325"/>
      <c r="B234" s="325"/>
      <c r="D234" s="333"/>
      <c r="E234" s="333"/>
      <c r="M234" s="184"/>
      <c r="N234" s="327"/>
    </row>
    <row r="235">
      <c r="A235" s="325"/>
      <c r="B235" s="325"/>
      <c r="D235" s="333"/>
      <c r="E235" s="333"/>
      <c r="M235" s="184"/>
      <c r="N235" s="327"/>
    </row>
    <row r="236">
      <c r="A236" s="325"/>
      <c r="B236" s="325"/>
      <c r="D236" s="333"/>
      <c r="E236" s="333"/>
      <c r="M236" s="184"/>
      <c r="N236" s="327"/>
    </row>
    <row r="237">
      <c r="A237" s="325"/>
      <c r="B237" s="325"/>
      <c r="D237" s="333"/>
      <c r="E237" s="333"/>
      <c r="M237" s="184"/>
      <c r="N237" s="327"/>
    </row>
    <row r="238">
      <c r="A238" s="325"/>
      <c r="B238" s="325"/>
      <c r="D238" s="333"/>
      <c r="E238" s="333"/>
      <c r="M238" s="184"/>
      <c r="N238" s="327"/>
    </row>
    <row r="239">
      <c r="A239" s="325"/>
      <c r="B239" s="325"/>
      <c r="D239" s="333"/>
      <c r="E239" s="333"/>
      <c r="M239" s="184"/>
      <c r="N239" s="327"/>
    </row>
    <row r="240">
      <c r="A240" s="325"/>
      <c r="B240" s="325"/>
      <c r="D240" s="333"/>
      <c r="E240" s="333"/>
      <c r="M240" s="184"/>
      <c r="N240" s="327"/>
    </row>
    <row r="241">
      <c r="A241" s="325"/>
      <c r="B241" s="325"/>
      <c r="D241" s="333"/>
      <c r="E241" s="333"/>
      <c r="M241" s="184"/>
      <c r="N241" s="327"/>
    </row>
    <row r="242">
      <c r="A242" s="325"/>
      <c r="B242" s="325"/>
      <c r="D242" s="333"/>
      <c r="E242" s="333"/>
      <c r="M242" s="184"/>
      <c r="N242" s="327"/>
    </row>
    <row r="243">
      <c r="A243" s="325"/>
      <c r="B243" s="325"/>
      <c r="D243" s="333"/>
      <c r="E243" s="333"/>
      <c r="M243" s="184"/>
      <c r="N243" s="327"/>
    </row>
    <row r="244">
      <c r="A244" s="325"/>
      <c r="B244" s="325"/>
      <c r="D244" s="333"/>
      <c r="E244" s="333"/>
      <c r="M244" s="184"/>
      <c r="N244" s="327"/>
    </row>
    <row r="245">
      <c r="A245" s="325"/>
      <c r="B245" s="325"/>
      <c r="D245" s="333"/>
      <c r="E245" s="333"/>
      <c r="M245" s="184"/>
      <c r="N245" s="327"/>
    </row>
    <row r="246">
      <c r="A246" s="325"/>
      <c r="B246" s="325"/>
      <c r="D246" s="333"/>
      <c r="E246" s="333"/>
      <c r="M246" s="184"/>
      <c r="N246" s="327"/>
    </row>
    <row r="247">
      <c r="A247" s="325"/>
      <c r="B247" s="325"/>
      <c r="D247" s="333"/>
      <c r="E247" s="333"/>
      <c r="M247" s="184"/>
      <c r="N247" s="327"/>
    </row>
    <row r="248">
      <c r="A248" s="325"/>
      <c r="B248" s="325"/>
      <c r="D248" s="333"/>
      <c r="E248" s="333"/>
      <c r="M248" s="184"/>
      <c r="N248" s="327"/>
    </row>
    <row r="249">
      <c r="A249" s="325"/>
      <c r="B249" s="325"/>
      <c r="D249" s="333"/>
      <c r="E249" s="333"/>
      <c r="M249" s="184"/>
      <c r="N249" s="327"/>
    </row>
    <row r="250">
      <c r="A250" s="325"/>
      <c r="B250" s="325"/>
      <c r="D250" s="333"/>
      <c r="E250" s="333"/>
      <c r="M250" s="184"/>
      <c r="N250" s="327"/>
    </row>
    <row r="251">
      <c r="A251" s="325"/>
      <c r="B251" s="325"/>
      <c r="D251" s="333"/>
      <c r="E251" s="333"/>
      <c r="M251" s="184"/>
      <c r="N251" s="327"/>
    </row>
    <row r="252">
      <c r="A252" s="325"/>
      <c r="B252" s="325"/>
      <c r="D252" s="333"/>
      <c r="E252" s="333"/>
      <c r="M252" s="184"/>
      <c r="N252" s="327"/>
    </row>
    <row r="253">
      <c r="A253" s="325"/>
      <c r="B253" s="325"/>
      <c r="D253" s="333"/>
      <c r="E253" s="333"/>
      <c r="M253" s="184"/>
      <c r="N253" s="327"/>
    </row>
    <row r="254">
      <c r="A254" s="325"/>
      <c r="B254" s="325"/>
      <c r="D254" s="333"/>
      <c r="E254" s="333"/>
      <c r="M254" s="184"/>
      <c r="N254" s="327"/>
    </row>
    <row r="255">
      <c r="A255" s="325"/>
      <c r="B255" s="325"/>
      <c r="D255" s="333"/>
      <c r="E255" s="333"/>
      <c r="M255" s="184"/>
      <c r="N255" s="327"/>
    </row>
    <row r="256">
      <c r="A256" s="325"/>
      <c r="B256" s="325"/>
      <c r="D256" s="333"/>
      <c r="E256" s="333"/>
      <c r="M256" s="184"/>
      <c r="N256" s="327"/>
    </row>
    <row r="257">
      <c r="A257" s="325"/>
      <c r="B257" s="325"/>
      <c r="D257" s="333"/>
      <c r="E257" s="333"/>
      <c r="M257" s="184"/>
      <c r="N257" s="327"/>
    </row>
    <row r="258">
      <c r="A258" s="325"/>
      <c r="B258" s="325"/>
      <c r="D258" s="333"/>
      <c r="E258" s="333"/>
      <c r="M258" s="184"/>
      <c r="N258" s="327"/>
    </row>
    <row r="259">
      <c r="A259" s="325"/>
      <c r="B259" s="325"/>
      <c r="D259" s="333"/>
      <c r="E259" s="333"/>
      <c r="M259" s="184"/>
      <c r="N259" s="327"/>
    </row>
    <row r="260">
      <c r="A260" s="325"/>
      <c r="B260" s="325"/>
      <c r="D260" s="333"/>
      <c r="E260" s="333"/>
      <c r="M260" s="184"/>
      <c r="N260" s="327"/>
    </row>
    <row r="261">
      <c r="A261" s="325"/>
      <c r="B261" s="325"/>
      <c r="D261" s="333"/>
      <c r="E261" s="333"/>
      <c r="M261" s="184"/>
      <c r="N261" s="327"/>
    </row>
    <row r="262">
      <c r="A262" s="325"/>
      <c r="B262" s="325"/>
      <c r="D262" s="333"/>
      <c r="E262" s="333"/>
      <c r="M262" s="184"/>
      <c r="N262" s="327"/>
    </row>
    <row r="263">
      <c r="A263" s="325"/>
      <c r="B263" s="325"/>
      <c r="D263" s="333"/>
      <c r="E263" s="333"/>
      <c r="M263" s="184"/>
      <c r="N263" s="327"/>
    </row>
    <row r="264">
      <c r="A264" s="325"/>
      <c r="B264" s="325"/>
      <c r="D264" s="333"/>
      <c r="E264" s="333"/>
      <c r="M264" s="184"/>
      <c r="N264" s="327"/>
    </row>
    <row r="265">
      <c r="A265" s="325"/>
      <c r="B265" s="325"/>
      <c r="D265" s="333"/>
      <c r="E265" s="333"/>
      <c r="M265" s="184"/>
      <c r="N265" s="327"/>
    </row>
    <row r="266">
      <c r="A266" s="325"/>
      <c r="B266" s="325"/>
      <c r="D266" s="333"/>
      <c r="E266" s="333"/>
      <c r="M266" s="184"/>
      <c r="N266" s="327"/>
    </row>
    <row r="267">
      <c r="A267" s="325"/>
      <c r="B267" s="325"/>
      <c r="D267" s="333"/>
      <c r="E267" s="333"/>
      <c r="M267" s="184"/>
      <c r="N267" s="327"/>
    </row>
    <row r="268">
      <c r="A268" s="325"/>
      <c r="B268" s="325"/>
      <c r="D268" s="333"/>
      <c r="E268" s="333"/>
      <c r="M268" s="184"/>
      <c r="N268" s="327"/>
    </row>
    <row r="269">
      <c r="A269" s="325"/>
      <c r="B269" s="325"/>
      <c r="D269" s="333"/>
      <c r="E269" s="333"/>
      <c r="M269" s="184"/>
      <c r="N269" s="327"/>
    </row>
    <row r="270">
      <c r="A270" s="325"/>
      <c r="B270" s="325"/>
      <c r="D270" s="333"/>
      <c r="E270" s="333"/>
      <c r="M270" s="184"/>
      <c r="N270" s="327"/>
    </row>
    <row r="271">
      <c r="A271" s="325"/>
      <c r="B271" s="325"/>
      <c r="D271" s="333"/>
      <c r="E271" s="333"/>
      <c r="M271" s="184"/>
      <c r="N271" s="327"/>
    </row>
    <row r="272">
      <c r="A272" s="325"/>
      <c r="B272" s="325"/>
      <c r="D272" s="333"/>
      <c r="E272" s="333"/>
      <c r="M272" s="184"/>
      <c r="N272" s="327"/>
    </row>
    <row r="273">
      <c r="A273" s="325"/>
      <c r="B273" s="325"/>
      <c r="D273" s="333"/>
      <c r="E273" s="333"/>
      <c r="M273" s="184"/>
      <c r="N273" s="327"/>
    </row>
    <row r="274">
      <c r="A274" s="325"/>
      <c r="B274" s="325"/>
      <c r="D274" s="333"/>
      <c r="E274" s="333"/>
      <c r="M274" s="184"/>
      <c r="N274" s="327"/>
    </row>
    <row r="275">
      <c r="A275" s="325"/>
      <c r="B275" s="325"/>
      <c r="D275" s="333"/>
      <c r="E275" s="333"/>
      <c r="M275" s="184"/>
      <c r="N275" s="327"/>
    </row>
    <row r="276">
      <c r="A276" s="325"/>
      <c r="B276" s="325"/>
      <c r="D276" s="333"/>
      <c r="E276" s="333"/>
      <c r="M276" s="184"/>
      <c r="N276" s="327"/>
    </row>
    <row r="277">
      <c r="A277" s="325"/>
      <c r="B277" s="325"/>
      <c r="D277" s="333"/>
      <c r="E277" s="333"/>
      <c r="M277" s="184"/>
      <c r="N277" s="327"/>
    </row>
    <row r="278">
      <c r="A278" s="325"/>
      <c r="B278" s="325"/>
      <c r="D278" s="333"/>
      <c r="E278" s="333"/>
      <c r="M278" s="184"/>
      <c r="N278" s="327"/>
    </row>
    <row r="279">
      <c r="A279" s="325"/>
      <c r="B279" s="325"/>
      <c r="D279" s="333"/>
      <c r="E279" s="333"/>
      <c r="M279" s="184"/>
      <c r="N279" s="327"/>
    </row>
    <row r="280">
      <c r="A280" s="325"/>
      <c r="B280" s="325"/>
      <c r="D280" s="333"/>
      <c r="E280" s="333"/>
      <c r="M280" s="184"/>
      <c r="N280" s="327"/>
    </row>
    <row r="281">
      <c r="A281" s="325"/>
      <c r="B281" s="325"/>
      <c r="D281" s="333"/>
      <c r="E281" s="333"/>
      <c r="M281" s="184"/>
      <c r="N281" s="327"/>
    </row>
    <row r="282">
      <c r="A282" s="325"/>
      <c r="B282" s="325"/>
      <c r="D282" s="333"/>
      <c r="E282" s="333"/>
      <c r="M282" s="184"/>
      <c r="N282" s="327"/>
    </row>
    <row r="283">
      <c r="A283" s="325"/>
      <c r="B283" s="325"/>
      <c r="D283" s="333"/>
      <c r="E283" s="333"/>
      <c r="M283" s="184"/>
      <c r="N283" s="327"/>
    </row>
    <row r="284">
      <c r="A284" s="325"/>
      <c r="B284" s="325"/>
      <c r="D284" s="333"/>
      <c r="E284" s="333"/>
      <c r="M284" s="184"/>
      <c r="N284" s="327"/>
    </row>
    <row r="285">
      <c r="A285" s="325"/>
      <c r="B285" s="325"/>
      <c r="D285" s="333"/>
      <c r="E285" s="333"/>
      <c r="M285" s="184"/>
      <c r="N285" s="327"/>
    </row>
    <row r="286">
      <c r="A286" s="325"/>
      <c r="B286" s="325"/>
      <c r="D286" s="333"/>
      <c r="E286" s="333"/>
      <c r="M286" s="184"/>
      <c r="N286" s="327"/>
    </row>
    <row r="287">
      <c r="A287" s="325"/>
      <c r="B287" s="325"/>
      <c r="D287" s="333"/>
      <c r="E287" s="333"/>
      <c r="M287" s="184"/>
      <c r="N287" s="327"/>
    </row>
    <row r="288">
      <c r="A288" s="325"/>
      <c r="B288" s="325"/>
      <c r="D288" s="333"/>
      <c r="E288" s="333"/>
      <c r="M288" s="184"/>
      <c r="N288" s="327"/>
    </row>
    <row r="289">
      <c r="A289" s="325"/>
      <c r="B289" s="325"/>
      <c r="D289" s="333"/>
      <c r="E289" s="333"/>
      <c r="M289" s="184"/>
      <c r="N289" s="327"/>
    </row>
    <row r="290">
      <c r="A290" s="325"/>
      <c r="B290" s="325"/>
      <c r="D290" s="333"/>
      <c r="E290" s="333"/>
      <c r="M290" s="184"/>
      <c r="N290" s="327"/>
    </row>
    <row r="291">
      <c r="A291" s="325"/>
      <c r="B291" s="325"/>
      <c r="D291" s="333"/>
      <c r="E291" s="333"/>
      <c r="M291" s="184"/>
      <c r="N291" s="327"/>
    </row>
    <row r="292">
      <c r="A292" s="325"/>
      <c r="B292" s="325"/>
      <c r="D292" s="333"/>
      <c r="E292" s="333"/>
      <c r="M292" s="184"/>
      <c r="N292" s="327"/>
    </row>
    <row r="293">
      <c r="A293" s="325"/>
      <c r="B293" s="325"/>
      <c r="D293" s="333"/>
      <c r="E293" s="333"/>
      <c r="M293" s="184"/>
      <c r="N293" s="327"/>
    </row>
    <row r="294">
      <c r="A294" s="325"/>
      <c r="B294" s="325"/>
      <c r="D294" s="333"/>
      <c r="E294" s="333"/>
      <c r="M294" s="184"/>
      <c r="N294" s="327"/>
    </row>
    <row r="295">
      <c r="A295" s="325"/>
      <c r="B295" s="325"/>
      <c r="D295" s="333"/>
      <c r="E295" s="333"/>
      <c r="M295" s="184"/>
      <c r="N295" s="327"/>
    </row>
    <row r="296">
      <c r="A296" s="325"/>
      <c r="B296" s="325"/>
      <c r="D296" s="333"/>
      <c r="E296" s="333"/>
      <c r="M296" s="184"/>
      <c r="N296" s="327"/>
    </row>
    <row r="297">
      <c r="A297" s="325"/>
      <c r="B297" s="325"/>
      <c r="D297" s="333"/>
      <c r="E297" s="333"/>
      <c r="M297" s="184"/>
      <c r="N297" s="327"/>
    </row>
    <row r="298">
      <c r="A298" s="325"/>
      <c r="B298" s="325"/>
      <c r="D298" s="333"/>
      <c r="E298" s="333"/>
      <c r="M298" s="184"/>
      <c r="N298" s="327"/>
    </row>
    <row r="299">
      <c r="A299" s="325"/>
      <c r="B299" s="325"/>
      <c r="D299" s="333"/>
      <c r="E299" s="333"/>
      <c r="M299" s="184"/>
      <c r="N299" s="327"/>
    </row>
    <row r="300">
      <c r="A300" s="325"/>
      <c r="B300" s="325"/>
      <c r="D300" s="333"/>
      <c r="E300" s="333"/>
      <c r="M300" s="184"/>
      <c r="N300" s="327"/>
    </row>
    <row r="301">
      <c r="A301" s="325"/>
      <c r="B301" s="325"/>
      <c r="D301" s="333"/>
      <c r="E301" s="333"/>
      <c r="M301" s="184"/>
      <c r="N301" s="327"/>
    </row>
    <row r="302">
      <c r="A302" s="325"/>
      <c r="B302" s="325"/>
      <c r="D302" s="333"/>
      <c r="E302" s="333"/>
      <c r="M302" s="184"/>
      <c r="N302" s="327"/>
    </row>
    <row r="303">
      <c r="A303" s="325"/>
      <c r="B303" s="325"/>
      <c r="D303" s="333"/>
      <c r="E303" s="333"/>
      <c r="M303" s="184"/>
      <c r="N303" s="327"/>
    </row>
    <row r="304">
      <c r="A304" s="325"/>
      <c r="B304" s="325"/>
      <c r="D304" s="333"/>
      <c r="E304" s="333"/>
      <c r="M304" s="184"/>
      <c r="N304" s="327"/>
    </row>
    <row r="305">
      <c r="A305" s="325"/>
      <c r="B305" s="325"/>
      <c r="D305" s="333"/>
      <c r="E305" s="333"/>
      <c r="M305" s="184"/>
      <c r="N305" s="327"/>
    </row>
    <row r="306">
      <c r="A306" s="325"/>
      <c r="B306" s="325"/>
      <c r="D306" s="333"/>
      <c r="E306" s="333"/>
      <c r="M306" s="184"/>
      <c r="N306" s="327"/>
    </row>
    <row r="307">
      <c r="A307" s="325"/>
      <c r="B307" s="325"/>
      <c r="D307" s="333"/>
      <c r="E307" s="333"/>
      <c r="M307" s="184"/>
      <c r="N307" s="327"/>
    </row>
    <row r="308">
      <c r="A308" s="325"/>
      <c r="B308" s="325"/>
      <c r="D308" s="333"/>
      <c r="E308" s="333"/>
      <c r="M308" s="184"/>
      <c r="N308" s="327"/>
    </row>
    <row r="309">
      <c r="A309" s="325"/>
      <c r="B309" s="325"/>
      <c r="D309" s="333"/>
      <c r="E309" s="333"/>
      <c r="M309" s="184"/>
      <c r="N309" s="327"/>
    </row>
    <row r="310">
      <c r="A310" s="325"/>
      <c r="B310" s="325"/>
      <c r="D310" s="333"/>
      <c r="E310" s="333"/>
      <c r="M310" s="184"/>
      <c r="N310" s="327"/>
    </row>
    <row r="311">
      <c r="A311" s="325"/>
      <c r="B311" s="325"/>
      <c r="D311" s="333"/>
      <c r="E311" s="333"/>
      <c r="M311" s="184"/>
      <c r="N311" s="327"/>
    </row>
    <row r="312">
      <c r="A312" s="325"/>
      <c r="B312" s="325"/>
      <c r="D312" s="333"/>
      <c r="E312" s="333"/>
      <c r="M312" s="184"/>
      <c r="N312" s="327"/>
    </row>
    <row r="313">
      <c r="A313" s="325"/>
      <c r="B313" s="325"/>
      <c r="D313" s="333"/>
      <c r="E313" s="333"/>
      <c r="M313" s="184"/>
      <c r="N313" s="327"/>
    </row>
    <row r="314">
      <c r="A314" s="325"/>
      <c r="B314" s="325"/>
      <c r="D314" s="333"/>
      <c r="E314" s="333"/>
      <c r="M314" s="184"/>
      <c r="N314" s="327"/>
    </row>
    <row r="315">
      <c r="A315" s="325"/>
      <c r="B315" s="325"/>
      <c r="D315" s="333"/>
      <c r="E315" s="333"/>
      <c r="M315" s="184"/>
      <c r="N315" s="327"/>
    </row>
    <row r="316">
      <c r="A316" s="325"/>
      <c r="B316" s="325"/>
      <c r="D316" s="333"/>
      <c r="E316" s="333"/>
      <c r="M316" s="184"/>
      <c r="N316" s="327"/>
    </row>
    <row r="317">
      <c r="A317" s="325"/>
      <c r="B317" s="325"/>
      <c r="D317" s="333"/>
      <c r="E317" s="333"/>
      <c r="M317" s="184"/>
      <c r="N317" s="327"/>
    </row>
    <row r="318">
      <c r="A318" s="325"/>
      <c r="B318" s="325"/>
      <c r="D318" s="333"/>
      <c r="E318" s="333"/>
      <c r="M318" s="184"/>
      <c r="N318" s="327"/>
    </row>
    <row r="319">
      <c r="A319" s="325"/>
      <c r="B319" s="325"/>
      <c r="D319" s="333"/>
      <c r="E319" s="333"/>
      <c r="M319" s="184"/>
      <c r="N319" s="327"/>
    </row>
    <row r="320">
      <c r="A320" s="325"/>
      <c r="B320" s="325"/>
      <c r="D320" s="333"/>
      <c r="E320" s="333"/>
      <c r="M320" s="184"/>
      <c r="N320" s="327"/>
    </row>
    <row r="321">
      <c r="A321" s="325"/>
      <c r="B321" s="325"/>
      <c r="D321" s="333"/>
      <c r="E321" s="333"/>
      <c r="M321" s="184"/>
      <c r="N321" s="327"/>
    </row>
    <row r="322">
      <c r="A322" s="325"/>
      <c r="B322" s="325"/>
      <c r="D322" s="333"/>
      <c r="E322" s="333"/>
      <c r="M322" s="184"/>
      <c r="N322" s="327"/>
    </row>
    <row r="323">
      <c r="A323" s="325"/>
      <c r="B323" s="325"/>
      <c r="D323" s="333"/>
      <c r="E323" s="333"/>
      <c r="M323" s="184"/>
      <c r="N323" s="327"/>
    </row>
    <row r="324">
      <c r="A324" s="325"/>
      <c r="B324" s="325"/>
      <c r="D324" s="333"/>
      <c r="E324" s="333"/>
      <c r="M324" s="184"/>
      <c r="N324" s="327"/>
    </row>
    <row r="325">
      <c r="A325" s="325"/>
      <c r="B325" s="325"/>
      <c r="D325" s="333"/>
      <c r="E325" s="333"/>
      <c r="M325" s="184"/>
      <c r="N325" s="327"/>
    </row>
    <row r="326">
      <c r="A326" s="325"/>
      <c r="B326" s="325"/>
      <c r="D326" s="333"/>
      <c r="E326" s="333"/>
      <c r="M326" s="184"/>
      <c r="N326" s="327"/>
    </row>
    <row r="327">
      <c r="A327" s="325"/>
      <c r="B327" s="325"/>
      <c r="D327" s="333"/>
      <c r="E327" s="333"/>
      <c r="M327" s="184"/>
      <c r="N327" s="327"/>
    </row>
    <row r="328">
      <c r="A328" s="325"/>
      <c r="B328" s="325"/>
      <c r="D328" s="333"/>
      <c r="E328" s="333"/>
      <c r="M328" s="184"/>
      <c r="N328" s="327"/>
    </row>
    <row r="329">
      <c r="A329" s="325"/>
      <c r="B329" s="325"/>
      <c r="D329" s="333"/>
      <c r="E329" s="333"/>
      <c r="M329" s="184"/>
      <c r="N329" s="327"/>
    </row>
    <row r="330">
      <c r="A330" s="325"/>
      <c r="B330" s="325"/>
      <c r="D330" s="333"/>
      <c r="E330" s="333"/>
      <c r="M330" s="184"/>
      <c r="N330" s="327"/>
    </row>
    <row r="331">
      <c r="A331" s="325"/>
      <c r="B331" s="325"/>
      <c r="D331" s="333"/>
      <c r="E331" s="333"/>
      <c r="M331" s="184"/>
      <c r="N331" s="327"/>
    </row>
    <row r="332">
      <c r="A332" s="325"/>
      <c r="B332" s="325"/>
      <c r="D332" s="333"/>
      <c r="E332" s="333"/>
      <c r="M332" s="184"/>
      <c r="N332" s="327"/>
    </row>
    <row r="333">
      <c r="A333" s="325"/>
      <c r="B333" s="325"/>
      <c r="D333" s="333"/>
      <c r="E333" s="333"/>
      <c r="M333" s="184"/>
      <c r="N333" s="327"/>
    </row>
    <row r="334">
      <c r="A334" s="325"/>
      <c r="B334" s="325"/>
      <c r="D334" s="333"/>
      <c r="E334" s="333"/>
      <c r="M334" s="184"/>
      <c r="N334" s="327"/>
    </row>
    <row r="335">
      <c r="A335" s="325"/>
      <c r="B335" s="325"/>
      <c r="D335" s="333"/>
      <c r="E335" s="333"/>
      <c r="M335" s="184"/>
      <c r="N335" s="327"/>
    </row>
    <row r="336">
      <c r="A336" s="325"/>
      <c r="B336" s="325"/>
      <c r="D336" s="333"/>
      <c r="E336" s="333"/>
      <c r="M336" s="184"/>
      <c r="N336" s="327"/>
    </row>
    <row r="337">
      <c r="A337" s="325"/>
      <c r="B337" s="325"/>
      <c r="D337" s="333"/>
      <c r="E337" s="333"/>
      <c r="M337" s="184"/>
      <c r="N337" s="327"/>
    </row>
    <row r="338">
      <c r="A338" s="325"/>
      <c r="B338" s="325"/>
      <c r="D338" s="333"/>
      <c r="E338" s="333"/>
      <c r="M338" s="184"/>
      <c r="N338" s="327"/>
    </row>
    <row r="339">
      <c r="A339" s="325"/>
      <c r="B339" s="325"/>
      <c r="D339" s="333"/>
      <c r="E339" s="333"/>
      <c r="M339" s="184"/>
      <c r="N339" s="327"/>
    </row>
    <row r="340">
      <c r="A340" s="325"/>
      <c r="B340" s="325"/>
      <c r="D340" s="333"/>
      <c r="E340" s="333"/>
      <c r="M340" s="184"/>
      <c r="N340" s="327"/>
    </row>
    <row r="341">
      <c r="A341" s="325"/>
      <c r="B341" s="325"/>
      <c r="D341" s="333"/>
      <c r="E341" s="333"/>
      <c r="M341" s="184"/>
      <c r="N341" s="327"/>
    </row>
    <row r="342">
      <c r="A342" s="325"/>
      <c r="B342" s="325"/>
      <c r="D342" s="333"/>
      <c r="E342" s="333"/>
      <c r="M342" s="184"/>
      <c r="N342" s="327"/>
    </row>
    <row r="343">
      <c r="A343" s="325"/>
      <c r="B343" s="325"/>
      <c r="D343" s="333"/>
      <c r="E343" s="333"/>
      <c r="M343" s="184"/>
      <c r="N343" s="327"/>
    </row>
    <row r="344">
      <c r="A344" s="325"/>
      <c r="B344" s="325"/>
      <c r="D344" s="333"/>
      <c r="E344" s="333"/>
      <c r="M344" s="184"/>
      <c r="N344" s="327"/>
    </row>
    <row r="345">
      <c r="A345" s="325"/>
      <c r="B345" s="325"/>
      <c r="D345" s="333"/>
      <c r="E345" s="333"/>
      <c r="M345" s="184"/>
      <c r="N345" s="327"/>
    </row>
    <row r="346">
      <c r="A346" s="325"/>
      <c r="B346" s="325"/>
      <c r="D346" s="333"/>
      <c r="E346" s="333"/>
      <c r="M346" s="184"/>
      <c r="N346" s="327"/>
    </row>
    <row r="347">
      <c r="A347" s="325"/>
      <c r="B347" s="325"/>
      <c r="D347" s="333"/>
      <c r="E347" s="333"/>
      <c r="M347" s="184"/>
      <c r="N347" s="327"/>
    </row>
    <row r="348">
      <c r="A348" s="325"/>
      <c r="B348" s="325"/>
      <c r="D348" s="333"/>
      <c r="E348" s="333"/>
      <c r="M348" s="184"/>
      <c r="N348" s="327"/>
    </row>
    <row r="349">
      <c r="A349" s="325"/>
      <c r="B349" s="325"/>
      <c r="D349" s="333"/>
      <c r="E349" s="333"/>
      <c r="M349" s="184"/>
      <c r="N349" s="327"/>
    </row>
    <row r="350">
      <c r="A350" s="325"/>
      <c r="B350" s="325"/>
      <c r="D350" s="333"/>
      <c r="E350" s="333"/>
      <c r="M350" s="184"/>
      <c r="N350" s="327"/>
    </row>
    <row r="351">
      <c r="A351" s="325"/>
      <c r="B351" s="325"/>
      <c r="D351" s="333"/>
      <c r="E351" s="333"/>
      <c r="M351" s="184"/>
      <c r="N351" s="327"/>
    </row>
    <row r="352">
      <c r="A352" s="325"/>
      <c r="B352" s="325"/>
      <c r="D352" s="333"/>
      <c r="E352" s="333"/>
      <c r="M352" s="184"/>
      <c r="N352" s="327"/>
    </row>
    <row r="353">
      <c r="A353" s="325"/>
      <c r="B353" s="325"/>
      <c r="D353" s="333"/>
      <c r="E353" s="333"/>
      <c r="M353" s="184"/>
      <c r="N353" s="327"/>
    </row>
    <row r="354">
      <c r="A354" s="325"/>
      <c r="B354" s="325"/>
      <c r="D354" s="333"/>
      <c r="E354" s="333"/>
      <c r="M354" s="184"/>
      <c r="N354" s="327"/>
    </row>
    <row r="355">
      <c r="A355" s="325"/>
      <c r="B355" s="325"/>
      <c r="D355" s="333"/>
      <c r="E355" s="333"/>
      <c r="M355" s="184"/>
      <c r="N355" s="327"/>
    </row>
    <row r="356">
      <c r="A356" s="325"/>
      <c r="B356" s="325"/>
      <c r="D356" s="333"/>
      <c r="E356" s="333"/>
      <c r="M356" s="184"/>
      <c r="N356" s="327"/>
    </row>
    <row r="357">
      <c r="A357" s="325"/>
      <c r="B357" s="325"/>
      <c r="D357" s="333"/>
      <c r="E357" s="333"/>
      <c r="M357" s="184"/>
      <c r="N357" s="327"/>
    </row>
    <row r="358">
      <c r="A358" s="325"/>
      <c r="B358" s="325"/>
      <c r="D358" s="333"/>
      <c r="E358" s="333"/>
      <c r="M358" s="184"/>
      <c r="N358" s="327"/>
    </row>
    <row r="359">
      <c r="A359" s="325"/>
      <c r="B359" s="325"/>
      <c r="D359" s="333"/>
      <c r="E359" s="333"/>
      <c r="M359" s="184"/>
      <c r="N359" s="327"/>
    </row>
    <row r="360">
      <c r="A360" s="325"/>
      <c r="B360" s="325"/>
      <c r="D360" s="333"/>
      <c r="E360" s="333"/>
      <c r="M360" s="184"/>
      <c r="N360" s="327"/>
    </row>
    <row r="361">
      <c r="A361" s="325"/>
      <c r="B361" s="325"/>
      <c r="D361" s="333"/>
      <c r="E361" s="333"/>
      <c r="M361" s="184"/>
      <c r="N361" s="327"/>
    </row>
    <row r="362">
      <c r="A362" s="325"/>
      <c r="B362" s="325"/>
      <c r="D362" s="333"/>
      <c r="E362" s="333"/>
      <c r="M362" s="184"/>
      <c r="N362" s="327"/>
    </row>
    <row r="363">
      <c r="A363" s="325"/>
      <c r="B363" s="325"/>
      <c r="D363" s="333"/>
      <c r="E363" s="333"/>
      <c r="M363" s="184"/>
      <c r="N363" s="327"/>
    </row>
    <row r="364">
      <c r="A364" s="325"/>
      <c r="B364" s="325"/>
      <c r="D364" s="333"/>
      <c r="E364" s="333"/>
      <c r="M364" s="184"/>
      <c r="N364" s="327"/>
    </row>
    <row r="365">
      <c r="A365" s="325"/>
      <c r="B365" s="325"/>
      <c r="D365" s="333"/>
      <c r="E365" s="333"/>
      <c r="M365" s="184"/>
      <c r="N365" s="327"/>
    </row>
    <row r="366">
      <c r="A366" s="325"/>
      <c r="B366" s="325"/>
      <c r="D366" s="333"/>
      <c r="E366" s="333"/>
      <c r="M366" s="184"/>
      <c r="N366" s="327"/>
    </row>
    <row r="367">
      <c r="A367" s="325"/>
      <c r="B367" s="325"/>
      <c r="D367" s="333"/>
      <c r="E367" s="333"/>
      <c r="M367" s="184"/>
      <c r="N367" s="327"/>
    </row>
    <row r="368">
      <c r="A368" s="325"/>
      <c r="B368" s="325"/>
      <c r="D368" s="333"/>
      <c r="E368" s="333"/>
      <c r="M368" s="184"/>
      <c r="N368" s="327"/>
    </row>
    <row r="369">
      <c r="A369" s="325"/>
      <c r="B369" s="325"/>
      <c r="D369" s="333"/>
      <c r="E369" s="333"/>
      <c r="M369" s="184"/>
      <c r="N369" s="327"/>
    </row>
    <row r="370">
      <c r="A370" s="325"/>
      <c r="B370" s="325"/>
      <c r="D370" s="333"/>
      <c r="E370" s="333"/>
      <c r="M370" s="184"/>
      <c r="N370" s="327"/>
    </row>
    <row r="371">
      <c r="A371" s="325"/>
      <c r="B371" s="325"/>
      <c r="D371" s="333"/>
      <c r="E371" s="333"/>
      <c r="M371" s="184"/>
      <c r="N371" s="327"/>
    </row>
    <row r="372">
      <c r="A372" s="325"/>
      <c r="B372" s="325"/>
      <c r="D372" s="333"/>
      <c r="E372" s="333"/>
      <c r="M372" s="184"/>
      <c r="N372" s="327"/>
    </row>
    <row r="373">
      <c r="A373" s="325"/>
      <c r="B373" s="325"/>
      <c r="D373" s="333"/>
      <c r="E373" s="333"/>
      <c r="M373" s="184"/>
      <c r="N373" s="327"/>
    </row>
    <row r="374">
      <c r="A374" s="325"/>
      <c r="B374" s="325"/>
      <c r="D374" s="333"/>
      <c r="E374" s="333"/>
      <c r="M374" s="184"/>
      <c r="N374" s="327"/>
    </row>
    <row r="375">
      <c r="A375" s="325"/>
      <c r="B375" s="325"/>
      <c r="D375" s="333"/>
      <c r="E375" s="333"/>
      <c r="M375" s="184"/>
      <c r="N375" s="327"/>
    </row>
    <row r="376">
      <c r="A376" s="325"/>
      <c r="B376" s="325"/>
      <c r="D376" s="333"/>
      <c r="E376" s="333"/>
      <c r="M376" s="184"/>
      <c r="N376" s="327"/>
    </row>
    <row r="377">
      <c r="A377" s="325"/>
      <c r="B377" s="325"/>
      <c r="D377" s="333"/>
      <c r="E377" s="333"/>
      <c r="M377" s="184"/>
      <c r="N377" s="327"/>
    </row>
    <row r="378">
      <c r="A378" s="325"/>
      <c r="B378" s="325"/>
      <c r="D378" s="333"/>
      <c r="E378" s="333"/>
      <c r="M378" s="184"/>
      <c r="N378" s="327"/>
    </row>
    <row r="379">
      <c r="A379" s="325"/>
      <c r="B379" s="325"/>
      <c r="D379" s="333"/>
      <c r="E379" s="333"/>
      <c r="M379" s="184"/>
      <c r="N379" s="327"/>
    </row>
    <row r="380">
      <c r="A380" s="325"/>
      <c r="B380" s="325"/>
      <c r="D380" s="333"/>
      <c r="E380" s="333"/>
      <c r="M380" s="184"/>
      <c r="N380" s="327"/>
    </row>
    <row r="381">
      <c r="A381" s="325"/>
      <c r="B381" s="325"/>
      <c r="D381" s="333"/>
      <c r="E381" s="333"/>
      <c r="M381" s="184"/>
      <c r="N381" s="327"/>
    </row>
    <row r="382">
      <c r="A382" s="325"/>
      <c r="B382" s="325"/>
      <c r="D382" s="333"/>
      <c r="E382" s="333"/>
      <c r="M382" s="184"/>
      <c r="N382" s="327"/>
    </row>
    <row r="383">
      <c r="A383" s="325"/>
      <c r="B383" s="325"/>
      <c r="D383" s="333"/>
      <c r="E383" s="333"/>
      <c r="M383" s="184"/>
      <c r="N383" s="327"/>
    </row>
    <row r="384">
      <c r="A384" s="325"/>
      <c r="B384" s="325"/>
      <c r="D384" s="333"/>
      <c r="E384" s="333"/>
      <c r="M384" s="184"/>
      <c r="N384" s="327"/>
    </row>
    <row r="385">
      <c r="A385" s="325"/>
      <c r="B385" s="325"/>
      <c r="D385" s="333"/>
      <c r="E385" s="333"/>
      <c r="M385" s="184"/>
      <c r="N385" s="327"/>
    </row>
    <row r="386">
      <c r="A386" s="325"/>
      <c r="B386" s="325"/>
      <c r="D386" s="333"/>
      <c r="E386" s="333"/>
      <c r="M386" s="184"/>
      <c r="N386" s="327"/>
    </row>
    <row r="387">
      <c r="A387" s="325"/>
      <c r="B387" s="325"/>
      <c r="D387" s="333"/>
      <c r="E387" s="333"/>
      <c r="M387" s="184"/>
      <c r="N387" s="327"/>
    </row>
    <row r="388">
      <c r="A388" s="325"/>
      <c r="B388" s="325"/>
      <c r="D388" s="333"/>
      <c r="E388" s="333"/>
      <c r="M388" s="184"/>
      <c r="N388" s="327"/>
    </row>
    <row r="389">
      <c r="A389" s="325"/>
      <c r="B389" s="325"/>
      <c r="D389" s="333"/>
      <c r="E389" s="333"/>
      <c r="M389" s="184"/>
      <c r="N389" s="327"/>
    </row>
    <row r="390">
      <c r="A390" s="325"/>
      <c r="B390" s="325"/>
      <c r="D390" s="333"/>
      <c r="E390" s="333"/>
      <c r="M390" s="184"/>
      <c r="N390" s="327"/>
    </row>
    <row r="391">
      <c r="A391" s="325"/>
      <c r="B391" s="325"/>
      <c r="D391" s="333"/>
      <c r="E391" s="333"/>
      <c r="M391" s="184"/>
      <c r="N391" s="327"/>
    </row>
    <row r="392">
      <c r="A392" s="325"/>
      <c r="B392" s="325"/>
      <c r="D392" s="333"/>
      <c r="E392" s="333"/>
      <c r="M392" s="184"/>
      <c r="N392" s="327"/>
    </row>
    <row r="393">
      <c r="A393" s="325"/>
      <c r="B393" s="325"/>
      <c r="D393" s="333"/>
      <c r="E393" s="333"/>
      <c r="M393" s="184"/>
      <c r="N393" s="327"/>
    </row>
    <row r="394">
      <c r="A394" s="325"/>
      <c r="B394" s="325"/>
      <c r="D394" s="333"/>
      <c r="E394" s="333"/>
      <c r="M394" s="184"/>
      <c r="N394" s="327"/>
    </row>
    <row r="395">
      <c r="A395" s="325"/>
      <c r="B395" s="325"/>
      <c r="D395" s="333"/>
      <c r="E395" s="333"/>
      <c r="M395" s="184"/>
      <c r="N395" s="327"/>
    </row>
    <row r="396">
      <c r="A396" s="325"/>
      <c r="B396" s="325"/>
      <c r="D396" s="333"/>
      <c r="E396" s="333"/>
      <c r="M396" s="184"/>
      <c r="N396" s="327"/>
    </row>
    <row r="397">
      <c r="A397" s="325"/>
      <c r="B397" s="325"/>
      <c r="D397" s="333"/>
      <c r="E397" s="333"/>
      <c r="M397" s="184"/>
      <c r="N397" s="327"/>
    </row>
    <row r="398">
      <c r="A398" s="325"/>
      <c r="B398" s="325"/>
      <c r="D398" s="333"/>
      <c r="E398" s="333"/>
      <c r="M398" s="184"/>
      <c r="N398" s="327"/>
    </row>
    <row r="399">
      <c r="A399" s="325"/>
      <c r="B399" s="325"/>
      <c r="D399" s="333"/>
      <c r="E399" s="333"/>
      <c r="M399" s="184"/>
      <c r="N399" s="327"/>
    </row>
    <row r="400">
      <c r="A400" s="325"/>
      <c r="B400" s="325"/>
      <c r="D400" s="333"/>
      <c r="E400" s="333"/>
      <c r="M400" s="184"/>
      <c r="N400" s="327"/>
    </row>
    <row r="401">
      <c r="A401" s="325"/>
      <c r="B401" s="325"/>
      <c r="D401" s="333"/>
      <c r="E401" s="333"/>
      <c r="M401" s="184"/>
      <c r="N401" s="327"/>
    </row>
    <row r="402">
      <c r="A402" s="325"/>
      <c r="B402" s="325"/>
      <c r="D402" s="333"/>
      <c r="E402" s="333"/>
      <c r="M402" s="184"/>
      <c r="N402" s="327"/>
    </row>
    <row r="403">
      <c r="A403" s="325"/>
      <c r="B403" s="325"/>
      <c r="D403" s="333"/>
      <c r="E403" s="333"/>
      <c r="M403" s="184"/>
      <c r="N403" s="327"/>
    </row>
    <row r="404">
      <c r="A404" s="325"/>
      <c r="B404" s="325"/>
      <c r="D404" s="333"/>
      <c r="E404" s="333"/>
      <c r="M404" s="184"/>
      <c r="N404" s="327"/>
    </row>
    <row r="405">
      <c r="A405" s="325"/>
      <c r="B405" s="325"/>
      <c r="D405" s="333"/>
      <c r="E405" s="333"/>
      <c r="M405" s="184"/>
      <c r="N405" s="327"/>
    </row>
    <row r="406">
      <c r="A406" s="325"/>
      <c r="B406" s="325"/>
      <c r="D406" s="333"/>
      <c r="E406" s="333"/>
      <c r="M406" s="184"/>
      <c r="N406" s="327"/>
    </row>
    <row r="407">
      <c r="A407" s="325"/>
      <c r="B407" s="325"/>
      <c r="D407" s="333"/>
      <c r="E407" s="333"/>
      <c r="M407" s="184"/>
      <c r="N407" s="327"/>
    </row>
    <row r="408">
      <c r="A408" s="325"/>
      <c r="B408" s="325"/>
      <c r="D408" s="333"/>
      <c r="E408" s="333"/>
      <c r="M408" s="184"/>
      <c r="N408" s="327"/>
    </row>
    <row r="409">
      <c r="A409" s="325"/>
      <c r="B409" s="325"/>
      <c r="D409" s="333"/>
      <c r="E409" s="333"/>
      <c r="M409" s="184"/>
      <c r="N409" s="327"/>
    </row>
    <row r="410">
      <c r="A410" s="325"/>
      <c r="B410" s="325"/>
      <c r="D410" s="333"/>
      <c r="E410" s="333"/>
      <c r="M410" s="184"/>
      <c r="N410" s="327"/>
    </row>
    <row r="411">
      <c r="A411" s="325"/>
      <c r="B411" s="325"/>
      <c r="D411" s="333"/>
      <c r="E411" s="333"/>
      <c r="M411" s="184"/>
      <c r="N411" s="327"/>
    </row>
    <row r="412">
      <c r="A412" s="325"/>
      <c r="B412" s="325"/>
      <c r="D412" s="333"/>
      <c r="E412" s="333"/>
      <c r="M412" s="184"/>
      <c r="N412" s="327"/>
    </row>
    <row r="413">
      <c r="A413" s="325"/>
      <c r="B413" s="325"/>
      <c r="D413" s="333"/>
      <c r="E413" s="333"/>
      <c r="M413" s="184"/>
      <c r="N413" s="327"/>
    </row>
    <row r="414">
      <c r="A414" s="325"/>
      <c r="B414" s="325"/>
      <c r="D414" s="333"/>
      <c r="E414" s="333"/>
      <c r="M414" s="184"/>
      <c r="N414" s="327"/>
    </row>
    <row r="415">
      <c r="A415" s="325"/>
      <c r="B415" s="325"/>
      <c r="D415" s="333"/>
      <c r="E415" s="333"/>
      <c r="M415" s="184"/>
      <c r="N415" s="327"/>
    </row>
    <row r="416">
      <c r="A416" s="325"/>
      <c r="B416" s="325"/>
      <c r="D416" s="333"/>
      <c r="E416" s="333"/>
      <c r="M416" s="184"/>
      <c r="N416" s="327"/>
    </row>
    <row r="417">
      <c r="A417" s="325"/>
      <c r="B417" s="325"/>
      <c r="D417" s="333"/>
      <c r="E417" s="333"/>
      <c r="M417" s="184"/>
      <c r="N417" s="327"/>
    </row>
    <row r="418">
      <c r="A418" s="325"/>
      <c r="B418" s="325"/>
      <c r="D418" s="333"/>
      <c r="E418" s="333"/>
      <c r="M418" s="184"/>
      <c r="N418" s="327"/>
    </row>
    <row r="419">
      <c r="A419" s="325"/>
      <c r="B419" s="325"/>
      <c r="D419" s="333"/>
      <c r="E419" s="333"/>
      <c r="M419" s="184"/>
      <c r="N419" s="327"/>
    </row>
    <row r="420">
      <c r="A420" s="325"/>
      <c r="B420" s="325"/>
      <c r="D420" s="333"/>
      <c r="E420" s="333"/>
      <c r="M420" s="184"/>
      <c r="N420" s="327"/>
    </row>
    <row r="421">
      <c r="A421" s="325"/>
      <c r="B421" s="325"/>
      <c r="D421" s="333"/>
      <c r="E421" s="333"/>
      <c r="M421" s="184"/>
      <c r="N421" s="327"/>
    </row>
    <row r="422">
      <c r="A422" s="325"/>
      <c r="B422" s="325"/>
      <c r="D422" s="333"/>
      <c r="E422" s="333"/>
      <c r="M422" s="184"/>
      <c r="N422" s="327"/>
    </row>
    <row r="423">
      <c r="A423" s="325"/>
      <c r="B423" s="325"/>
      <c r="D423" s="333"/>
      <c r="E423" s="333"/>
      <c r="M423" s="184"/>
      <c r="N423" s="327"/>
    </row>
    <row r="424">
      <c r="A424" s="325"/>
      <c r="B424" s="325"/>
      <c r="D424" s="333"/>
      <c r="E424" s="333"/>
      <c r="M424" s="184"/>
      <c r="N424" s="327"/>
    </row>
    <row r="425">
      <c r="A425" s="325"/>
      <c r="B425" s="325"/>
      <c r="D425" s="333"/>
      <c r="E425" s="333"/>
      <c r="M425" s="184"/>
      <c r="N425" s="327"/>
    </row>
    <row r="426">
      <c r="A426" s="325"/>
      <c r="B426" s="325"/>
      <c r="D426" s="333"/>
      <c r="E426" s="333"/>
      <c r="M426" s="184"/>
      <c r="N426" s="327"/>
    </row>
    <row r="427">
      <c r="A427" s="325"/>
      <c r="B427" s="325"/>
      <c r="D427" s="333"/>
      <c r="E427" s="333"/>
      <c r="M427" s="184"/>
      <c r="N427" s="327"/>
    </row>
    <row r="428">
      <c r="A428" s="325"/>
      <c r="B428" s="325"/>
      <c r="D428" s="333"/>
      <c r="E428" s="333"/>
      <c r="M428" s="184"/>
      <c r="N428" s="327"/>
    </row>
    <row r="429">
      <c r="A429" s="325"/>
      <c r="B429" s="325"/>
      <c r="D429" s="333"/>
      <c r="E429" s="333"/>
      <c r="M429" s="184"/>
      <c r="N429" s="327"/>
    </row>
    <row r="430">
      <c r="A430" s="325"/>
      <c r="B430" s="325"/>
      <c r="D430" s="333"/>
      <c r="E430" s="333"/>
      <c r="M430" s="184"/>
      <c r="N430" s="327"/>
    </row>
    <row r="431">
      <c r="A431" s="325"/>
      <c r="B431" s="325"/>
      <c r="D431" s="333"/>
      <c r="E431" s="333"/>
      <c r="M431" s="184"/>
      <c r="N431" s="327"/>
    </row>
    <row r="432">
      <c r="A432" s="325"/>
      <c r="B432" s="325"/>
      <c r="D432" s="333"/>
      <c r="E432" s="333"/>
      <c r="M432" s="184"/>
      <c r="N432" s="327"/>
    </row>
    <row r="433">
      <c r="A433" s="325"/>
      <c r="B433" s="325"/>
      <c r="D433" s="333"/>
      <c r="E433" s="333"/>
      <c r="M433" s="184"/>
      <c r="N433" s="327"/>
    </row>
    <row r="434">
      <c r="A434" s="325"/>
      <c r="B434" s="325"/>
      <c r="D434" s="333"/>
      <c r="E434" s="333"/>
      <c r="M434" s="184"/>
      <c r="N434" s="327"/>
    </row>
    <row r="435">
      <c r="A435" s="325"/>
      <c r="B435" s="325"/>
      <c r="D435" s="333"/>
      <c r="E435" s="333"/>
      <c r="M435" s="184"/>
      <c r="N435" s="327"/>
    </row>
    <row r="436">
      <c r="A436" s="325"/>
      <c r="B436" s="325"/>
      <c r="D436" s="333"/>
      <c r="E436" s="333"/>
      <c r="M436" s="184"/>
      <c r="N436" s="327"/>
    </row>
    <row r="437">
      <c r="A437" s="325"/>
      <c r="B437" s="325"/>
      <c r="D437" s="333"/>
      <c r="E437" s="333"/>
      <c r="M437" s="184"/>
      <c r="N437" s="327"/>
    </row>
    <row r="438">
      <c r="A438" s="325"/>
      <c r="B438" s="325"/>
      <c r="D438" s="333"/>
      <c r="E438" s="333"/>
      <c r="M438" s="184"/>
      <c r="N438" s="327"/>
    </row>
    <row r="439">
      <c r="A439" s="325"/>
      <c r="B439" s="325"/>
      <c r="D439" s="333"/>
      <c r="E439" s="333"/>
      <c r="M439" s="184"/>
      <c r="N439" s="327"/>
    </row>
    <row r="440">
      <c r="A440" s="325"/>
      <c r="B440" s="325"/>
      <c r="D440" s="333"/>
      <c r="E440" s="333"/>
      <c r="M440" s="184"/>
      <c r="N440" s="327"/>
    </row>
    <row r="441">
      <c r="A441" s="325"/>
      <c r="B441" s="325"/>
      <c r="D441" s="333"/>
      <c r="E441" s="333"/>
      <c r="M441" s="184"/>
      <c r="N441" s="327"/>
    </row>
    <row r="442">
      <c r="A442" s="325"/>
      <c r="B442" s="325"/>
      <c r="D442" s="333"/>
      <c r="E442" s="333"/>
      <c r="M442" s="184"/>
      <c r="N442" s="327"/>
    </row>
    <row r="443">
      <c r="A443" s="325"/>
      <c r="B443" s="325"/>
      <c r="D443" s="333"/>
      <c r="E443" s="333"/>
      <c r="M443" s="184"/>
      <c r="N443" s="327"/>
    </row>
    <row r="444">
      <c r="A444" s="325"/>
      <c r="B444" s="325"/>
      <c r="D444" s="333"/>
      <c r="E444" s="333"/>
      <c r="M444" s="184"/>
      <c r="N444" s="327"/>
    </row>
    <row r="445">
      <c r="A445" s="325"/>
      <c r="B445" s="325"/>
      <c r="D445" s="333"/>
      <c r="E445" s="333"/>
      <c r="M445" s="184"/>
      <c r="N445" s="327"/>
    </row>
    <row r="446">
      <c r="A446" s="325"/>
      <c r="B446" s="325"/>
      <c r="D446" s="333"/>
      <c r="E446" s="333"/>
      <c r="M446" s="184"/>
      <c r="N446" s="327"/>
    </row>
    <row r="447">
      <c r="A447" s="325"/>
      <c r="B447" s="325"/>
      <c r="D447" s="333"/>
      <c r="E447" s="333"/>
      <c r="M447" s="184"/>
      <c r="N447" s="327"/>
    </row>
    <row r="448">
      <c r="A448" s="325"/>
      <c r="B448" s="325"/>
      <c r="D448" s="333"/>
      <c r="E448" s="333"/>
      <c r="M448" s="184"/>
      <c r="N448" s="327"/>
    </row>
    <row r="449">
      <c r="A449" s="325"/>
      <c r="B449" s="325"/>
      <c r="D449" s="333"/>
      <c r="E449" s="333"/>
      <c r="M449" s="184"/>
      <c r="N449" s="327"/>
    </row>
    <row r="450">
      <c r="A450" s="325"/>
      <c r="B450" s="325"/>
      <c r="D450" s="333"/>
      <c r="E450" s="333"/>
      <c r="M450" s="184"/>
      <c r="N450" s="327"/>
    </row>
    <row r="451">
      <c r="A451" s="325"/>
      <c r="B451" s="325"/>
      <c r="D451" s="333"/>
      <c r="E451" s="333"/>
      <c r="M451" s="184"/>
      <c r="N451" s="327"/>
    </row>
    <row r="452">
      <c r="A452" s="325"/>
      <c r="B452" s="325"/>
      <c r="D452" s="333"/>
      <c r="E452" s="333"/>
      <c r="M452" s="184"/>
      <c r="N452" s="327"/>
    </row>
    <row r="453">
      <c r="A453" s="325"/>
      <c r="B453" s="325"/>
      <c r="D453" s="333"/>
      <c r="E453" s="333"/>
      <c r="M453" s="184"/>
      <c r="N453" s="327"/>
    </row>
    <row r="454">
      <c r="A454" s="325"/>
      <c r="B454" s="325"/>
      <c r="D454" s="333"/>
      <c r="E454" s="333"/>
      <c r="M454" s="184"/>
      <c r="N454" s="327"/>
    </row>
    <row r="455">
      <c r="A455" s="325"/>
      <c r="B455" s="325"/>
      <c r="D455" s="333"/>
      <c r="E455" s="333"/>
      <c r="M455" s="184"/>
      <c r="N455" s="327"/>
    </row>
    <row r="456">
      <c r="A456" s="325"/>
      <c r="B456" s="325"/>
      <c r="D456" s="333"/>
      <c r="E456" s="333"/>
      <c r="M456" s="184"/>
      <c r="N456" s="327"/>
    </row>
    <row r="457">
      <c r="A457" s="325"/>
      <c r="B457" s="325"/>
      <c r="D457" s="333"/>
      <c r="E457" s="333"/>
      <c r="M457" s="184"/>
      <c r="N457" s="327"/>
    </row>
    <row r="458">
      <c r="A458" s="325"/>
      <c r="B458" s="325"/>
      <c r="D458" s="333"/>
      <c r="E458" s="333"/>
      <c r="M458" s="184"/>
      <c r="N458" s="327"/>
    </row>
    <row r="459">
      <c r="A459" s="325"/>
      <c r="B459" s="325"/>
      <c r="D459" s="333"/>
      <c r="E459" s="333"/>
      <c r="M459" s="184"/>
      <c r="N459" s="327"/>
    </row>
    <row r="460">
      <c r="A460" s="325"/>
      <c r="B460" s="325"/>
      <c r="D460" s="333"/>
      <c r="E460" s="333"/>
      <c r="M460" s="184"/>
      <c r="N460" s="327"/>
    </row>
    <row r="461">
      <c r="A461" s="325"/>
      <c r="B461" s="325"/>
      <c r="D461" s="333"/>
      <c r="E461" s="333"/>
      <c r="M461" s="184"/>
      <c r="N461" s="327"/>
    </row>
    <row r="462">
      <c r="A462" s="325"/>
      <c r="B462" s="325"/>
      <c r="D462" s="333"/>
      <c r="E462" s="333"/>
      <c r="M462" s="184"/>
      <c r="N462" s="327"/>
    </row>
    <row r="463">
      <c r="A463" s="325"/>
      <c r="B463" s="325"/>
      <c r="D463" s="333"/>
      <c r="E463" s="333"/>
      <c r="M463" s="184"/>
      <c r="N463" s="327"/>
    </row>
    <row r="464">
      <c r="A464" s="325"/>
      <c r="B464" s="325"/>
      <c r="D464" s="333"/>
      <c r="E464" s="333"/>
      <c r="M464" s="184"/>
      <c r="N464" s="327"/>
    </row>
    <row r="465">
      <c r="A465" s="325"/>
      <c r="B465" s="325"/>
      <c r="D465" s="333"/>
      <c r="E465" s="333"/>
      <c r="M465" s="184"/>
      <c r="N465" s="327"/>
    </row>
    <row r="466">
      <c r="A466" s="325"/>
      <c r="B466" s="325"/>
      <c r="D466" s="333"/>
      <c r="E466" s="333"/>
      <c r="M466" s="184"/>
      <c r="N466" s="327"/>
    </row>
    <row r="467">
      <c r="A467" s="325"/>
      <c r="B467" s="325"/>
      <c r="D467" s="333"/>
      <c r="E467" s="333"/>
      <c r="M467" s="184"/>
      <c r="N467" s="327"/>
    </row>
    <row r="468">
      <c r="A468" s="325"/>
      <c r="B468" s="325"/>
      <c r="D468" s="333"/>
      <c r="E468" s="333"/>
      <c r="M468" s="184"/>
      <c r="N468" s="327"/>
    </row>
    <row r="469">
      <c r="A469" s="325"/>
      <c r="B469" s="325"/>
      <c r="D469" s="333"/>
      <c r="E469" s="333"/>
      <c r="M469" s="184"/>
      <c r="N469" s="327"/>
    </row>
    <row r="470">
      <c r="A470" s="325"/>
      <c r="B470" s="325"/>
      <c r="D470" s="333"/>
      <c r="E470" s="333"/>
      <c r="M470" s="184"/>
      <c r="N470" s="327"/>
    </row>
    <row r="471">
      <c r="A471" s="325"/>
      <c r="B471" s="325"/>
      <c r="D471" s="333"/>
      <c r="E471" s="333"/>
      <c r="M471" s="184"/>
      <c r="N471" s="327"/>
    </row>
    <row r="472">
      <c r="A472" s="325"/>
      <c r="B472" s="325"/>
      <c r="D472" s="333"/>
      <c r="E472" s="333"/>
      <c r="M472" s="184"/>
      <c r="N472" s="327"/>
    </row>
    <row r="473">
      <c r="A473" s="325"/>
      <c r="B473" s="325"/>
      <c r="D473" s="333"/>
      <c r="E473" s="333"/>
      <c r="M473" s="184"/>
      <c r="N473" s="327"/>
    </row>
    <row r="474">
      <c r="A474" s="325"/>
      <c r="B474" s="325"/>
      <c r="D474" s="333"/>
      <c r="E474" s="333"/>
      <c r="M474" s="184"/>
      <c r="N474" s="327"/>
    </row>
    <row r="475">
      <c r="A475" s="325"/>
      <c r="B475" s="325"/>
      <c r="D475" s="333"/>
      <c r="E475" s="333"/>
      <c r="M475" s="184"/>
      <c r="N475" s="327"/>
    </row>
    <row r="476">
      <c r="A476" s="325"/>
      <c r="B476" s="325"/>
      <c r="D476" s="333"/>
      <c r="E476" s="333"/>
      <c r="M476" s="184"/>
      <c r="N476" s="327"/>
    </row>
    <row r="477">
      <c r="A477" s="325"/>
      <c r="B477" s="325"/>
      <c r="D477" s="333"/>
      <c r="E477" s="333"/>
      <c r="M477" s="184"/>
      <c r="N477" s="327"/>
    </row>
    <row r="478">
      <c r="A478" s="325"/>
      <c r="B478" s="325"/>
      <c r="D478" s="333"/>
      <c r="E478" s="333"/>
      <c r="M478" s="184"/>
      <c r="N478" s="327"/>
    </row>
    <row r="479">
      <c r="A479" s="325"/>
      <c r="B479" s="325"/>
      <c r="D479" s="333"/>
      <c r="E479" s="333"/>
      <c r="M479" s="184"/>
      <c r="N479" s="327"/>
    </row>
    <row r="480">
      <c r="A480" s="325"/>
      <c r="B480" s="325"/>
      <c r="D480" s="333"/>
      <c r="E480" s="333"/>
      <c r="M480" s="184"/>
      <c r="N480" s="327"/>
    </row>
    <row r="481">
      <c r="A481" s="325"/>
      <c r="B481" s="325"/>
      <c r="D481" s="333"/>
      <c r="E481" s="333"/>
      <c r="M481" s="184"/>
      <c r="N481" s="327"/>
    </row>
    <row r="482">
      <c r="A482" s="325"/>
      <c r="B482" s="325"/>
      <c r="D482" s="333"/>
      <c r="E482" s="333"/>
      <c r="M482" s="184"/>
      <c r="N482" s="327"/>
    </row>
    <row r="483">
      <c r="A483" s="325"/>
      <c r="B483" s="325"/>
      <c r="D483" s="333"/>
      <c r="E483" s="333"/>
      <c r="M483" s="184"/>
      <c r="N483" s="327"/>
    </row>
    <row r="484">
      <c r="A484" s="325"/>
      <c r="B484" s="325"/>
      <c r="D484" s="333"/>
      <c r="E484" s="333"/>
      <c r="M484" s="184"/>
      <c r="N484" s="327"/>
    </row>
    <row r="485">
      <c r="A485" s="325"/>
      <c r="B485" s="325"/>
      <c r="D485" s="333"/>
      <c r="E485" s="333"/>
      <c r="M485" s="184"/>
      <c r="N485" s="327"/>
    </row>
    <row r="486">
      <c r="A486" s="325"/>
      <c r="B486" s="325"/>
      <c r="D486" s="333"/>
      <c r="E486" s="333"/>
      <c r="M486" s="184"/>
      <c r="N486" s="327"/>
    </row>
    <row r="487">
      <c r="A487" s="325"/>
      <c r="B487" s="325"/>
      <c r="D487" s="333"/>
      <c r="E487" s="333"/>
      <c r="M487" s="184"/>
      <c r="N487" s="327"/>
    </row>
    <row r="488">
      <c r="A488" s="325"/>
      <c r="B488" s="325"/>
      <c r="D488" s="333"/>
      <c r="E488" s="333"/>
      <c r="M488" s="184"/>
      <c r="N488" s="327"/>
    </row>
    <row r="489">
      <c r="A489" s="325"/>
      <c r="B489" s="325"/>
      <c r="D489" s="333"/>
      <c r="E489" s="333"/>
      <c r="M489" s="184"/>
      <c r="N489" s="327"/>
    </row>
    <row r="490">
      <c r="A490" s="325"/>
      <c r="B490" s="325"/>
      <c r="D490" s="333"/>
      <c r="E490" s="333"/>
      <c r="M490" s="184"/>
      <c r="N490" s="327"/>
    </row>
    <row r="491">
      <c r="A491" s="325"/>
      <c r="B491" s="325"/>
      <c r="D491" s="333"/>
      <c r="E491" s="333"/>
      <c r="M491" s="184"/>
      <c r="N491" s="327"/>
    </row>
    <row r="492">
      <c r="A492" s="325"/>
      <c r="B492" s="325"/>
      <c r="D492" s="333"/>
      <c r="E492" s="333"/>
      <c r="M492" s="184"/>
      <c r="N492" s="327"/>
    </row>
    <row r="493">
      <c r="A493" s="325"/>
      <c r="B493" s="325"/>
      <c r="D493" s="333"/>
      <c r="E493" s="333"/>
      <c r="M493" s="184"/>
      <c r="N493" s="327"/>
    </row>
    <row r="494">
      <c r="A494" s="325"/>
      <c r="B494" s="325"/>
      <c r="D494" s="333"/>
      <c r="E494" s="333"/>
      <c r="M494" s="184"/>
      <c r="N494" s="327"/>
    </row>
    <row r="495">
      <c r="A495" s="325"/>
      <c r="B495" s="325"/>
      <c r="D495" s="333"/>
      <c r="E495" s="333"/>
      <c r="M495" s="184"/>
      <c r="N495" s="327"/>
    </row>
    <row r="496">
      <c r="A496" s="325"/>
      <c r="B496" s="325"/>
      <c r="D496" s="333"/>
      <c r="E496" s="333"/>
      <c r="M496" s="184"/>
      <c r="N496" s="327"/>
    </row>
    <row r="497">
      <c r="A497" s="325"/>
      <c r="B497" s="325"/>
      <c r="D497" s="333"/>
      <c r="E497" s="333"/>
      <c r="M497" s="184"/>
      <c r="N497" s="327"/>
    </row>
    <row r="498">
      <c r="A498" s="325"/>
      <c r="B498" s="325"/>
      <c r="D498" s="333"/>
      <c r="E498" s="333"/>
      <c r="M498" s="184"/>
      <c r="N498" s="327"/>
    </row>
    <row r="499">
      <c r="A499" s="325"/>
      <c r="B499" s="325"/>
      <c r="D499" s="333"/>
      <c r="E499" s="333"/>
      <c r="M499" s="184"/>
      <c r="N499" s="327"/>
    </row>
    <row r="500">
      <c r="A500" s="325"/>
      <c r="B500" s="325"/>
      <c r="D500" s="333"/>
      <c r="E500" s="333"/>
      <c r="M500" s="184"/>
      <c r="N500" s="327"/>
    </row>
    <row r="501">
      <c r="A501" s="325"/>
      <c r="B501" s="325"/>
      <c r="D501" s="333"/>
      <c r="E501" s="333"/>
      <c r="M501" s="184"/>
      <c r="N501" s="327"/>
    </row>
    <row r="502">
      <c r="A502" s="325"/>
      <c r="B502" s="325"/>
      <c r="D502" s="333"/>
      <c r="E502" s="333"/>
      <c r="M502" s="184"/>
      <c r="N502" s="327"/>
    </row>
    <row r="503">
      <c r="A503" s="325"/>
      <c r="B503" s="325"/>
      <c r="D503" s="333"/>
      <c r="E503" s="333"/>
      <c r="M503" s="184"/>
      <c r="N503" s="327"/>
    </row>
    <row r="504">
      <c r="A504" s="325"/>
      <c r="B504" s="325"/>
      <c r="D504" s="333"/>
      <c r="E504" s="333"/>
      <c r="M504" s="184"/>
      <c r="N504" s="327"/>
    </row>
    <row r="505">
      <c r="A505" s="325"/>
      <c r="B505" s="325"/>
      <c r="D505" s="333"/>
      <c r="E505" s="333"/>
      <c r="M505" s="184"/>
      <c r="N505" s="327"/>
    </row>
    <row r="506">
      <c r="A506" s="325"/>
      <c r="B506" s="325"/>
      <c r="D506" s="333"/>
      <c r="E506" s="333"/>
      <c r="M506" s="184"/>
      <c r="N506" s="327"/>
    </row>
    <row r="507">
      <c r="A507" s="325"/>
      <c r="B507" s="325"/>
      <c r="D507" s="333"/>
      <c r="E507" s="333"/>
      <c r="M507" s="184"/>
      <c r="N507" s="327"/>
    </row>
    <row r="508">
      <c r="A508" s="325"/>
      <c r="B508" s="325"/>
      <c r="D508" s="333"/>
      <c r="E508" s="333"/>
      <c r="M508" s="184"/>
      <c r="N508" s="327"/>
    </row>
    <row r="509">
      <c r="A509" s="325"/>
      <c r="B509" s="325"/>
      <c r="D509" s="333"/>
      <c r="E509" s="333"/>
      <c r="M509" s="184"/>
      <c r="N509" s="327"/>
    </row>
    <row r="510">
      <c r="A510" s="325"/>
      <c r="B510" s="325"/>
      <c r="D510" s="333"/>
      <c r="E510" s="333"/>
      <c r="M510" s="184"/>
      <c r="N510" s="327"/>
    </row>
    <row r="511">
      <c r="A511" s="325"/>
      <c r="B511" s="325"/>
      <c r="D511" s="333"/>
      <c r="E511" s="333"/>
      <c r="M511" s="184"/>
      <c r="N511" s="327"/>
    </row>
    <row r="512">
      <c r="A512" s="325"/>
      <c r="B512" s="325"/>
      <c r="D512" s="333"/>
      <c r="E512" s="333"/>
      <c r="M512" s="184"/>
      <c r="N512" s="327"/>
    </row>
    <row r="513">
      <c r="A513" s="325"/>
      <c r="B513" s="325"/>
      <c r="D513" s="333"/>
      <c r="E513" s="333"/>
      <c r="M513" s="184"/>
      <c r="N513" s="327"/>
    </row>
    <row r="514">
      <c r="A514" s="325"/>
      <c r="B514" s="325"/>
      <c r="D514" s="333"/>
      <c r="E514" s="333"/>
      <c r="M514" s="184"/>
      <c r="N514" s="327"/>
    </row>
    <row r="515">
      <c r="A515" s="325"/>
      <c r="B515" s="325"/>
      <c r="D515" s="333"/>
      <c r="E515" s="333"/>
      <c r="M515" s="184"/>
      <c r="N515" s="327"/>
    </row>
    <row r="516">
      <c r="A516" s="325"/>
      <c r="B516" s="325"/>
      <c r="D516" s="333"/>
      <c r="E516" s="333"/>
      <c r="M516" s="184"/>
      <c r="N516" s="327"/>
    </row>
    <row r="517">
      <c r="A517" s="325"/>
      <c r="B517" s="325"/>
      <c r="D517" s="333"/>
      <c r="E517" s="333"/>
      <c r="M517" s="184"/>
      <c r="N517" s="327"/>
    </row>
    <row r="518">
      <c r="A518" s="325"/>
      <c r="B518" s="325"/>
      <c r="D518" s="333"/>
      <c r="E518" s="333"/>
      <c r="M518" s="184"/>
      <c r="N518" s="327"/>
    </row>
    <row r="519">
      <c r="A519" s="325"/>
      <c r="B519" s="325"/>
      <c r="D519" s="333"/>
      <c r="E519" s="333"/>
      <c r="M519" s="184"/>
      <c r="N519" s="327"/>
    </row>
    <row r="520">
      <c r="A520" s="325"/>
      <c r="B520" s="325"/>
      <c r="D520" s="333"/>
      <c r="E520" s="333"/>
      <c r="M520" s="184"/>
      <c r="N520" s="327"/>
    </row>
    <row r="521">
      <c r="A521" s="325"/>
      <c r="B521" s="325"/>
      <c r="D521" s="333"/>
      <c r="E521" s="333"/>
      <c r="M521" s="184"/>
      <c r="N521" s="327"/>
    </row>
    <row r="522">
      <c r="A522" s="325"/>
      <c r="B522" s="325"/>
      <c r="D522" s="333"/>
      <c r="E522" s="333"/>
      <c r="M522" s="184"/>
      <c r="N522" s="327"/>
    </row>
    <row r="523">
      <c r="A523" s="325"/>
      <c r="B523" s="325"/>
      <c r="D523" s="333"/>
      <c r="E523" s="333"/>
      <c r="M523" s="184"/>
      <c r="N523" s="327"/>
    </row>
    <row r="524">
      <c r="A524" s="325"/>
      <c r="B524" s="325"/>
      <c r="D524" s="333"/>
      <c r="E524" s="333"/>
      <c r="M524" s="184"/>
      <c r="N524" s="327"/>
    </row>
    <row r="525">
      <c r="A525" s="325"/>
      <c r="B525" s="325"/>
      <c r="D525" s="333"/>
      <c r="E525" s="333"/>
      <c r="M525" s="184"/>
      <c r="N525" s="327"/>
    </row>
    <row r="526">
      <c r="A526" s="325"/>
      <c r="B526" s="325"/>
      <c r="D526" s="333"/>
      <c r="E526" s="333"/>
      <c r="M526" s="184"/>
      <c r="N526" s="327"/>
    </row>
    <row r="527">
      <c r="A527" s="325"/>
      <c r="B527" s="325"/>
      <c r="D527" s="333"/>
      <c r="E527" s="333"/>
      <c r="M527" s="184"/>
      <c r="N527" s="327"/>
    </row>
    <row r="528">
      <c r="A528" s="325"/>
      <c r="B528" s="325"/>
      <c r="D528" s="333"/>
      <c r="E528" s="333"/>
      <c r="M528" s="184"/>
      <c r="N528" s="327"/>
    </row>
    <row r="529">
      <c r="A529" s="325"/>
      <c r="B529" s="325"/>
      <c r="D529" s="333"/>
      <c r="E529" s="333"/>
      <c r="M529" s="184"/>
      <c r="N529" s="327"/>
    </row>
    <row r="530">
      <c r="A530" s="325"/>
      <c r="B530" s="325"/>
      <c r="D530" s="333"/>
      <c r="E530" s="333"/>
      <c r="M530" s="184"/>
      <c r="N530" s="327"/>
    </row>
    <row r="531">
      <c r="A531" s="325"/>
      <c r="B531" s="325"/>
      <c r="D531" s="333"/>
      <c r="E531" s="333"/>
      <c r="M531" s="184"/>
      <c r="N531" s="327"/>
    </row>
    <row r="532">
      <c r="A532" s="325"/>
      <c r="B532" s="325"/>
      <c r="D532" s="333"/>
      <c r="E532" s="333"/>
      <c r="M532" s="184"/>
      <c r="N532" s="327"/>
    </row>
    <row r="533">
      <c r="A533" s="325"/>
      <c r="B533" s="325"/>
      <c r="D533" s="333"/>
      <c r="E533" s="333"/>
      <c r="M533" s="184"/>
      <c r="N533" s="327"/>
    </row>
    <row r="534">
      <c r="A534" s="325"/>
      <c r="B534" s="325"/>
      <c r="D534" s="333"/>
      <c r="E534" s="333"/>
      <c r="M534" s="184"/>
      <c r="N534" s="327"/>
    </row>
    <row r="535">
      <c r="A535" s="325"/>
      <c r="B535" s="325"/>
      <c r="D535" s="333"/>
      <c r="E535" s="333"/>
      <c r="M535" s="184"/>
      <c r="N535" s="327"/>
    </row>
    <row r="536">
      <c r="A536" s="325"/>
      <c r="B536" s="325"/>
      <c r="D536" s="333"/>
      <c r="E536" s="333"/>
      <c r="M536" s="184"/>
      <c r="N536" s="327"/>
    </row>
    <row r="537">
      <c r="A537" s="325"/>
      <c r="B537" s="325"/>
      <c r="D537" s="333"/>
      <c r="E537" s="333"/>
      <c r="M537" s="184"/>
      <c r="N537" s="327"/>
    </row>
    <row r="538">
      <c r="A538" s="325"/>
      <c r="B538" s="325"/>
      <c r="D538" s="333"/>
      <c r="E538" s="333"/>
      <c r="M538" s="184"/>
      <c r="N538" s="327"/>
    </row>
    <row r="539">
      <c r="A539" s="325"/>
      <c r="B539" s="325"/>
      <c r="D539" s="333"/>
      <c r="E539" s="333"/>
      <c r="M539" s="184"/>
      <c r="N539" s="327"/>
    </row>
    <row r="540">
      <c r="A540" s="325"/>
      <c r="B540" s="325"/>
      <c r="D540" s="333"/>
      <c r="E540" s="333"/>
      <c r="M540" s="184"/>
      <c r="N540" s="327"/>
    </row>
    <row r="541">
      <c r="A541" s="325"/>
      <c r="B541" s="325"/>
      <c r="D541" s="333"/>
      <c r="E541" s="333"/>
      <c r="M541" s="184"/>
      <c r="N541" s="327"/>
    </row>
    <row r="542">
      <c r="A542" s="325"/>
      <c r="B542" s="325"/>
      <c r="D542" s="333"/>
      <c r="E542" s="333"/>
      <c r="M542" s="184"/>
      <c r="N542" s="327"/>
    </row>
    <row r="543">
      <c r="A543" s="325"/>
      <c r="B543" s="325"/>
      <c r="D543" s="333"/>
      <c r="E543" s="333"/>
      <c r="M543" s="184"/>
      <c r="N543" s="327"/>
    </row>
    <row r="544">
      <c r="A544" s="325"/>
      <c r="B544" s="325"/>
      <c r="D544" s="333"/>
      <c r="E544" s="333"/>
      <c r="M544" s="184"/>
      <c r="N544" s="327"/>
    </row>
    <row r="545">
      <c r="A545" s="325"/>
      <c r="B545" s="325"/>
      <c r="D545" s="333"/>
      <c r="E545" s="333"/>
      <c r="M545" s="184"/>
      <c r="N545" s="327"/>
    </row>
    <row r="546">
      <c r="A546" s="325"/>
      <c r="B546" s="325"/>
      <c r="D546" s="333"/>
      <c r="E546" s="333"/>
      <c r="M546" s="184"/>
      <c r="N546" s="327"/>
    </row>
    <row r="547">
      <c r="A547" s="325"/>
      <c r="B547" s="325"/>
      <c r="D547" s="333"/>
      <c r="E547" s="333"/>
      <c r="M547" s="184"/>
      <c r="N547" s="327"/>
    </row>
    <row r="548">
      <c r="A548" s="325"/>
      <c r="B548" s="325"/>
      <c r="D548" s="333"/>
      <c r="E548" s="333"/>
      <c r="M548" s="184"/>
      <c r="N548" s="327"/>
    </row>
    <row r="549">
      <c r="A549" s="325"/>
      <c r="B549" s="325"/>
      <c r="D549" s="333"/>
      <c r="E549" s="333"/>
      <c r="M549" s="184"/>
      <c r="N549" s="327"/>
    </row>
    <row r="550">
      <c r="A550" s="325"/>
      <c r="B550" s="325"/>
      <c r="D550" s="333"/>
      <c r="E550" s="333"/>
      <c r="M550" s="184"/>
      <c r="N550" s="327"/>
    </row>
    <row r="551">
      <c r="A551" s="325"/>
      <c r="B551" s="325"/>
      <c r="D551" s="333"/>
      <c r="E551" s="333"/>
      <c r="M551" s="184"/>
      <c r="N551" s="327"/>
    </row>
    <row r="552">
      <c r="A552" s="325"/>
      <c r="B552" s="325"/>
      <c r="D552" s="333"/>
      <c r="E552" s="333"/>
      <c r="M552" s="184"/>
      <c r="N552" s="327"/>
    </row>
    <row r="553">
      <c r="A553" s="325"/>
      <c r="B553" s="325"/>
      <c r="D553" s="333"/>
      <c r="E553" s="333"/>
      <c r="M553" s="184"/>
      <c r="N553" s="327"/>
    </row>
    <row r="554">
      <c r="A554" s="325"/>
      <c r="B554" s="325"/>
      <c r="D554" s="333"/>
      <c r="E554" s="333"/>
      <c r="M554" s="184"/>
      <c r="N554" s="327"/>
    </row>
    <row r="555">
      <c r="A555" s="325"/>
      <c r="B555" s="325"/>
      <c r="D555" s="333"/>
      <c r="E555" s="333"/>
      <c r="M555" s="184"/>
      <c r="N555" s="327"/>
    </row>
    <row r="556">
      <c r="A556" s="325"/>
      <c r="B556" s="325"/>
      <c r="D556" s="333"/>
      <c r="E556" s="333"/>
      <c r="M556" s="184"/>
      <c r="N556" s="327"/>
    </row>
    <row r="557">
      <c r="A557" s="325"/>
      <c r="B557" s="325"/>
      <c r="D557" s="333"/>
      <c r="E557" s="333"/>
      <c r="M557" s="184"/>
      <c r="N557" s="327"/>
    </row>
    <row r="558">
      <c r="A558" s="325"/>
      <c r="B558" s="325"/>
      <c r="D558" s="333"/>
      <c r="E558" s="333"/>
      <c r="M558" s="184"/>
      <c r="N558" s="327"/>
    </row>
    <row r="559">
      <c r="A559" s="325"/>
      <c r="B559" s="325"/>
      <c r="D559" s="333"/>
      <c r="E559" s="333"/>
      <c r="M559" s="184"/>
      <c r="N559" s="327"/>
    </row>
    <row r="560">
      <c r="A560" s="325"/>
      <c r="B560" s="325"/>
      <c r="D560" s="333"/>
      <c r="E560" s="333"/>
      <c r="M560" s="184"/>
      <c r="N560" s="327"/>
    </row>
    <row r="561">
      <c r="A561" s="325"/>
      <c r="B561" s="325"/>
      <c r="D561" s="333"/>
      <c r="E561" s="333"/>
      <c r="M561" s="184"/>
      <c r="N561" s="327"/>
    </row>
    <row r="562">
      <c r="A562" s="325"/>
      <c r="B562" s="325"/>
      <c r="D562" s="333"/>
      <c r="E562" s="333"/>
      <c r="M562" s="184"/>
      <c r="N562" s="327"/>
    </row>
    <row r="563">
      <c r="A563" s="325"/>
      <c r="B563" s="325"/>
      <c r="D563" s="333"/>
      <c r="E563" s="333"/>
      <c r="M563" s="184"/>
      <c r="N563" s="327"/>
    </row>
    <row r="564">
      <c r="A564" s="325"/>
      <c r="B564" s="325"/>
      <c r="D564" s="333"/>
      <c r="E564" s="333"/>
      <c r="M564" s="184"/>
      <c r="N564" s="327"/>
    </row>
    <row r="565">
      <c r="A565" s="325"/>
      <c r="B565" s="325"/>
      <c r="D565" s="333"/>
      <c r="E565" s="333"/>
      <c r="M565" s="184"/>
      <c r="N565" s="327"/>
    </row>
    <row r="566">
      <c r="A566" s="325"/>
      <c r="B566" s="325"/>
      <c r="D566" s="333"/>
      <c r="E566" s="333"/>
      <c r="M566" s="184"/>
      <c r="N566" s="327"/>
    </row>
    <row r="567">
      <c r="A567" s="325"/>
      <c r="B567" s="325"/>
      <c r="D567" s="333"/>
      <c r="E567" s="333"/>
      <c r="M567" s="184"/>
      <c r="N567" s="327"/>
    </row>
    <row r="568">
      <c r="A568" s="325"/>
      <c r="B568" s="325"/>
      <c r="D568" s="333"/>
      <c r="E568" s="333"/>
      <c r="M568" s="184"/>
      <c r="N568" s="327"/>
    </row>
    <row r="569">
      <c r="A569" s="325"/>
      <c r="B569" s="325"/>
      <c r="D569" s="333"/>
      <c r="E569" s="333"/>
      <c r="M569" s="184"/>
      <c r="N569" s="327"/>
    </row>
    <row r="570">
      <c r="A570" s="325"/>
      <c r="B570" s="325"/>
      <c r="D570" s="333"/>
      <c r="E570" s="333"/>
      <c r="M570" s="184"/>
      <c r="N570" s="327"/>
    </row>
    <row r="571">
      <c r="A571" s="325"/>
      <c r="B571" s="325"/>
      <c r="D571" s="333"/>
      <c r="E571" s="333"/>
      <c r="M571" s="184"/>
      <c r="N571" s="327"/>
    </row>
    <row r="572">
      <c r="A572" s="325"/>
      <c r="B572" s="325"/>
      <c r="D572" s="333"/>
      <c r="E572" s="333"/>
      <c r="M572" s="184"/>
      <c r="N572" s="327"/>
    </row>
    <row r="573">
      <c r="A573" s="325"/>
      <c r="B573" s="325"/>
      <c r="D573" s="333"/>
      <c r="E573" s="333"/>
      <c r="M573" s="184"/>
      <c r="N573" s="327"/>
    </row>
    <row r="574">
      <c r="A574" s="325"/>
      <c r="B574" s="325"/>
      <c r="D574" s="333"/>
      <c r="E574" s="333"/>
      <c r="M574" s="184"/>
      <c r="N574" s="327"/>
    </row>
    <row r="575">
      <c r="A575" s="325"/>
      <c r="B575" s="325"/>
      <c r="D575" s="333"/>
      <c r="E575" s="333"/>
      <c r="M575" s="184"/>
      <c r="N575" s="327"/>
    </row>
    <row r="576">
      <c r="A576" s="325"/>
      <c r="B576" s="325"/>
      <c r="D576" s="333"/>
      <c r="E576" s="333"/>
      <c r="M576" s="184"/>
      <c r="N576" s="327"/>
    </row>
    <row r="577">
      <c r="A577" s="325"/>
      <c r="B577" s="325"/>
      <c r="D577" s="333"/>
      <c r="E577" s="333"/>
      <c r="M577" s="184"/>
      <c r="N577" s="327"/>
    </row>
    <row r="578">
      <c r="A578" s="325"/>
      <c r="B578" s="325"/>
      <c r="D578" s="333"/>
      <c r="E578" s="333"/>
      <c r="M578" s="184"/>
      <c r="N578" s="327"/>
    </row>
    <row r="579">
      <c r="A579" s="325"/>
      <c r="B579" s="325"/>
      <c r="D579" s="333"/>
      <c r="E579" s="333"/>
      <c r="M579" s="184"/>
      <c r="N579" s="327"/>
    </row>
    <row r="580">
      <c r="A580" s="325"/>
      <c r="B580" s="325"/>
      <c r="D580" s="333"/>
      <c r="E580" s="333"/>
      <c r="M580" s="184"/>
      <c r="N580" s="327"/>
    </row>
    <row r="581">
      <c r="A581" s="325"/>
      <c r="B581" s="325"/>
      <c r="D581" s="333"/>
      <c r="E581" s="333"/>
      <c r="M581" s="184"/>
      <c r="N581" s="327"/>
    </row>
    <row r="582">
      <c r="A582" s="325"/>
      <c r="B582" s="325"/>
      <c r="D582" s="333"/>
      <c r="E582" s="333"/>
      <c r="M582" s="184"/>
      <c r="N582" s="327"/>
    </row>
    <row r="583">
      <c r="A583" s="325"/>
      <c r="B583" s="325"/>
      <c r="D583" s="333"/>
      <c r="E583" s="333"/>
      <c r="M583" s="184"/>
      <c r="N583" s="327"/>
    </row>
    <row r="584">
      <c r="A584" s="325"/>
      <c r="B584" s="325"/>
      <c r="D584" s="333"/>
      <c r="E584" s="333"/>
      <c r="M584" s="184"/>
      <c r="N584" s="327"/>
    </row>
    <row r="585">
      <c r="A585" s="325"/>
      <c r="B585" s="325"/>
      <c r="D585" s="333"/>
      <c r="E585" s="333"/>
      <c r="M585" s="184"/>
      <c r="N585" s="327"/>
    </row>
    <row r="586">
      <c r="A586" s="325"/>
      <c r="B586" s="325"/>
      <c r="D586" s="333"/>
      <c r="E586" s="333"/>
      <c r="M586" s="184"/>
      <c r="N586" s="327"/>
    </row>
    <row r="587">
      <c r="A587" s="325"/>
      <c r="B587" s="325"/>
      <c r="D587" s="333"/>
      <c r="E587" s="333"/>
      <c r="M587" s="184"/>
      <c r="N587" s="327"/>
    </row>
    <row r="588">
      <c r="A588" s="325"/>
      <c r="B588" s="325"/>
      <c r="D588" s="333"/>
      <c r="E588" s="333"/>
      <c r="M588" s="184"/>
      <c r="N588" s="327"/>
    </row>
    <row r="589">
      <c r="A589" s="325"/>
      <c r="B589" s="325"/>
      <c r="D589" s="333"/>
      <c r="E589" s="333"/>
      <c r="M589" s="184"/>
      <c r="N589" s="327"/>
    </row>
    <row r="590">
      <c r="A590" s="325"/>
      <c r="B590" s="325"/>
      <c r="D590" s="333"/>
      <c r="E590" s="333"/>
      <c r="M590" s="184"/>
      <c r="N590" s="327"/>
    </row>
    <row r="591">
      <c r="A591" s="325"/>
      <c r="B591" s="325"/>
      <c r="D591" s="333"/>
      <c r="E591" s="333"/>
      <c r="M591" s="184"/>
      <c r="N591" s="327"/>
    </row>
    <row r="592">
      <c r="A592" s="325"/>
      <c r="B592" s="325"/>
      <c r="D592" s="333"/>
      <c r="E592" s="333"/>
      <c r="M592" s="184"/>
      <c r="N592" s="327"/>
    </row>
    <row r="593">
      <c r="A593" s="325"/>
      <c r="B593" s="325"/>
      <c r="D593" s="333"/>
      <c r="E593" s="333"/>
      <c r="M593" s="184"/>
      <c r="N593" s="327"/>
    </row>
    <row r="594">
      <c r="A594" s="325"/>
      <c r="B594" s="325"/>
      <c r="D594" s="333"/>
      <c r="E594" s="333"/>
      <c r="M594" s="184"/>
      <c r="N594" s="327"/>
    </row>
    <row r="595">
      <c r="A595" s="325"/>
      <c r="B595" s="325"/>
      <c r="D595" s="333"/>
      <c r="E595" s="333"/>
      <c r="M595" s="184"/>
      <c r="N595" s="327"/>
    </row>
    <row r="596">
      <c r="A596" s="325"/>
      <c r="B596" s="325"/>
      <c r="D596" s="333"/>
      <c r="E596" s="333"/>
      <c r="M596" s="184"/>
      <c r="N596" s="327"/>
    </row>
    <row r="597">
      <c r="A597" s="325"/>
      <c r="B597" s="325"/>
      <c r="D597" s="333"/>
      <c r="E597" s="333"/>
      <c r="M597" s="184"/>
      <c r="N597" s="327"/>
    </row>
    <row r="598">
      <c r="A598" s="325"/>
      <c r="B598" s="325"/>
      <c r="D598" s="333"/>
      <c r="E598" s="333"/>
      <c r="M598" s="184"/>
      <c r="N598" s="327"/>
    </row>
    <row r="599">
      <c r="A599" s="325"/>
      <c r="B599" s="325"/>
      <c r="D599" s="333"/>
      <c r="E599" s="333"/>
      <c r="M599" s="184"/>
      <c r="N599" s="327"/>
    </row>
    <row r="600">
      <c r="A600" s="325"/>
      <c r="B600" s="325"/>
      <c r="D600" s="333"/>
      <c r="E600" s="333"/>
      <c r="M600" s="184"/>
      <c r="N600" s="327"/>
    </row>
    <row r="601">
      <c r="A601" s="325"/>
      <c r="B601" s="325"/>
      <c r="D601" s="333"/>
      <c r="E601" s="333"/>
      <c r="M601" s="184"/>
      <c r="N601" s="327"/>
    </row>
    <row r="602">
      <c r="A602" s="325"/>
      <c r="B602" s="325"/>
      <c r="D602" s="333"/>
      <c r="E602" s="333"/>
      <c r="M602" s="184"/>
      <c r="N602" s="327"/>
    </row>
    <row r="603">
      <c r="A603" s="325"/>
      <c r="B603" s="325"/>
      <c r="D603" s="333"/>
      <c r="E603" s="333"/>
      <c r="M603" s="184"/>
      <c r="N603" s="327"/>
    </row>
    <row r="604">
      <c r="A604" s="325"/>
      <c r="B604" s="325"/>
      <c r="D604" s="333"/>
      <c r="E604" s="333"/>
      <c r="M604" s="184"/>
      <c r="N604" s="327"/>
    </row>
    <row r="605">
      <c r="A605" s="325"/>
      <c r="B605" s="325"/>
      <c r="D605" s="333"/>
      <c r="E605" s="333"/>
      <c r="M605" s="184"/>
      <c r="N605" s="327"/>
    </row>
    <row r="606">
      <c r="A606" s="325"/>
      <c r="B606" s="325"/>
      <c r="D606" s="333"/>
      <c r="E606" s="333"/>
      <c r="M606" s="184"/>
      <c r="N606" s="327"/>
    </row>
    <row r="607">
      <c r="A607" s="325"/>
      <c r="B607" s="325"/>
      <c r="D607" s="333"/>
      <c r="E607" s="333"/>
      <c r="M607" s="184"/>
      <c r="N607" s="327"/>
    </row>
    <row r="608">
      <c r="A608" s="325"/>
      <c r="B608" s="325"/>
      <c r="D608" s="333"/>
      <c r="E608" s="333"/>
      <c r="M608" s="184"/>
      <c r="N608" s="327"/>
    </row>
    <row r="609">
      <c r="A609" s="325"/>
      <c r="B609" s="325"/>
      <c r="D609" s="333"/>
      <c r="E609" s="333"/>
      <c r="M609" s="184"/>
      <c r="N609" s="327"/>
    </row>
    <row r="610">
      <c r="A610" s="325"/>
      <c r="B610" s="325"/>
      <c r="D610" s="333"/>
      <c r="E610" s="333"/>
      <c r="M610" s="184"/>
      <c r="N610" s="327"/>
    </row>
    <row r="611">
      <c r="A611" s="325"/>
      <c r="B611" s="325"/>
      <c r="D611" s="333"/>
      <c r="E611" s="333"/>
      <c r="M611" s="184"/>
      <c r="N611" s="327"/>
    </row>
    <row r="612">
      <c r="A612" s="325"/>
      <c r="B612" s="325"/>
      <c r="D612" s="333"/>
      <c r="E612" s="333"/>
      <c r="M612" s="184"/>
      <c r="N612" s="327"/>
    </row>
    <row r="613">
      <c r="A613" s="325"/>
      <c r="B613" s="325"/>
      <c r="D613" s="333"/>
      <c r="E613" s="333"/>
      <c r="M613" s="184"/>
      <c r="N613" s="327"/>
    </row>
    <row r="614">
      <c r="A614" s="325"/>
      <c r="B614" s="325"/>
      <c r="D614" s="333"/>
      <c r="E614" s="333"/>
      <c r="M614" s="184"/>
      <c r="N614" s="327"/>
    </row>
    <row r="615">
      <c r="A615" s="325"/>
      <c r="B615" s="325"/>
      <c r="D615" s="333"/>
      <c r="E615" s="333"/>
      <c r="M615" s="184"/>
      <c r="N615" s="327"/>
    </row>
    <row r="616">
      <c r="A616" s="325"/>
      <c r="B616" s="325"/>
      <c r="D616" s="333"/>
      <c r="E616" s="333"/>
      <c r="M616" s="184"/>
      <c r="N616" s="327"/>
    </row>
    <row r="617">
      <c r="A617" s="325"/>
      <c r="B617" s="325"/>
      <c r="D617" s="333"/>
      <c r="E617" s="333"/>
      <c r="M617" s="184"/>
      <c r="N617" s="327"/>
    </row>
    <row r="618">
      <c r="A618" s="325"/>
      <c r="B618" s="325"/>
      <c r="D618" s="333"/>
      <c r="E618" s="333"/>
      <c r="M618" s="184"/>
      <c r="N618" s="327"/>
    </row>
    <row r="619">
      <c r="A619" s="325"/>
      <c r="B619" s="325"/>
      <c r="D619" s="333"/>
      <c r="E619" s="333"/>
      <c r="M619" s="184"/>
      <c r="N619" s="327"/>
    </row>
    <row r="620">
      <c r="A620" s="325"/>
      <c r="B620" s="325"/>
      <c r="D620" s="333"/>
      <c r="E620" s="333"/>
      <c r="M620" s="184"/>
      <c r="N620" s="327"/>
    </row>
    <row r="621">
      <c r="A621" s="325"/>
      <c r="B621" s="325"/>
      <c r="D621" s="333"/>
      <c r="E621" s="333"/>
      <c r="M621" s="184"/>
      <c r="N621" s="327"/>
    </row>
    <row r="622">
      <c r="A622" s="325"/>
      <c r="B622" s="325"/>
      <c r="D622" s="333"/>
      <c r="E622" s="333"/>
      <c r="M622" s="184"/>
      <c r="N622" s="327"/>
    </row>
    <row r="623">
      <c r="A623" s="325"/>
      <c r="B623" s="325"/>
      <c r="D623" s="333"/>
      <c r="E623" s="333"/>
      <c r="M623" s="184"/>
      <c r="N623" s="327"/>
    </row>
    <row r="624">
      <c r="A624" s="325"/>
      <c r="B624" s="325"/>
      <c r="D624" s="333"/>
      <c r="E624" s="333"/>
      <c r="M624" s="184"/>
      <c r="N624" s="327"/>
    </row>
    <row r="625">
      <c r="A625" s="325"/>
      <c r="B625" s="325"/>
      <c r="D625" s="333"/>
      <c r="E625" s="333"/>
      <c r="M625" s="184"/>
      <c r="N625" s="327"/>
    </row>
    <row r="626">
      <c r="A626" s="325"/>
      <c r="B626" s="325"/>
      <c r="D626" s="333"/>
      <c r="E626" s="333"/>
      <c r="M626" s="184"/>
      <c r="N626" s="327"/>
    </row>
    <row r="627">
      <c r="A627" s="325"/>
      <c r="B627" s="325"/>
      <c r="D627" s="333"/>
      <c r="E627" s="333"/>
      <c r="M627" s="184"/>
      <c r="N627" s="327"/>
    </row>
    <row r="628">
      <c r="A628" s="325"/>
      <c r="B628" s="325"/>
      <c r="D628" s="333"/>
      <c r="E628" s="333"/>
      <c r="M628" s="184"/>
      <c r="N628" s="327"/>
    </row>
    <row r="629">
      <c r="A629" s="325"/>
      <c r="B629" s="325"/>
      <c r="D629" s="333"/>
      <c r="E629" s="333"/>
      <c r="M629" s="184"/>
      <c r="N629" s="327"/>
    </row>
    <row r="630">
      <c r="A630" s="325"/>
      <c r="B630" s="325"/>
      <c r="D630" s="333"/>
      <c r="E630" s="333"/>
      <c r="M630" s="184"/>
      <c r="N630" s="327"/>
    </row>
    <row r="631">
      <c r="A631" s="325"/>
      <c r="B631" s="325"/>
      <c r="D631" s="333"/>
      <c r="E631" s="333"/>
      <c r="M631" s="184"/>
      <c r="N631" s="327"/>
    </row>
    <row r="632">
      <c r="A632" s="325"/>
      <c r="B632" s="325"/>
      <c r="D632" s="333"/>
      <c r="E632" s="333"/>
      <c r="M632" s="184"/>
      <c r="N632" s="327"/>
    </row>
    <row r="633">
      <c r="A633" s="325"/>
      <c r="B633" s="325"/>
      <c r="D633" s="333"/>
      <c r="E633" s="333"/>
      <c r="M633" s="184"/>
      <c r="N633" s="327"/>
    </row>
    <row r="634">
      <c r="A634" s="325"/>
      <c r="B634" s="325"/>
      <c r="D634" s="333"/>
      <c r="E634" s="333"/>
      <c r="M634" s="184"/>
      <c r="N634" s="327"/>
    </row>
    <row r="635">
      <c r="A635" s="325"/>
      <c r="B635" s="325"/>
      <c r="D635" s="333"/>
      <c r="E635" s="333"/>
      <c r="M635" s="184"/>
      <c r="N635" s="327"/>
    </row>
    <row r="636">
      <c r="A636" s="325"/>
      <c r="B636" s="325"/>
      <c r="D636" s="333"/>
      <c r="E636" s="333"/>
      <c r="M636" s="184"/>
      <c r="N636" s="327"/>
    </row>
    <row r="637">
      <c r="A637" s="325"/>
      <c r="B637" s="325"/>
      <c r="D637" s="333"/>
      <c r="E637" s="333"/>
      <c r="M637" s="184"/>
      <c r="N637" s="327"/>
    </row>
    <row r="638">
      <c r="A638" s="325"/>
      <c r="B638" s="325"/>
      <c r="D638" s="333"/>
      <c r="E638" s="333"/>
      <c r="M638" s="184"/>
      <c r="N638" s="327"/>
    </row>
    <row r="639">
      <c r="A639" s="325"/>
      <c r="B639" s="325"/>
      <c r="D639" s="333"/>
      <c r="E639" s="333"/>
      <c r="M639" s="184"/>
      <c r="N639" s="327"/>
    </row>
    <row r="640">
      <c r="A640" s="325"/>
      <c r="B640" s="325"/>
      <c r="D640" s="333"/>
      <c r="E640" s="333"/>
      <c r="M640" s="184"/>
      <c r="N640" s="327"/>
    </row>
    <row r="641">
      <c r="A641" s="325"/>
      <c r="B641" s="325"/>
      <c r="D641" s="333"/>
      <c r="E641" s="333"/>
      <c r="M641" s="184"/>
      <c r="N641" s="327"/>
    </row>
    <row r="642">
      <c r="A642" s="325"/>
      <c r="B642" s="325"/>
      <c r="D642" s="333"/>
      <c r="E642" s="333"/>
      <c r="M642" s="184"/>
      <c r="N642" s="327"/>
    </row>
    <row r="643">
      <c r="A643" s="325"/>
      <c r="B643" s="325"/>
      <c r="D643" s="333"/>
      <c r="E643" s="333"/>
      <c r="M643" s="184"/>
      <c r="N643" s="327"/>
    </row>
    <row r="644">
      <c r="A644" s="325"/>
      <c r="B644" s="325"/>
      <c r="D644" s="333"/>
      <c r="E644" s="333"/>
      <c r="M644" s="184"/>
      <c r="N644" s="327"/>
    </row>
    <row r="645">
      <c r="A645" s="325"/>
      <c r="B645" s="325"/>
      <c r="D645" s="333"/>
      <c r="E645" s="333"/>
      <c r="M645" s="184"/>
      <c r="N645" s="327"/>
    </row>
    <row r="646">
      <c r="A646" s="325"/>
      <c r="B646" s="325"/>
      <c r="D646" s="333"/>
      <c r="E646" s="333"/>
      <c r="M646" s="184"/>
      <c r="N646" s="327"/>
    </row>
    <row r="647">
      <c r="A647" s="325"/>
      <c r="B647" s="325"/>
      <c r="D647" s="333"/>
      <c r="E647" s="333"/>
      <c r="M647" s="184"/>
      <c r="N647" s="327"/>
    </row>
    <row r="648">
      <c r="A648" s="325"/>
      <c r="B648" s="325"/>
      <c r="D648" s="333"/>
      <c r="E648" s="333"/>
      <c r="M648" s="184"/>
      <c r="N648" s="327"/>
    </row>
    <row r="649">
      <c r="A649" s="325"/>
      <c r="B649" s="325"/>
      <c r="D649" s="333"/>
      <c r="E649" s="333"/>
      <c r="M649" s="184"/>
      <c r="N649" s="327"/>
    </row>
    <row r="650">
      <c r="A650" s="325"/>
      <c r="B650" s="325"/>
      <c r="D650" s="333"/>
      <c r="E650" s="333"/>
      <c r="M650" s="184"/>
      <c r="N650" s="327"/>
    </row>
    <row r="651">
      <c r="A651" s="325"/>
      <c r="B651" s="325"/>
      <c r="D651" s="333"/>
      <c r="E651" s="333"/>
      <c r="M651" s="184"/>
      <c r="N651" s="327"/>
    </row>
    <row r="652">
      <c r="A652" s="325"/>
      <c r="B652" s="325"/>
      <c r="D652" s="333"/>
      <c r="E652" s="333"/>
      <c r="M652" s="184"/>
      <c r="N652" s="327"/>
    </row>
    <row r="653">
      <c r="A653" s="325"/>
      <c r="B653" s="325"/>
      <c r="D653" s="333"/>
      <c r="E653" s="333"/>
      <c r="M653" s="184"/>
      <c r="N653" s="327"/>
    </row>
    <row r="654">
      <c r="A654" s="325"/>
      <c r="B654" s="325"/>
      <c r="D654" s="333"/>
      <c r="E654" s="333"/>
      <c r="M654" s="184"/>
      <c r="N654" s="327"/>
    </row>
    <row r="655">
      <c r="A655" s="325"/>
      <c r="B655" s="325"/>
      <c r="D655" s="333"/>
      <c r="E655" s="333"/>
      <c r="M655" s="184"/>
      <c r="N655" s="327"/>
    </row>
    <row r="656">
      <c r="A656" s="325"/>
      <c r="B656" s="325"/>
      <c r="D656" s="333"/>
      <c r="E656" s="333"/>
      <c r="M656" s="184"/>
      <c r="N656" s="327"/>
    </row>
    <row r="657">
      <c r="A657" s="325"/>
      <c r="B657" s="325"/>
      <c r="D657" s="333"/>
      <c r="E657" s="333"/>
      <c r="M657" s="184"/>
      <c r="N657" s="327"/>
    </row>
    <row r="658">
      <c r="A658" s="325"/>
      <c r="B658" s="325"/>
      <c r="D658" s="333"/>
      <c r="E658" s="333"/>
      <c r="M658" s="184"/>
      <c r="N658" s="327"/>
    </row>
    <row r="659">
      <c r="A659" s="325"/>
      <c r="B659" s="325"/>
      <c r="D659" s="333"/>
      <c r="E659" s="333"/>
      <c r="M659" s="184"/>
      <c r="N659" s="327"/>
    </row>
    <row r="660">
      <c r="A660" s="325"/>
      <c r="B660" s="325"/>
      <c r="D660" s="333"/>
      <c r="E660" s="333"/>
      <c r="M660" s="184"/>
      <c r="N660" s="327"/>
    </row>
    <row r="661">
      <c r="A661" s="325"/>
      <c r="B661" s="325"/>
      <c r="D661" s="333"/>
      <c r="E661" s="333"/>
      <c r="M661" s="184"/>
      <c r="N661" s="327"/>
    </row>
    <row r="662">
      <c r="A662" s="325"/>
      <c r="B662" s="325"/>
      <c r="D662" s="333"/>
      <c r="E662" s="333"/>
      <c r="M662" s="184"/>
      <c r="N662" s="327"/>
    </row>
    <row r="663">
      <c r="A663" s="325"/>
      <c r="B663" s="325"/>
      <c r="D663" s="333"/>
      <c r="E663" s="333"/>
      <c r="M663" s="184"/>
      <c r="N663" s="327"/>
    </row>
    <row r="664">
      <c r="A664" s="325"/>
      <c r="B664" s="325"/>
      <c r="D664" s="333"/>
      <c r="E664" s="333"/>
      <c r="M664" s="184"/>
      <c r="N664" s="327"/>
    </row>
    <row r="665">
      <c r="A665" s="325"/>
      <c r="B665" s="325"/>
      <c r="D665" s="333"/>
      <c r="E665" s="333"/>
      <c r="M665" s="184"/>
      <c r="N665" s="327"/>
    </row>
    <row r="666">
      <c r="A666" s="325"/>
      <c r="B666" s="325"/>
      <c r="D666" s="333"/>
      <c r="E666" s="333"/>
      <c r="M666" s="184"/>
      <c r="N666" s="327"/>
    </row>
    <row r="667">
      <c r="A667" s="325"/>
      <c r="B667" s="325"/>
      <c r="D667" s="333"/>
      <c r="E667" s="333"/>
      <c r="M667" s="184"/>
      <c r="N667" s="327"/>
    </row>
    <row r="668">
      <c r="A668" s="325"/>
      <c r="B668" s="325"/>
      <c r="D668" s="333"/>
      <c r="E668" s="333"/>
      <c r="M668" s="184"/>
      <c r="N668" s="327"/>
    </row>
    <row r="669">
      <c r="A669" s="325"/>
      <c r="B669" s="325"/>
      <c r="D669" s="333"/>
      <c r="E669" s="333"/>
      <c r="M669" s="184"/>
      <c r="N669" s="327"/>
    </row>
    <row r="670">
      <c r="A670" s="325"/>
      <c r="B670" s="325"/>
      <c r="D670" s="333"/>
      <c r="E670" s="333"/>
      <c r="M670" s="184"/>
      <c r="N670" s="327"/>
    </row>
    <row r="671">
      <c r="A671" s="325"/>
      <c r="B671" s="325"/>
      <c r="D671" s="333"/>
      <c r="E671" s="333"/>
      <c r="M671" s="184"/>
      <c r="N671" s="327"/>
    </row>
    <row r="672">
      <c r="A672" s="325"/>
      <c r="B672" s="325"/>
      <c r="D672" s="333"/>
      <c r="E672" s="333"/>
      <c r="M672" s="184"/>
      <c r="N672" s="327"/>
    </row>
    <row r="673">
      <c r="A673" s="325"/>
      <c r="B673" s="325"/>
      <c r="D673" s="333"/>
      <c r="E673" s="333"/>
      <c r="M673" s="184"/>
      <c r="N673" s="327"/>
    </row>
    <row r="674">
      <c r="A674" s="325"/>
      <c r="B674" s="325"/>
      <c r="D674" s="333"/>
      <c r="E674" s="333"/>
      <c r="M674" s="184"/>
      <c r="N674" s="327"/>
    </row>
    <row r="675">
      <c r="A675" s="325"/>
      <c r="B675" s="325"/>
      <c r="D675" s="333"/>
      <c r="E675" s="333"/>
      <c r="M675" s="184"/>
      <c r="N675" s="327"/>
    </row>
    <row r="676">
      <c r="A676" s="325"/>
      <c r="B676" s="325"/>
      <c r="D676" s="333"/>
      <c r="E676" s="333"/>
      <c r="M676" s="184"/>
      <c r="N676" s="327"/>
    </row>
    <row r="677">
      <c r="A677" s="325"/>
      <c r="B677" s="325"/>
      <c r="D677" s="333"/>
      <c r="E677" s="333"/>
      <c r="M677" s="184"/>
      <c r="N677" s="327"/>
    </row>
    <row r="678">
      <c r="A678" s="325"/>
      <c r="B678" s="325"/>
      <c r="D678" s="333"/>
      <c r="E678" s="333"/>
      <c r="M678" s="184"/>
      <c r="N678" s="327"/>
    </row>
    <row r="679">
      <c r="A679" s="325"/>
      <c r="B679" s="325"/>
      <c r="D679" s="333"/>
      <c r="E679" s="333"/>
      <c r="M679" s="184"/>
      <c r="N679" s="327"/>
    </row>
    <row r="680">
      <c r="A680" s="325"/>
      <c r="B680" s="325"/>
      <c r="D680" s="333"/>
      <c r="E680" s="333"/>
      <c r="M680" s="184"/>
      <c r="N680" s="327"/>
    </row>
    <row r="681">
      <c r="A681" s="325"/>
      <c r="B681" s="325"/>
      <c r="D681" s="333"/>
      <c r="E681" s="333"/>
      <c r="M681" s="184"/>
      <c r="N681" s="327"/>
    </row>
    <row r="682">
      <c r="A682" s="325"/>
      <c r="B682" s="325"/>
      <c r="D682" s="333"/>
      <c r="E682" s="333"/>
      <c r="M682" s="184"/>
      <c r="N682" s="327"/>
    </row>
    <row r="683">
      <c r="A683" s="325"/>
      <c r="B683" s="325"/>
      <c r="D683" s="333"/>
      <c r="E683" s="333"/>
      <c r="M683" s="184"/>
      <c r="N683" s="327"/>
    </row>
    <row r="684">
      <c r="A684" s="325"/>
      <c r="B684" s="325"/>
      <c r="D684" s="333"/>
      <c r="E684" s="333"/>
      <c r="M684" s="184"/>
      <c r="N684" s="327"/>
    </row>
    <row r="685">
      <c r="A685" s="325"/>
      <c r="B685" s="325"/>
      <c r="D685" s="333"/>
      <c r="E685" s="333"/>
      <c r="M685" s="184"/>
      <c r="N685" s="327"/>
    </row>
    <row r="686">
      <c r="A686" s="325"/>
      <c r="B686" s="325"/>
      <c r="D686" s="333"/>
      <c r="E686" s="333"/>
      <c r="M686" s="184"/>
      <c r="N686" s="327"/>
    </row>
    <row r="687">
      <c r="A687" s="325"/>
      <c r="B687" s="325"/>
      <c r="D687" s="333"/>
      <c r="E687" s="333"/>
      <c r="M687" s="184"/>
      <c r="N687" s="327"/>
    </row>
    <row r="688">
      <c r="A688" s="325"/>
      <c r="B688" s="325"/>
      <c r="D688" s="333"/>
      <c r="E688" s="333"/>
      <c r="M688" s="184"/>
      <c r="N688" s="327"/>
    </row>
    <row r="689">
      <c r="A689" s="325"/>
      <c r="B689" s="325"/>
      <c r="D689" s="333"/>
      <c r="E689" s="333"/>
      <c r="M689" s="184"/>
      <c r="N689" s="327"/>
    </row>
    <row r="690">
      <c r="A690" s="325"/>
      <c r="B690" s="325"/>
      <c r="D690" s="333"/>
      <c r="E690" s="333"/>
      <c r="M690" s="184"/>
      <c r="N690" s="327"/>
    </row>
    <row r="691">
      <c r="A691" s="325"/>
      <c r="B691" s="325"/>
      <c r="D691" s="333"/>
      <c r="E691" s="333"/>
      <c r="M691" s="184"/>
      <c r="N691" s="327"/>
    </row>
    <row r="692">
      <c r="A692" s="325"/>
      <c r="B692" s="325"/>
      <c r="D692" s="333"/>
      <c r="E692" s="333"/>
      <c r="M692" s="184"/>
      <c r="N692" s="327"/>
    </row>
    <row r="693">
      <c r="A693" s="325"/>
      <c r="B693" s="325"/>
      <c r="D693" s="333"/>
      <c r="E693" s="333"/>
      <c r="M693" s="184"/>
      <c r="N693" s="327"/>
    </row>
    <row r="694">
      <c r="A694" s="325"/>
      <c r="B694" s="325"/>
      <c r="D694" s="333"/>
      <c r="E694" s="333"/>
      <c r="M694" s="184"/>
      <c r="N694" s="327"/>
    </row>
    <row r="695">
      <c r="A695" s="325"/>
      <c r="B695" s="325"/>
      <c r="D695" s="333"/>
      <c r="E695" s="333"/>
      <c r="M695" s="184"/>
      <c r="N695" s="327"/>
    </row>
    <row r="696">
      <c r="A696" s="325"/>
      <c r="B696" s="325"/>
      <c r="D696" s="333"/>
      <c r="E696" s="333"/>
      <c r="M696" s="184"/>
      <c r="N696" s="327"/>
    </row>
    <row r="697">
      <c r="A697" s="325"/>
      <c r="B697" s="325"/>
      <c r="D697" s="333"/>
      <c r="E697" s="333"/>
      <c r="M697" s="184"/>
      <c r="N697" s="327"/>
    </row>
    <row r="698">
      <c r="A698" s="325"/>
      <c r="B698" s="325"/>
      <c r="D698" s="333"/>
      <c r="E698" s="333"/>
      <c r="M698" s="184"/>
      <c r="N698" s="327"/>
    </row>
    <row r="699">
      <c r="A699" s="325"/>
      <c r="B699" s="325"/>
      <c r="D699" s="333"/>
      <c r="E699" s="333"/>
      <c r="M699" s="184"/>
      <c r="N699" s="327"/>
    </row>
    <row r="700">
      <c r="A700" s="325"/>
      <c r="B700" s="325"/>
      <c r="D700" s="333"/>
      <c r="E700" s="333"/>
      <c r="M700" s="184"/>
      <c r="N700" s="327"/>
    </row>
    <row r="701">
      <c r="A701" s="325"/>
      <c r="B701" s="325"/>
      <c r="D701" s="333"/>
      <c r="E701" s="333"/>
      <c r="M701" s="184"/>
      <c r="N701" s="327"/>
    </row>
    <row r="702">
      <c r="A702" s="325"/>
      <c r="B702" s="325"/>
      <c r="D702" s="333"/>
      <c r="E702" s="333"/>
      <c r="M702" s="184"/>
      <c r="N702" s="327"/>
    </row>
    <row r="703">
      <c r="A703" s="325"/>
      <c r="B703" s="325"/>
      <c r="D703" s="333"/>
      <c r="E703" s="333"/>
      <c r="M703" s="184"/>
      <c r="N703" s="327"/>
    </row>
    <row r="704">
      <c r="A704" s="325"/>
      <c r="B704" s="325"/>
      <c r="D704" s="333"/>
      <c r="E704" s="333"/>
      <c r="M704" s="184"/>
      <c r="N704" s="327"/>
    </row>
    <row r="705">
      <c r="A705" s="325"/>
      <c r="B705" s="325"/>
      <c r="D705" s="333"/>
      <c r="E705" s="333"/>
      <c r="M705" s="184"/>
      <c r="N705" s="327"/>
    </row>
    <row r="706">
      <c r="A706" s="325"/>
      <c r="B706" s="325"/>
      <c r="D706" s="333"/>
      <c r="E706" s="333"/>
      <c r="M706" s="184"/>
      <c r="N706" s="327"/>
    </row>
    <row r="707">
      <c r="A707" s="325"/>
      <c r="B707" s="325"/>
      <c r="D707" s="333"/>
      <c r="E707" s="333"/>
      <c r="M707" s="184"/>
      <c r="N707" s="327"/>
    </row>
    <row r="708">
      <c r="A708" s="325"/>
      <c r="B708" s="325"/>
      <c r="D708" s="333"/>
      <c r="E708" s="333"/>
      <c r="M708" s="184"/>
      <c r="N708" s="327"/>
    </row>
    <row r="709">
      <c r="A709" s="325"/>
      <c r="B709" s="325"/>
      <c r="D709" s="333"/>
      <c r="E709" s="333"/>
      <c r="M709" s="184"/>
      <c r="N709" s="327"/>
    </row>
    <row r="710">
      <c r="A710" s="325"/>
      <c r="B710" s="325"/>
      <c r="D710" s="333"/>
      <c r="E710" s="333"/>
      <c r="M710" s="184"/>
      <c r="N710" s="327"/>
    </row>
    <row r="711">
      <c r="A711" s="325"/>
      <c r="B711" s="325"/>
      <c r="D711" s="333"/>
      <c r="E711" s="333"/>
      <c r="M711" s="184"/>
      <c r="N711" s="327"/>
    </row>
    <row r="712">
      <c r="A712" s="325"/>
      <c r="B712" s="325"/>
      <c r="D712" s="333"/>
      <c r="E712" s="333"/>
      <c r="M712" s="184"/>
      <c r="N712" s="327"/>
    </row>
    <row r="713">
      <c r="A713" s="325"/>
      <c r="B713" s="325"/>
      <c r="D713" s="333"/>
      <c r="E713" s="333"/>
      <c r="M713" s="184"/>
      <c r="N713" s="327"/>
    </row>
    <row r="714">
      <c r="A714" s="325"/>
      <c r="B714" s="325"/>
      <c r="D714" s="333"/>
      <c r="E714" s="333"/>
      <c r="M714" s="184"/>
      <c r="N714" s="327"/>
    </row>
    <row r="715">
      <c r="A715" s="325"/>
      <c r="B715" s="325"/>
      <c r="D715" s="333"/>
      <c r="E715" s="333"/>
      <c r="M715" s="184"/>
      <c r="N715" s="327"/>
    </row>
    <row r="716">
      <c r="A716" s="325"/>
      <c r="B716" s="325"/>
      <c r="D716" s="333"/>
      <c r="E716" s="333"/>
      <c r="M716" s="184"/>
      <c r="N716" s="327"/>
    </row>
    <row r="717">
      <c r="A717" s="325"/>
      <c r="B717" s="325"/>
      <c r="D717" s="333"/>
      <c r="E717" s="333"/>
      <c r="M717" s="184"/>
      <c r="N717" s="327"/>
    </row>
    <row r="718">
      <c r="A718" s="325"/>
      <c r="B718" s="325"/>
      <c r="D718" s="333"/>
      <c r="E718" s="333"/>
      <c r="M718" s="184"/>
      <c r="N718" s="327"/>
    </row>
    <row r="719">
      <c r="A719" s="325"/>
      <c r="B719" s="325"/>
      <c r="D719" s="333"/>
      <c r="E719" s="333"/>
      <c r="M719" s="184"/>
      <c r="N719" s="327"/>
    </row>
    <row r="720">
      <c r="A720" s="325"/>
      <c r="B720" s="325"/>
      <c r="D720" s="333"/>
      <c r="E720" s="333"/>
      <c r="M720" s="184"/>
      <c r="N720" s="327"/>
    </row>
    <row r="721">
      <c r="A721" s="325"/>
      <c r="B721" s="325"/>
      <c r="D721" s="333"/>
      <c r="E721" s="333"/>
      <c r="M721" s="184"/>
      <c r="N721" s="327"/>
    </row>
    <row r="722">
      <c r="A722" s="325"/>
      <c r="B722" s="325"/>
      <c r="D722" s="333"/>
      <c r="E722" s="333"/>
      <c r="M722" s="184"/>
      <c r="N722" s="327"/>
    </row>
    <row r="723">
      <c r="A723" s="325"/>
      <c r="B723" s="325"/>
      <c r="D723" s="333"/>
      <c r="E723" s="333"/>
      <c r="M723" s="184"/>
      <c r="N723" s="327"/>
    </row>
    <row r="724">
      <c r="A724" s="325"/>
      <c r="B724" s="325"/>
      <c r="D724" s="333"/>
      <c r="E724" s="333"/>
      <c r="M724" s="184"/>
      <c r="N724" s="327"/>
    </row>
    <row r="725">
      <c r="A725" s="325"/>
      <c r="B725" s="325"/>
      <c r="D725" s="333"/>
      <c r="E725" s="333"/>
      <c r="M725" s="184"/>
      <c r="N725" s="327"/>
    </row>
    <row r="726">
      <c r="A726" s="325"/>
      <c r="B726" s="325"/>
      <c r="D726" s="333"/>
      <c r="E726" s="333"/>
      <c r="M726" s="184"/>
      <c r="N726" s="327"/>
    </row>
    <row r="727">
      <c r="A727" s="325"/>
      <c r="B727" s="325"/>
      <c r="D727" s="333"/>
      <c r="E727" s="333"/>
      <c r="M727" s="184"/>
      <c r="N727" s="327"/>
    </row>
    <row r="728">
      <c r="A728" s="325"/>
      <c r="B728" s="325"/>
      <c r="D728" s="333"/>
      <c r="E728" s="333"/>
      <c r="M728" s="184"/>
      <c r="N728" s="327"/>
    </row>
    <row r="729">
      <c r="A729" s="325"/>
      <c r="B729" s="325"/>
      <c r="D729" s="333"/>
      <c r="E729" s="333"/>
      <c r="M729" s="184"/>
      <c r="N729" s="327"/>
    </row>
    <row r="730">
      <c r="A730" s="325"/>
      <c r="B730" s="325"/>
      <c r="D730" s="333"/>
      <c r="E730" s="333"/>
      <c r="M730" s="184"/>
      <c r="N730" s="327"/>
    </row>
    <row r="731">
      <c r="A731" s="325"/>
      <c r="B731" s="325"/>
      <c r="D731" s="333"/>
      <c r="E731" s="333"/>
      <c r="M731" s="184"/>
      <c r="N731" s="327"/>
    </row>
    <row r="732">
      <c r="A732" s="325"/>
      <c r="B732" s="325"/>
      <c r="D732" s="333"/>
      <c r="E732" s="333"/>
      <c r="M732" s="184"/>
      <c r="N732" s="327"/>
    </row>
    <row r="733">
      <c r="A733" s="325"/>
      <c r="B733" s="325"/>
      <c r="D733" s="333"/>
      <c r="E733" s="333"/>
      <c r="M733" s="184"/>
      <c r="N733" s="327"/>
    </row>
    <row r="734">
      <c r="A734" s="325"/>
      <c r="B734" s="325"/>
      <c r="D734" s="333"/>
      <c r="E734" s="333"/>
      <c r="M734" s="184"/>
      <c r="N734" s="327"/>
    </row>
    <row r="735">
      <c r="A735" s="325"/>
      <c r="B735" s="325"/>
      <c r="D735" s="333"/>
      <c r="E735" s="333"/>
      <c r="M735" s="184"/>
      <c r="N735" s="327"/>
    </row>
    <row r="736">
      <c r="A736" s="325"/>
      <c r="B736" s="325"/>
      <c r="D736" s="333"/>
      <c r="E736" s="333"/>
      <c r="M736" s="184"/>
      <c r="N736" s="327"/>
    </row>
    <row r="737">
      <c r="A737" s="325"/>
      <c r="B737" s="325"/>
      <c r="D737" s="333"/>
      <c r="E737" s="333"/>
      <c r="M737" s="184"/>
      <c r="N737" s="327"/>
    </row>
    <row r="738">
      <c r="A738" s="325"/>
      <c r="B738" s="325"/>
      <c r="D738" s="333"/>
      <c r="E738" s="333"/>
      <c r="M738" s="184"/>
      <c r="N738" s="327"/>
    </row>
    <row r="739">
      <c r="A739" s="325"/>
      <c r="B739" s="325"/>
      <c r="D739" s="333"/>
      <c r="E739" s="333"/>
      <c r="M739" s="184"/>
      <c r="N739" s="327"/>
    </row>
    <row r="740">
      <c r="A740" s="325"/>
      <c r="B740" s="325"/>
      <c r="D740" s="333"/>
      <c r="E740" s="333"/>
      <c r="M740" s="184"/>
      <c r="N740" s="327"/>
    </row>
    <row r="741">
      <c r="A741" s="325"/>
      <c r="B741" s="325"/>
      <c r="D741" s="333"/>
      <c r="E741" s="333"/>
      <c r="M741" s="184"/>
      <c r="N741" s="327"/>
    </row>
    <row r="742">
      <c r="A742" s="325"/>
      <c r="B742" s="325"/>
      <c r="D742" s="333"/>
      <c r="E742" s="333"/>
      <c r="M742" s="184"/>
      <c r="N742" s="327"/>
    </row>
    <row r="743">
      <c r="A743" s="325"/>
      <c r="B743" s="325"/>
      <c r="D743" s="333"/>
      <c r="E743" s="333"/>
      <c r="M743" s="184"/>
      <c r="N743" s="327"/>
    </row>
    <row r="744">
      <c r="A744" s="325"/>
      <c r="B744" s="325"/>
      <c r="D744" s="333"/>
      <c r="E744" s="333"/>
      <c r="M744" s="184"/>
      <c r="N744" s="327"/>
    </row>
    <row r="745">
      <c r="A745" s="325"/>
      <c r="B745" s="325"/>
      <c r="D745" s="333"/>
      <c r="E745" s="333"/>
      <c r="M745" s="184"/>
      <c r="N745" s="327"/>
    </row>
    <row r="746">
      <c r="A746" s="325"/>
      <c r="B746" s="325"/>
      <c r="D746" s="333"/>
      <c r="E746" s="333"/>
      <c r="M746" s="184"/>
      <c r="N746" s="327"/>
    </row>
    <row r="747">
      <c r="A747" s="325"/>
      <c r="B747" s="325"/>
      <c r="D747" s="333"/>
      <c r="E747" s="333"/>
      <c r="M747" s="184"/>
      <c r="N747" s="327"/>
    </row>
    <row r="748">
      <c r="A748" s="325"/>
      <c r="B748" s="325"/>
      <c r="D748" s="333"/>
      <c r="E748" s="333"/>
      <c r="M748" s="184"/>
      <c r="N748" s="327"/>
    </row>
    <row r="749">
      <c r="A749" s="325"/>
      <c r="B749" s="325"/>
      <c r="D749" s="333"/>
      <c r="E749" s="333"/>
      <c r="M749" s="184"/>
      <c r="N749" s="327"/>
    </row>
    <row r="750">
      <c r="A750" s="325"/>
      <c r="B750" s="325"/>
      <c r="D750" s="333"/>
      <c r="E750" s="333"/>
      <c r="M750" s="184"/>
      <c r="N750" s="327"/>
    </row>
    <row r="751">
      <c r="A751" s="325"/>
      <c r="B751" s="325"/>
      <c r="D751" s="333"/>
      <c r="E751" s="333"/>
      <c r="M751" s="184"/>
      <c r="N751" s="327"/>
    </row>
    <row r="752">
      <c r="A752" s="325"/>
      <c r="B752" s="325"/>
      <c r="D752" s="333"/>
      <c r="E752" s="333"/>
      <c r="M752" s="184"/>
      <c r="N752" s="327"/>
    </row>
    <row r="753">
      <c r="A753" s="325"/>
      <c r="B753" s="325"/>
      <c r="D753" s="333"/>
      <c r="E753" s="333"/>
      <c r="M753" s="184"/>
      <c r="N753" s="327"/>
    </row>
    <row r="754">
      <c r="A754" s="325"/>
      <c r="B754" s="325"/>
      <c r="D754" s="333"/>
      <c r="E754" s="333"/>
      <c r="M754" s="184"/>
      <c r="N754" s="327"/>
    </row>
    <row r="755">
      <c r="A755" s="325"/>
      <c r="B755" s="325"/>
      <c r="D755" s="333"/>
      <c r="E755" s="333"/>
      <c r="M755" s="184"/>
      <c r="N755" s="327"/>
    </row>
    <row r="756">
      <c r="A756" s="325"/>
      <c r="B756" s="325"/>
      <c r="D756" s="333"/>
      <c r="E756" s="333"/>
      <c r="M756" s="184"/>
      <c r="N756" s="327"/>
    </row>
    <row r="757">
      <c r="A757" s="325"/>
      <c r="B757" s="325"/>
      <c r="D757" s="333"/>
      <c r="E757" s="333"/>
      <c r="M757" s="184"/>
      <c r="N757" s="327"/>
    </row>
    <row r="758">
      <c r="A758" s="325"/>
      <c r="B758" s="325"/>
      <c r="D758" s="333"/>
      <c r="E758" s="333"/>
      <c r="M758" s="184"/>
      <c r="N758" s="327"/>
    </row>
    <row r="759">
      <c r="A759" s="325"/>
      <c r="B759" s="325"/>
      <c r="D759" s="333"/>
      <c r="E759" s="333"/>
      <c r="M759" s="184"/>
      <c r="N759" s="327"/>
    </row>
    <row r="760">
      <c r="A760" s="325"/>
      <c r="B760" s="325"/>
      <c r="D760" s="333"/>
      <c r="E760" s="333"/>
      <c r="M760" s="184"/>
      <c r="N760" s="327"/>
    </row>
    <row r="761">
      <c r="A761" s="325"/>
      <c r="B761" s="325"/>
      <c r="D761" s="333"/>
      <c r="E761" s="333"/>
      <c r="M761" s="184"/>
      <c r="N761" s="327"/>
    </row>
    <row r="762">
      <c r="A762" s="325"/>
      <c r="B762" s="325"/>
      <c r="D762" s="333"/>
      <c r="E762" s="333"/>
      <c r="M762" s="184"/>
      <c r="N762" s="327"/>
    </row>
    <row r="763">
      <c r="A763" s="325"/>
      <c r="B763" s="325"/>
      <c r="D763" s="333"/>
      <c r="E763" s="333"/>
      <c r="M763" s="184"/>
      <c r="N763" s="327"/>
    </row>
    <row r="764">
      <c r="A764" s="325"/>
      <c r="B764" s="325"/>
      <c r="D764" s="333"/>
      <c r="E764" s="333"/>
      <c r="M764" s="184"/>
      <c r="N764" s="327"/>
    </row>
    <row r="765">
      <c r="A765" s="325"/>
      <c r="B765" s="325"/>
      <c r="D765" s="333"/>
      <c r="E765" s="333"/>
      <c r="M765" s="184"/>
      <c r="N765" s="327"/>
    </row>
    <row r="766">
      <c r="A766" s="325"/>
      <c r="B766" s="325"/>
      <c r="D766" s="333"/>
      <c r="E766" s="333"/>
      <c r="M766" s="184"/>
      <c r="N766" s="327"/>
    </row>
    <row r="767">
      <c r="A767" s="325"/>
      <c r="B767" s="325"/>
      <c r="D767" s="333"/>
      <c r="E767" s="333"/>
      <c r="M767" s="184"/>
      <c r="N767" s="327"/>
    </row>
    <row r="768">
      <c r="A768" s="325"/>
      <c r="B768" s="325"/>
      <c r="D768" s="333"/>
      <c r="E768" s="333"/>
      <c r="M768" s="184"/>
      <c r="N768" s="327"/>
    </row>
    <row r="769">
      <c r="A769" s="325"/>
      <c r="B769" s="325"/>
      <c r="D769" s="333"/>
      <c r="E769" s="333"/>
      <c r="M769" s="184"/>
      <c r="N769" s="327"/>
    </row>
    <row r="770">
      <c r="A770" s="325"/>
      <c r="B770" s="325"/>
      <c r="D770" s="333"/>
      <c r="E770" s="333"/>
      <c r="M770" s="184"/>
      <c r="N770" s="327"/>
    </row>
    <row r="771">
      <c r="A771" s="325"/>
      <c r="B771" s="325"/>
      <c r="D771" s="333"/>
      <c r="E771" s="333"/>
      <c r="M771" s="184"/>
      <c r="N771" s="327"/>
    </row>
    <row r="772">
      <c r="A772" s="325"/>
      <c r="B772" s="325"/>
      <c r="D772" s="333"/>
      <c r="E772" s="333"/>
      <c r="M772" s="184"/>
      <c r="N772" s="327"/>
    </row>
    <row r="773">
      <c r="A773" s="325"/>
      <c r="B773" s="325"/>
      <c r="D773" s="333"/>
      <c r="E773" s="333"/>
      <c r="M773" s="184"/>
      <c r="N773" s="327"/>
    </row>
    <row r="774">
      <c r="A774" s="325"/>
      <c r="B774" s="325"/>
      <c r="D774" s="333"/>
      <c r="E774" s="333"/>
      <c r="M774" s="184"/>
      <c r="N774" s="327"/>
    </row>
    <row r="775">
      <c r="A775" s="325"/>
      <c r="B775" s="325"/>
      <c r="D775" s="333"/>
      <c r="E775" s="333"/>
      <c r="M775" s="184"/>
      <c r="N775" s="327"/>
    </row>
    <row r="776">
      <c r="A776" s="325"/>
      <c r="B776" s="325"/>
      <c r="D776" s="333"/>
      <c r="E776" s="333"/>
      <c r="M776" s="184"/>
      <c r="N776" s="327"/>
    </row>
    <row r="777">
      <c r="A777" s="325"/>
      <c r="B777" s="325"/>
      <c r="D777" s="333"/>
      <c r="E777" s="333"/>
      <c r="M777" s="184"/>
      <c r="N777" s="327"/>
    </row>
    <row r="778">
      <c r="A778" s="325"/>
      <c r="B778" s="325"/>
      <c r="D778" s="333"/>
      <c r="E778" s="333"/>
      <c r="M778" s="184"/>
      <c r="N778" s="327"/>
    </row>
    <row r="779">
      <c r="A779" s="325"/>
      <c r="B779" s="325"/>
      <c r="D779" s="333"/>
      <c r="E779" s="333"/>
      <c r="M779" s="184"/>
      <c r="N779" s="327"/>
    </row>
    <row r="780">
      <c r="A780" s="325"/>
      <c r="B780" s="325"/>
      <c r="D780" s="333"/>
      <c r="E780" s="333"/>
      <c r="M780" s="184"/>
      <c r="N780" s="327"/>
    </row>
    <row r="781">
      <c r="A781" s="325"/>
      <c r="B781" s="325"/>
      <c r="D781" s="333"/>
      <c r="E781" s="333"/>
      <c r="M781" s="184"/>
      <c r="N781" s="327"/>
    </row>
    <row r="782">
      <c r="A782" s="325"/>
      <c r="B782" s="325"/>
      <c r="D782" s="333"/>
      <c r="E782" s="333"/>
      <c r="M782" s="184"/>
      <c r="N782" s="327"/>
    </row>
    <row r="783">
      <c r="A783" s="325"/>
      <c r="B783" s="325"/>
      <c r="D783" s="333"/>
      <c r="E783" s="333"/>
      <c r="M783" s="184"/>
      <c r="N783" s="327"/>
    </row>
    <row r="784">
      <c r="A784" s="325"/>
      <c r="B784" s="325"/>
      <c r="D784" s="333"/>
      <c r="E784" s="333"/>
      <c r="M784" s="184"/>
      <c r="N784" s="327"/>
    </row>
    <row r="785">
      <c r="A785" s="325"/>
      <c r="B785" s="325"/>
      <c r="D785" s="333"/>
      <c r="E785" s="333"/>
      <c r="M785" s="184"/>
      <c r="N785" s="327"/>
    </row>
    <row r="786">
      <c r="A786" s="325"/>
      <c r="B786" s="325"/>
      <c r="D786" s="333"/>
      <c r="E786" s="333"/>
      <c r="M786" s="184"/>
      <c r="N786" s="327"/>
    </row>
    <row r="787">
      <c r="A787" s="325"/>
      <c r="B787" s="325"/>
      <c r="D787" s="333"/>
      <c r="E787" s="333"/>
      <c r="M787" s="184"/>
      <c r="N787" s="327"/>
    </row>
    <row r="788">
      <c r="A788" s="325"/>
      <c r="B788" s="325"/>
      <c r="D788" s="333"/>
      <c r="E788" s="333"/>
      <c r="M788" s="184"/>
      <c r="N788" s="327"/>
    </row>
    <row r="789">
      <c r="A789" s="325"/>
      <c r="B789" s="325"/>
      <c r="D789" s="333"/>
      <c r="E789" s="333"/>
      <c r="M789" s="184"/>
      <c r="N789" s="327"/>
    </row>
    <row r="790">
      <c r="A790" s="325"/>
      <c r="B790" s="325"/>
      <c r="D790" s="333"/>
      <c r="E790" s="333"/>
      <c r="M790" s="184"/>
      <c r="N790" s="327"/>
    </row>
    <row r="791">
      <c r="A791" s="325"/>
      <c r="B791" s="325"/>
      <c r="D791" s="333"/>
      <c r="E791" s="333"/>
      <c r="M791" s="184"/>
      <c r="N791" s="327"/>
    </row>
    <row r="792">
      <c r="A792" s="325"/>
      <c r="B792" s="325"/>
      <c r="D792" s="333"/>
      <c r="E792" s="333"/>
      <c r="M792" s="184"/>
      <c r="N792" s="327"/>
    </row>
    <row r="793">
      <c r="A793" s="325"/>
      <c r="B793" s="325"/>
      <c r="D793" s="333"/>
      <c r="E793" s="333"/>
      <c r="M793" s="184"/>
      <c r="N793" s="327"/>
    </row>
    <row r="794">
      <c r="A794" s="325"/>
      <c r="B794" s="325"/>
      <c r="D794" s="333"/>
      <c r="E794" s="333"/>
      <c r="M794" s="184"/>
      <c r="N794" s="327"/>
    </row>
    <row r="795">
      <c r="A795" s="325"/>
      <c r="B795" s="325"/>
      <c r="D795" s="333"/>
      <c r="E795" s="333"/>
      <c r="M795" s="184"/>
      <c r="N795" s="327"/>
    </row>
    <row r="796">
      <c r="A796" s="325"/>
      <c r="B796" s="325"/>
      <c r="D796" s="333"/>
      <c r="E796" s="333"/>
      <c r="M796" s="184"/>
      <c r="N796" s="327"/>
    </row>
    <row r="797">
      <c r="A797" s="325"/>
      <c r="B797" s="325"/>
      <c r="D797" s="333"/>
      <c r="E797" s="333"/>
      <c r="M797" s="184"/>
      <c r="N797" s="327"/>
    </row>
    <row r="798">
      <c r="A798" s="325"/>
      <c r="B798" s="325"/>
      <c r="D798" s="333"/>
      <c r="E798" s="333"/>
      <c r="M798" s="184"/>
      <c r="N798" s="327"/>
    </row>
    <row r="799">
      <c r="A799" s="325"/>
      <c r="B799" s="325"/>
      <c r="D799" s="333"/>
      <c r="E799" s="333"/>
      <c r="M799" s="184"/>
      <c r="N799" s="327"/>
    </row>
    <row r="800">
      <c r="A800" s="325"/>
      <c r="B800" s="325"/>
      <c r="D800" s="333"/>
      <c r="E800" s="333"/>
      <c r="M800" s="184"/>
      <c r="N800" s="327"/>
    </row>
    <row r="801">
      <c r="A801" s="325"/>
      <c r="B801" s="325"/>
      <c r="D801" s="333"/>
      <c r="E801" s="333"/>
      <c r="M801" s="184"/>
      <c r="N801" s="327"/>
    </row>
    <row r="802">
      <c r="A802" s="325"/>
      <c r="B802" s="325"/>
      <c r="D802" s="333"/>
      <c r="E802" s="333"/>
      <c r="M802" s="184"/>
      <c r="N802" s="327"/>
    </row>
    <row r="803">
      <c r="A803" s="325"/>
      <c r="B803" s="325"/>
      <c r="D803" s="333"/>
      <c r="E803" s="333"/>
      <c r="M803" s="184"/>
      <c r="N803" s="327"/>
    </row>
    <row r="804">
      <c r="A804" s="325"/>
      <c r="B804" s="325"/>
      <c r="D804" s="333"/>
      <c r="E804" s="333"/>
      <c r="M804" s="184"/>
      <c r="N804" s="327"/>
    </row>
    <row r="805">
      <c r="A805" s="325"/>
      <c r="B805" s="325"/>
      <c r="D805" s="333"/>
      <c r="E805" s="333"/>
      <c r="M805" s="184"/>
      <c r="N805" s="327"/>
    </row>
    <row r="806">
      <c r="A806" s="325"/>
      <c r="B806" s="325"/>
      <c r="D806" s="333"/>
      <c r="E806" s="333"/>
      <c r="M806" s="184"/>
      <c r="N806" s="327"/>
    </row>
    <row r="807">
      <c r="A807" s="325"/>
      <c r="B807" s="325"/>
      <c r="D807" s="333"/>
      <c r="E807" s="333"/>
      <c r="M807" s="184"/>
      <c r="N807" s="327"/>
    </row>
    <row r="808">
      <c r="A808" s="325"/>
      <c r="B808" s="325"/>
      <c r="D808" s="333"/>
      <c r="E808" s="333"/>
      <c r="M808" s="184"/>
      <c r="N808" s="327"/>
    </row>
    <row r="809">
      <c r="A809" s="325"/>
      <c r="B809" s="325"/>
      <c r="D809" s="333"/>
      <c r="E809" s="333"/>
      <c r="M809" s="184"/>
      <c r="N809" s="327"/>
    </row>
    <row r="810">
      <c r="A810" s="325"/>
      <c r="B810" s="325"/>
      <c r="D810" s="333"/>
      <c r="E810" s="333"/>
      <c r="M810" s="184"/>
      <c r="N810" s="327"/>
    </row>
    <row r="811">
      <c r="A811" s="325"/>
      <c r="B811" s="325"/>
      <c r="D811" s="333"/>
      <c r="E811" s="333"/>
      <c r="M811" s="184"/>
      <c r="N811" s="327"/>
    </row>
    <row r="812">
      <c r="A812" s="325"/>
      <c r="B812" s="325"/>
      <c r="D812" s="333"/>
      <c r="E812" s="333"/>
      <c r="M812" s="184"/>
      <c r="N812" s="327"/>
    </row>
    <row r="813">
      <c r="A813" s="325"/>
      <c r="B813" s="325"/>
      <c r="D813" s="333"/>
      <c r="E813" s="333"/>
      <c r="M813" s="184"/>
      <c r="N813" s="327"/>
    </row>
    <row r="814">
      <c r="A814" s="325"/>
      <c r="B814" s="325"/>
      <c r="D814" s="333"/>
      <c r="E814" s="333"/>
      <c r="M814" s="184"/>
      <c r="N814" s="327"/>
    </row>
    <row r="815">
      <c r="A815" s="325"/>
      <c r="B815" s="325"/>
      <c r="D815" s="333"/>
      <c r="E815" s="333"/>
      <c r="M815" s="184"/>
      <c r="N815" s="327"/>
    </row>
    <row r="816">
      <c r="A816" s="325"/>
      <c r="B816" s="325"/>
      <c r="D816" s="333"/>
      <c r="E816" s="333"/>
      <c r="M816" s="184"/>
      <c r="N816" s="327"/>
    </row>
    <row r="817">
      <c r="A817" s="325"/>
      <c r="B817" s="325"/>
      <c r="D817" s="333"/>
      <c r="E817" s="333"/>
      <c r="M817" s="184"/>
      <c r="N817" s="327"/>
    </row>
    <row r="818">
      <c r="A818" s="325"/>
      <c r="B818" s="325"/>
      <c r="D818" s="333"/>
      <c r="E818" s="333"/>
      <c r="M818" s="184"/>
      <c r="N818" s="327"/>
    </row>
    <row r="819">
      <c r="A819" s="325"/>
      <c r="B819" s="325"/>
      <c r="D819" s="333"/>
      <c r="E819" s="333"/>
      <c r="M819" s="184"/>
      <c r="N819" s="327"/>
    </row>
    <row r="820">
      <c r="A820" s="325"/>
      <c r="B820" s="325"/>
      <c r="D820" s="333"/>
      <c r="E820" s="333"/>
      <c r="M820" s="184"/>
      <c r="N820" s="327"/>
    </row>
    <row r="821">
      <c r="A821" s="325"/>
      <c r="B821" s="325"/>
      <c r="D821" s="333"/>
      <c r="E821" s="333"/>
      <c r="M821" s="184"/>
      <c r="N821" s="327"/>
    </row>
    <row r="822">
      <c r="A822" s="325"/>
      <c r="B822" s="325"/>
      <c r="D822" s="333"/>
      <c r="E822" s="333"/>
      <c r="M822" s="184"/>
      <c r="N822" s="327"/>
    </row>
    <row r="823">
      <c r="A823" s="325"/>
      <c r="B823" s="325"/>
      <c r="D823" s="333"/>
      <c r="E823" s="333"/>
      <c r="M823" s="184"/>
      <c r="N823" s="327"/>
    </row>
    <row r="824">
      <c r="A824" s="325"/>
      <c r="B824" s="325"/>
      <c r="D824" s="333"/>
      <c r="E824" s="333"/>
      <c r="M824" s="184"/>
      <c r="N824" s="327"/>
    </row>
    <row r="825">
      <c r="A825" s="325"/>
      <c r="B825" s="325"/>
      <c r="D825" s="333"/>
      <c r="E825" s="333"/>
      <c r="M825" s="184"/>
      <c r="N825" s="327"/>
    </row>
    <row r="826">
      <c r="A826" s="325"/>
      <c r="B826" s="325"/>
      <c r="D826" s="333"/>
      <c r="E826" s="333"/>
      <c r="M826" s="184"/>
      <c r="N826" s="327"/>
    </row>
    <row r="827">
      <c r="A827" s="325"/>
      <c r="B827" s="325"/>
      <c r="D827" s="333"/>
      <c r="E827" s="333"/>
      <c r="M827" s="184"/>
      <c r="N827" s="327"/>
    </row>
    <row r="828">
      <c r="A828" s="325"/>
      <c r="B828" s="325"/>
      <c r="D828" s="333"/>
      <c r="E828" s="333"/>
      <c r="M828" s="184"/>
      <c r="N828" s="327"/>
    </row>
    <row r="829">
      <c r="A829" s="325"/>
      <c r="B829" s="325"/>
      <c r="D829" s="333"/>
      <c r="E829" s="333"/>
      <c r="M829" s="184"/>
      <c r="N829" s="327"/>
    </row>
    <row r="830">
      <c r="A830" s="325"/>
      <c r="B830" s="325"/>
      <c r="D830" s="333"/>
      <c r="E830" s="333"/>
      <c r="M830" s="184"/>
      <c r="N830" s="327"/>
    </row>
    <row r="831">
      <c r="A831" s="325"/>
      <c r="B831" s="325"/>
      <c r="D831" s="333"/>
      <c r="E831" s="333"/>
      <c r="M831" s="184"/>
      <c r="N831" s="327"/>
    </row>
    <row r="832">
      <c r="A832" s="325"/>
      <c r="B832" s="325"/>
      <c r="D832" s="333"/>
      <c r="E832" s="333"/>
      <c r="M832" s="184"/>
      <c r="N832" s="327"/>
    </row>
    <row r="833">
      <c r="A833" s="325"/>
      <c r="B833" s="325"/>
      <c r="D833" s="333"/>
      <c r="E833" s="333"/>
      <c r="M833" s="184"/>
      <c r="N833" s="327"/>
    </row>
    <row r="834">
      <c r="A834" s="325"/>
      <c r="B834" s="325"/>
      <c r="D834" s="333"/>
      <c r="E834" s="333"/>
      <c r="M834" s="184"/>
      <c r="N834" s="327"/>
    </row>
    <row r="835">
      <c r="A835" s="325"/>
      <c r="B835" s="325"/>
      <c r="D835" s="333"/>
      <c r="E835" s="333"/>
      <c r="M835" s="184"/>
      <c r="N835" s="327"/>
    </row>
    <row r="836">
      <c r="A836" s="325"/>
      <c r="B836" s="325"/>
      <c r="D836" s="333"/>
      <c r="E836" s="333"/>
      <c r="M836" s="184"/>
      <c r="N836" s="327"/>
    </row>
    <row r="837">
      <c r="A837" s="325"/>
      <c r="B837" s="325"/>
      <c r="D837" s="333"/>
      <c r="E837" s="333"/>
      <c r="M837" s="184"/>
      <c r="N837" s="327"/>
    </row>
    <row r="838">
      <c r="A838" s="325"/>
      <c r="B838" s="325"/>
      <c r="D838" s="333"/>
      <c r="E838" s="333"/>
      <c r="M838" s="184"/>
      <c r="N838" s="327"/>
    </row>
    <row r="839">
      <c r="A839" s="325"/>
      <c r="B839" s="325"/>
      <c r="D839" s="333"/>
      <c r="E839" s="333"/>
      <c r="M839" s="184"/>
      <c r="N839" s="327"/>
    </row>
    <row r="840">
      <c r="A840" s="325"/>
      <c r="B840" s="325"/>
      <c r="D840" s="333"/>
      <c r="E840" s="333"/>
      <c r="M840" s="184"/>
      <c r="N840" s="327"/>
    </row>
    <row r="841">
      <c r="A841" s="325"/>
      <c r="B841" s="325"/>
      <c r="D841" s="333"/>
      <c r="E841" s="333"/>
      <c r="M841" s="184"/>
      <c r="N841" s="327"/>
    </row>
    <row r="842">
      <c r="A842" s="325"/>
      <c r="B842" s="325"/>
      <c r="D842" s="333"/>
      <c r="E842" s="333"/>
      <c r="M842" s="184"/>
      <c r="N842" s="327"/>
    </row>
    <row r="843">
      <c r="A843" s="325"/>
      <c r="B843" s="325"/>
      <c r="D843" s="333"/>
      <c r="E843" s="333"/>
      <c r="M843" s="184"/>
      <c r="N843" s="327"/>
    </row>
    <row r="844">
      <c r="A844" s="325"/>
      <c r="B844" s="325"/>
      <c r="D844" s="333"/>
      <c r="E844" s="333"/>
      <c r="M844" s="184"/>
      <c r="N844" s="327"/>
    </row>
    <row r="845">
      <c r="A845" s="325"/>
      <c r="B845" s="325"/>
      <c r="D845" s="333"/>
      <c r="E845" s="333"/>
      <c r="M845" s="184"/>
      <c r="N845" s="327"/>
    </row>
    <row r="846">
      <c r="A846" s="325"/>
      <c r="B846" s="325"/>
      <c r="D846" s="333"/>
      <c r="E846" s="333"/>
      <c r="M846" s="184"/>
      <c r="N846" s="327"/>
    </row>
    <row r="847">
      <c r="A847" s="325"/>
      <c r="B847" s="325"/>
      <c r="D847" s="333"/>
      <c r="E847" s="333"/>
      <c r="M847" s="184"/>
      <c r="N847" s="327"/>
    </row>
    <row r="848">
      <c r="A848" s="325"/>
      <c r="B848" s="325"/>
      <c r="D848" s="333"/>
      <c r="E848" s="333"/>
      <c r="M848" s="184"/>
      <c r="N848" s="327"/>
    </row>
    <row r="849">
      <c r="A849" s="325"/>
      <c r="B849" s="325"/>
      <c r="D849" s="333"/>
      <c r="E849" s="333"/>
      <c r="M849" s="184"/>
      <c r="N849" s="327"/>
    </row>
    <row r="850">
      <c r="A850" s="325"/>
      <c r="B850" s="325"/>
      <c r="D850" s="333"/>
      <c r="E850" s="333"/>
      <c r="M850" s="184"/>
      <c r="N850" s="327"/>
    </row>
    <row r="851">
      <c r="A851" s="325"/>
      <c r="B851" s="325"/>
      <c r="D851" s="333"/>
      <c r="E851" s="333"/>
      <c r="M851" s="184"/>
      <c r="N851" s="327"/>
    </row>
    <row r="852">
      <c r="A852" s="325"/>
      <c r="B852" s="325"/>
      <c r="D852" s="333"/>
      <c r="E852" s="333"/>
      <c r="M852" s="184"/>
      <c r="N852" s="327"/>
    </row>
    <row r="853">
      <c r="A853" s="325"/>
      <c r="B853" s="325"/>
      <c r="D853" s="333"/>
      <c r="E853" s="333"/>
      <c r="M853" s="184"/>
      <c r="N853" s="327"/>
    </row>
    <row r="854">
      <c r="A854" s="325"/>
      <c r="B854" s="325"/>
      <c r="D854" s="333"/>
      <c r="E854" s="333"/>
      <c r="M854" s="184"/>
      <c r="N854" s="327"/>
    </row>
    <row r="855">
      <c r="A855" s="325"/>
      <c r="B855" s="325"/>
      <c r="D855" s="333"/>
      <c r="E855" s="333"/>
      <c r="M855" s="184"/>
      <c r="N855" s="327"/>
    </row>
    <row r="856">
      <c r="A856" s="325"/>
      <c r="B856" s="325"/>
      <c r="D856" s="333"/>
      <c r="E856" s="333"/>
      <c r="M856" s="184"/>
      <c r="N856" s="327"/>
    </row>
    <row r="857">
      <c r="A857" s="325"/>
      <c r="B857" s="325"/>
      <c r="D857" s="333"/>
      <c r="E857" s="333"/>
      <c r="M857" s="184"/>
      <c r="N857" s="327"/>
    </row>
    <row r="858">
      <c r="A858" s="325"/>
      <c r="B858" s="325"/>
      <c r="D858" s="333"/>
      <c r="E858" s="333"/>
      <c r="M858" s="184"/>
      <c r="N858" s="327"/>
    </row>
    <row r="859">
      <c r="A859" s="325"/>
      <c r="B859" s="325"/>
      <c r="D859" s="333"/>
      <c r="E859" s="333"/>
      <c r="M859" s="184"/>
      <c r="N859" s="327"/>
    </row>
    <row r="860">
      <c r="A860" s="325"/>
      <c r="B860" s="325"/>
      <c r="D860" s="333"/>
      <c r="E860" s="333"/>
      <c r="M860" s="184"/>
      <c r="N860" s="327"/>
    </row>
    <row r="861">
      <c r="A861" s="325"/>
      <c r="B861" s="325"/>
      <c r="D861" s="333"/>
      <c r="E861" s="333"/>
      <c r="M861" s="184"/>
      <c r="N861" s="327"/>
    </row>
    <row r="862">
      <c r="A862" s="325"/>
      <c r="B862" s="325"/>
      <c r="D862" s="333"/>
      <c r="E862" s="333"/>
      <c r="M862" s="184"/>
      <c r="N862" s="327"/>
    </row>
    <row r="863">
      <c r="A863" s="325"/>
      <c r="B863" s="325"/>
      <c r="D863" s="333"/>
      <c r="E863" s="333"/>
      <c r="M863" s="184"/>
      <c r="N863" s="327"/>
    </row>
    <row r="864">
      <c r="A864" s="325"/>
      <c r="B864" s="325"/>
      <c r="D864" s="333"/>
      <c r="E864" s="333"/>
      <c r="M864" s="184"/>
      <c r="N864" s="327"/>
    </row>
    <row r="865">
      <c r="A865" s="325"/>
      <c r="B865" s="325"/>
      <c r="D865" s="333"/>
      <c r="E865" s="333"/>
      <c r="M865" s="184"/>
      <c r="N865" s="327"/>
    </row>
    <row r="866">
      <c r="A866" s="325"/>
      <c r="B866" s="325"/>
      <c r="D866" s="333"/>
      <c r="E866" s="333"/>
      <c r="M866" s="184"/>
      <c r="N866" s="327"/>
    </row>
    <row r="867">
      <c r="A867" s="325"/>
      <c r="B867" s="325"/>
      <c r="D867" s="333"/>
      <c r="E867" s="333"/>
      <c r="M867" s="184"/>
      <c r="N867" s="327"/>
    </row>
    <row r="868">
      <c r="A868" s="325"/>
      <c r="B868" s="325"/>
      <c r="D868" s="333"/>
      <c r="E868" s="333"/>
      <c r="M868" s="184"/>
      <c r="N868" s="327"/>
    </row>
    <row r="869">
      <c r="A869" s="325"/>
      <c r="B869" s="325"/>
      <c r="D869" s="333"/>
      <c r="E869" s="333"/>
      <c r="M869" s="184"/>
      <c r="N869" s="327"/>
    </row>
    <row r="870">
      <c r="A870" s="325"/>
      <c r="B870" s="325"/>
      <c r="D870" s="333"/>
      <c r="E870" s="333"/>
      <c r="M870" s="184"/>
      <c r="N870" s="327"/>
    </row>
    <row r="871">
      <c r="A871" s="325"/>
      <c r="B871" s="325"/>
      <c r="D871" s="333"/>
      <c r="E871" s="333"/>
      <c r="M871" s="184"/>
      <c r="N871" s="327"/>
    </row>
    <row r="872">
      <c r="A872" s="325"/>
      <c r="B872" s="325"/>
      <c r="D872" s="333"/>
      <c r="E872" s="333"/>
      <c r="M872" s="184"/>
      <c r="N872" s="327"/>
    </row>
    <row r="873">
      <c r="A873" s="325"/>
      <c r="B873" s="325"/>
      <c r="D873" s="333"/>
      <c r="E873" s="333"/>
      <c r="M873" s="184"/>
      <c r="N873" s="327"/>
    </row>
    <row r="874">
      <c r="A874" s="325"/>
      <c r="B874" s="325"/>
      <c r="D874" s="333"/>
      <c r="E874" s="333"/>
      <c r="M874" s="184"/>
      <c r="N874" s="327"/>
    </row>
    <row r="875">
      <c r="A875" s="325"/>
      <c r="B875" s="325"/>
      <c r="D875" s="333"/>
      <c r="E875" s="333"/>
      <c r="M875" s="184"/>
      <c r="N875" s="327"/>
    </row>
    <row r="876">
      <c r="A876" s="325"/>
      <c r="B876" s="325"/>
      <c r="D876" s="333"/>
      <c r="E876" s="333"/>
      <c r="M876" s="184"/>
      <c r="N876" s="327"/>
    </row>
    <row r="877">
      <c r="A877" s="325"/>
      <c r="B877" s="325"/>
      <c r="D877" s="333"/>
      <c r="E877" s="333"/>
      <c r="M877" s="184"/>
      <c r="N877" s="327"/>
    </row>
    <row r="878">
      <c r="A878" s="325"/>
      <c r="B878" s="325"/>
      <c r="D878" s="333"/>
      <c r="E878" s="333"/>
      <c r="M878" s="184"/>
      <c r="N878" s="327"/>
    </row>
    <row r="879">
      <c r="A879" s="325"/>
      <c r="B879" s="325"/>
      <c r="D879" s="333"/>
      <c r="E879" s="333"/>
      <c r="M879" s="184"/>
      <c r="N879" s="327"/>
    </row>
    <row r="880">
      <c r="A880" s="325"/>
      <c r="B880" s="325"/>
      <c r="D880" s="333"/>
      <c r="E880" s="333"/>
      <c r="M880" s="184"/>
      <c r="N880" s="327"/>
    </row>
    <row r="881">
      <c r="A881" s="325"/>
      <c r="B881" s="325"/>
      <c r="D881" s="333"/>
      <c r="E881" s="333"/>
      <c r="M881" s="184"/>
      <c r="N881" s="327"/>
    </row>
    <row r="882">
      <c r="A882" s="325"/>
      <c r="B882" s="325"/>
      <c r="D882" s="333"/>
      <c r="E882" s="333"/>
      <c r="M882" s="184"/>
      <c r="N882" s="327"/>
    </row>
    <row r="883">
      <c r="A883" s="325"/>
      <c r="B883" s="325"/>
      <c r="D883" s="333"/>
      <c r="E883" s="333"/>
      <c r="M883" s="184"/>
      <c r="N883" s="327"/>
    </row>
    <row r="884">
      <c r="A884" s="325"/>
      <c r="B884" s="325"/>
      <c r="D884" s="333"/>
      <c r="E884" s="333"/>
      <c r="M884" s="184"/>
      <c r="N884" s="327"/>
    </row>
    <row r="885">
      <c r="A885" s="325"/>
      <c r="B885" s="325"/>
      <c r="D885" s="333"/>
      <c r="E885" s="333"/>
      <c r="M885" s="184"/>
      <c r="N885" s="327"/>
    </row>
    <row r="886">
      <c r="A886" s="325"/>
      <c r="B886" s="325"/>
      <c r="D886" s="333"/>
      <c r="E886" s="333"/>
      <c r="M886" s="184"/>
      <c r="N886" s="327"/>
    </row>
    <row r="887">
      <c r="A887" s="325"/>
      <c r="B887" s="325"/>
      <c r="D887" s="333"/>
      <c r="E887" s="333"/>
      <c r="M887" s="184"/>
      <c r="N887" s="327"/>
    </row>
    <row r="888">
      <c r="A888" s="325"/>
      <c r="B888" s="325"/>
      <c r="D888" s="333"/>
      <c r="E888" s="333"/>
      <c r="M888" s="184"/>
      <c r="N888" s="327"/>
    </row>
    <row r="889">
      <c r="A889" s="325"/>
      <c r="B889" s="325"/>
      <c r="D889" s="333"/>
      <c r="E889" s="333"/>
      <c r="M889" s="184"/>
      <c r="N889" s="327"/>
    </row>
    <row r="890">
      <c r="A890" s="325"/>
      <c r="B890" s="325"/>
      <c r="D890" s="333"/>
      <c r="E890" s="333"/>
      <c r="M890" s="184"/>
      <c r="N890" s="327"/>
    </row>
    <row r="891">
      <c r="A891" s="325"/>
      <c r="B891" s="325"/>
      <c r="D891" s="333"/>
      <c r="E891" s="333"/>
      <c r="M891" s="184"/>
      <c r="N891" s="327"/>
    </row>
    <row r="892">
      <c r="A892" s="325"/>
      <c r="B892" s="325"/>
      <c r="D892" s="333"/>
      <c r="E892" s="333"/>
      <c r="M892" s="184"/>
      <c r="N892" s="327"/>
    </row>
    <row r="893">
      <c r="A893" s="325"/>
      <c r="B893" s="325"/>
      <c r="D893" s="333"/>
      <c r="E893" s="333"/>
      <c r="M893" s="184"/>
      <c r="N893" s="327"/>
    </row>
    <row r="894">
      <c r="A894" s="325"/>
      <c r="B894" s="325"/>
      <c r="D894" s="333"/>
      <c r="E894" s="333"/>
      <c r="M894" s="184"/>
      <c r="N894" s="327"/>
    </row>
    <row r="895">
      <c r="A895" s="325"/>
      <c r="B895" s="325"/>
      <c r="D895" s="333"/>
      <c r="E895" s="333"/>
      <c r="M895" s="184"/>
      <c r="N895" s="327"/>
    </row>
    <row r="896">
      <c r="A896" s="325"/>
      <c r="B896" s="325"/>
      <c r="D896" s="333"/>
      <c r="E896" s="333"/>
      <c r="M896" s="184"/>
      <c r="N896" s="327"/>
    </row>
    <row r="897">
      <c r="A897" s="325"/>
      <c r="B897" s="325"/>
      <c r="D897" s="333"/>
      <c r="E897" s="333"/>
      <c r="M897" s="184"/>
      <c r="N897" s="327"/>
    </row>
    <row r="898">
      <c r="A898" s="325"/>
      <c r="B898" s="325"/>
      <c r="D898" s="333"/>
      <c r="E898" s="333"/>
      <c r="M898" s="184"/>
      <c r="N898" s="327"/>
    </row>
    <row r="899">
      <c r="A899" s="325"/>
      <c r="B899" s="325"/>
      <c r="D899" s="333"/>
      <c r="E899" s="333"/>
      <c r="M899" s="184"/>
      <c r="N899" s="327"/>
    </row>
    <row r="900">
      <c r="A900" s="325"/>
      <c r="B900" s="325"/>
      <c r="D900" s="333"/>
      <c r="E900" s="333"/>
      <c r="M900" s="184"/>
      <c r="N900" s="327"/>
    </row>
    <row r="901">
      <c r="A901" s="325"/>
      <c r="B901" s="325"/>
      <c r="D901" s="333"/>
      <c r="E901" s="333"/>
      <c r="M901" s="184"/>
      <c r="N901" s="327"/>
    </row>
    <row r="902">
      <c r="A902" s="325"/>
      <c r="B902" s="325"/>
      <c r="D902" s="333"/>
      <c r="E902" s="333"/>
      <c r="M902" s="184"/>
      <c r="N902" s="327"/>
    </row>
    <row r="903">
      <c r="A903" s="325"/>
      <c r="B903" s="325"/>
      <c r="D903" s="333"/>
      <c r="E903" s="333"/>
      <c r="M903" s="184"/>
      <c r="N903" s="327"/>
    </row>
    <row r="904">
      <c r="A904" s="325"/>
      <c r="B904" s="325"/>
      <c r="D904" s="333"/>
      <c r="E904" s="333"/>
      <c r="M904" s="184"/>
      <c r="N904" s="327"/>
    </row>
    <row r="905">
      <c r="A905" s="325"/>
      <c r="B905" s="325"/>
      <c r="D905" s="333"/>
      <c r="E905" s="333"/>
      <c r="M905" s="184"/>
      <c r="N905" s="327"/>
    </row>
    <row r="906">
      <c r="A906" s="325"/>
      <c r="B906" s="325"/>
      <c r="D906" s="333"/>
      <c r="E906" s="333"/>
      <c r="M906" s="184"/>
      <c r="N906" s="327"/>
    </row>
    <row r="907">
      <c r="A907" s="325"/>
      <c r="B907" s="325"/>
      <c r="D907" s="333"/>
      <c r="E907" s="333"/>
      <c r="M907" s="184"/>
      <c r="N907" s="327"/>
    </row>
    <row r="908">
      <c r="A908" s="325"/>
      <c r="B908" s="325"/>
      <c r="D908" s="333"/>
      <c r="E908" s="333"/>
      <c r="M908" s="184"/>
      <c r="N908" s="327"/>
    </row>
    <row r="909">
      <c r="A909" s="325"/>
      <c r="B909" s="325"/>
      <c r="D909" s="333"/>
      <c r="E909" s="333"/>
      <c r="M909" s="184"/>
      <c r="N909" s="327"/>
    </row>
    <row r="910">
      <c r="A910" s="325"/>
      <c r="B910" s="325"/>
      <c r="D910" s="333"/>
      <c r="E910" s="333"/>
      <c r="M910" s="184"/>
      <c r="N910" s="327"/>
    </row>
    <row r="911">
      <c r="A911" s="325"/>
      <c r="B911" s="325"/>
      <c r="D911" s="333"/>
      <c r="E911" s="333"/>
      <c r="M911" s="184"/>
      <c r="N911" s="327"/>
    </row>
    <row r="912">
      <c r="A912" s="325"/>
      <c r="B912" s="325"/>
      <c r="D912" s="333"/>
      <c r="E912" s="333"/>
      <c r="M912" s="184"/>
      <c r="N912" s="327"/>
    </row>
    <row r="913">
      <c r="A913" s="325"/>
      <c r="B913" s="325"/>
      <c r="D913" s="333"/>
      <c r="E913" s="333"/>
      <c r="M913" s="184"/>
      <c r="N913" s="327"/>
    </row>
    <row r="914">
      <c r="A914" s="325"/>
      <c r="B914" s="325"/>
      <c r="D914" s="333"/>
      <c r="E914" s="333"/>
      <c r="M914" s="184"/>
      <c r="N914" s="327"/>
    </row>
    <row r="915">
      <c r="A915" s="325"/>
      <c r="B915" s="325"/>
      <c r="D915" s="333"/>
      <c r="E915" s="333"/>
      <c r="M915" s="184"/>
      <c r="N915" s="327"/>
    </row>
    <row r="916">
      <c r="A916" s="325"/>
      <c r="B916" s="325"/>
      <c r="D916" s="333"/>
      <c r="E916" s="333"/>
      <c r="M916" s="184"/>
      <c r="N916" s="327"/>
    </row>
    <row r="917">
      <c r="A917" s="325"/>
      <c r="B917" s="325"/>
      <c r="D917" s="333"/>
      <c r="E917" s="333"/>
      <c r="M917" s="184"/>
      <c r="N917" s="327"/>
    </row>
    <row r="918">
      <c r="A918" s="325"/>
      <c r="B918" s="325"/>
      <c r="D918" s="333"/>
      <c r="E918" s="333"/>
      <c r="M918" s="184"/>
      <c r="N918" s="327"/>
    </row>
    <row r="919">
      <c r="A919" s="325"/>
      <c r="B919" s="325"/>
      <c r="D919" s="333"/>
      <c r="E919" s="333"/>
      <c r="M919" s="184"/>
      <c r="N919" s="327"/>
    </row>
    <row r="920">
      <c r="A920" s="325"/>
      <c r="B920" s="325"/>
      <c r="D920" s="333"/>
      <c r="E920" s="333"/>
      <c r="M920" s="184"/>
      <c r="N920" s="327"/>
    </row>
    <row r="921">
      <c r="A921" s="325"/>
      <c r="B921" s="325"/>
      <c r="D921" s="333"/>
      <c r="E921" s="333"/>
      <c r="M921" s="184"/>
      <c r="N921" s="327"/>
    </row>
    <row r="922">
      <c r="A922" s="325"/>
      <c r="B922" s="325"/>
      <c r="D922" s="333"/>
      <c r="E922" s="333"/>
      <c r="M922" s="184"/>
      <c r="N922" s="327"/>
    </row>
    <row r="923">
      <c r="A923" s="325"/>
      <c r="B923" s="325"/>
      <c r="D923" s="333"/>
      <c r="E923" s="333"/>
      <c r="M923" s="184"/>
      <c r="N923" s="327"/>
    </row>
    <row r="924">
      <c r="A924" s="325"/>
      <c r="B924" s="325"/>
      <c r="D924" s="333"/>
      <c r="E924" s="333"/>
      <c r="M924" s="184"/>
      <c r="N924" s="327"/>
    </row>
    <row r="925">
      <c r="A925" s="325"/>
      <c r="B925" s="325"/>
      <c r="D925" s="333"/>
      <c r="E925" s="333"/>
      <c r="M925" s="184"/>
      <c r="N925" s="327"/>
    </row>
    <row r="926">
      <c r="A926" s="325"/>
      <c r="B926" s="325"/>
      <c r="D926" s="333"/>
      <c r="E926" s="333"/>
      <c r="M926" s="184"/>
      <c r="N926" s="327"/>
    </row>
    <row r="927">
      <c r="A927" s="325"/>
      <c r="B927" s="325"/>
      <c r="D927" s="333"/>
      <c r="E927" s="333"/>
      <c r="M927" s="184"/>
      <c r="N927" s="327"/>
    </row>
    <row r="928">
      <c r="A928" s="325"/>
      <c r="B928" s="325"/>
      <c r="D928" s="333"/>
      <c r="E928" s="333"/>
      <c r="M928" s="184"/>
      <c r="N928" s="327"/>
    </row>
    <row r="929">
      <c r="A929" s="325"/>
      <c r="B929" s="325"/>
      <c r="D929" s="333"/>
      <c r="E929" s="333"/>
      <c r="M929" s="184"/>
      <c r="N929" s="327"/>
    </row>
    <row r="930">
      <c r="A930" s="325"/>
      <c r="B930" s="325"/>
      <c r="D930" s="333"/>
      <c r="E930" s="333"/>
      <c r="M930" s="184"/>
      <c r="N930" s="327"/>
    </row>
    <row r="931">
      <c r="A931" s="325"/>
      <c r="B931" s="325"/>
      <c r="D931" s="333"/>
      <c r="E931" s="333"/>
      <c r="M931" s="184"/>
      <c r="N931" s="327"/>
    </row>
    <row r="932">
      <c r="A932" s="325"/>
      <c r="B932" s="325"/>
      <c r="D932" s="333"/>
      <c r="E932" s="333"/>
      <c r="M932" s="184"/>
      <c r="N932" s="327"/>
    </row>
    <row r="933">
      <c r="A933" s="325"/>
      <c r="B933" s="325"/>
      <c r="D933" s="333"/>
      <c r="E933" s="333"/>
      <c r="M933" s="184"/>
      <c r="N933" s="327"/>
    </row>
    <row r="934">
      <c r="A934" s="325"/>
      <c r="B934" s="325"/>
      <c r="D934" s="333"/>
      <c r="E934" s="333"/>
      <c r="M934" s="184"/>
      <c r="N934" s="327"/>
    </row>
    <row r="935">
      <c r="A935" s="325"/>
      <c r="B935" s="325"/>
      <c r="D935" s="333"/>
      <c r="E935" s="333"/>
      <c r="M935" s="184"/>
      <c r="N935" s="327"/>
    </row>
    <row r="936">
      <c r="A936" s="325"/>
      <c r="B936" s="325"/>
      <c r="D936" s="333"/>
      <c r="E936" s="333"/>
      <c r="M936" s="184"/>
      <c r="N936" s="327"/>
    </row>
    <row r="937">
      <c r="A937" s="325"/>
      <c r="B937" s="325"/>
      <c r="D937" s="333"/>
      <c r="E937" s="333"/>
      <c r="M937" s="184"/>
      <c r="N937" s="327"/>
    </row>
    <row r="938">
      <c r="A938" s="325"/>
      <c r="B938" s="325"/>
      <c r="D938" s="333"/>
      <c r="E938" s="333"/>
      <c r="M938" s="184"/>
      <c r="N938" s="327"/>
    </row>
    <row r="939">
      <c r="A939" s="325"/>
      <c r="B939" s="325"/>
      <c r="D939" s="333"/>
      <c r="E939" s="333"/>
      <c r="M939" s="184"/>
      <c r="N939" s="327"/>
    </row>
    <row r="940">
      <c r="A940" s="325"/>
      <c r="B940" s="325"/>
      <c r="D940" s="333"/>
      <c r="E940" s="333"/>
      <c r="M940" s="184"/>
      <c r="N940" s="327"/>
    </row>
    <row r="941">
      <c r="A941" s="325"/>
      <c r="B941" s="325"/>
      <c r="D941" s="333"/>
      <c r="E941" s="333"/>
      <c r="M941" s="184"/>
      <c r="N941" s="327"/>
    </row>
    <row r="942">
      <c r="A942" s="325"/>
      <c r="B942" s="325"/>
      <c r="D942" s="333"/>
      <c r="E942" s="333"/>
      <c r="M942" s="184"/>
      <c r="N942" s="327"/>
    </row>
    <row r="943">
      <c r="A943" s="325"/>
      <c r="B943" s="325"/>
      <c r="D943" s="333"/>
      <c r="E943" s="333"/>
      <c r="M943" s="184"/>
      <c r="N943" s="327"/>
    </row>
    <row r="944">
      <c r="A944" s="325"/>
      <c r="B944" s="325"/>
      <c r="D944" s="333"/>
      <c r="E944" s="333"/>
      <c r="M944" s="184"/>
      <c r="N944" s="327"/>
    </row>
    <row r="945">
      <c r="A945" s="325"/>
      <c r="B945" s="325"/>
      <c r="D945" s="333"/>
      <c r="E945" s="333"/>
      <c r="M945" s="184"/>
      <c r="N945" s="327"/>
    </row>
    <row r="946">
      <c r="A946" s="325"/>
      <c r="B946" s="325"/>
      <c r="D946" s="333"/>
      <c r="E946" s="333"/>
      <c r="M946" s="184"/>
      <c r="N946" s="327"/>
    </row>
    <row r="947">
      <c r="A947" s="325"/>
      <c r="B947" s="325"/>
      <c r="D947" s="333"/>
      <c r="E947" s="333"/>
      <c r="M947" s="184"/>
      <c r="N947" s="327"/>
    </row>
    <row r="948">
      <c r="A948" s="325"/>
      <c r="B948" s="325"/>
      <c r="D948" s="333"/>
      <c r="E948" s="333"/>
      <c r="M948" s="184"/>
      <c r="N948" s="327"/>
    </row>
    <row r="949">
      <c r="A949" s="325"/>
      <c r="B949" s="325"/>
      <c r="D949" s="333"/>
      <c r="E949" s="333"/>
      <c r="M949" s="184"/>
      <c r="N949" s="327"/>
    </row>
    <row r="950">
      <c r="A950" s="325"/>
      <c r="B950" s="325"/>
      <c r="D950" s="333"/>
      <c r="E950" s="333"/>
      <c r="M950" s="184"/>
      <c r="N950" s="327"/>
    </row>
    <row r="951">
      <c r="A951" s="325"/>
      <c r="B951" s="325"/>
      <c r="D951" s="333"/>
      <c r="E951" s="333"/>
      <c r="M951" s="184"/>
      <c r="N951" s="327"/>
    </row>
    <row r="952">
      <c r="A952" s="325"/>
      <c r="B952" s="325"/>
      <c r="D952" s="333"/>
      <c r="E952" s="333"/>
      <c r="M952" s="184"/>
      <c r="N952" s="327"/>
    </row>
    <row r="953">
      <c r="A953" s="325"/>
      <c r="B953" s="325"/>
      <c r="D953" s="333"/>
      <c r="E953" s="333"/>
      <c r="M953" s="184"/>
      <c r="N953" s="327"/>
    </row>
    <row r="954">
      <c r="A954" s="325"/>
      <c r="B954" s="325"/>
      <c r="D954" s="333"/>
      <c r="E954" s="333"/>
      <c r="M954" s="184"/>
      <c r="N954" s="327"/>
    </row>
    <row r="955">
      <c r="A955" s="325"/>
      <c r="B955" s="325"/>
      <c r="D955" s="333"/>
      <c r="E955" s="333"/>
      <c r="M955" s="184"/>
      <c r="N955" s="327"/>
    </row>
    <row r="956">
      <c r="A956" s="325"/>
      <c r="B956" s="325"/>
      <c r="D956" s="333"/>
      <c r="E956" s="333"/>
      <c r="M956" s="184"/>
      <c r="N956" s="327"/>
    </row>
    <row r="957">
      <c r="A957" s="325"/>
      <c r="B957" s="325"/>
      <c r="D957" s="333"/>
      <c r="E957" s="333"/>
      <c r="M957" s="184"/>
      <c r="N957" s="327"/>
    </row>
    <row r="958">
      <c r="A958" s="325"/>
      <c r="B958" s="325"/>
      <c r="D958" s="333"/>
      <c r="E958" s="333"/>
      <c r="M958" s="184"/>
      <c r="N958" s="327"/>
    </row>
    <row r="959">
      <c r="A959" s="325"/>
      <c r="B959" s="325"/>
      <c r="D959" s="333"/>
      <c r="E959" s="333"/>
      <c r="M959" s="184"/>
      <c r="N959" s="327"/>
    </row>
    <row r="960">
      <c r="A960" s="325"/>
      <c r="B960" s="325"/>
      <c r="D960" s="333"/>
      <c r="E960" s="333"/>
      <c r="M960" s="184"/>
      <c r="N960" s="327"/>
    </row>
    <row r="961">
      <c r="A961" s="325"/>
      <c r="B961" s="325"/>
      <c r="D961" s="333"/>
      <c r="E961" s="333"/>
      <c r="M961" s="184"/>
      <c r="N961" s="327"/>
    </row>
    <row r="962">
      <c r="A962" s="325"/>
      <c r="B962" s="325"/>
      <c r="D962" s="333"/>
      <c r="E962" s="333"/>
      <c r="M962" s="184"/>
      <c r="N962" s="327"/>
    </row>
    <row r="963">
      <c r="A963" s="325"/>
      <c r="B963" s="325"/>
      <c r="D963" s="333"/>
      <c r="E963" s="333"/>
      <c r="M963" s="184"/>
      <c r="N963" s="327"/>
    </row>
    <row r="964">
      <c r="A964" s="325"/>
      <c r="B964" s="325"/>
      <c r="D964" s="333"/>
      <c r="E964" s="333"/>
      <c r="M964" s="184"/>
      <c r="N964" s="327"/>
    </row>
    <row r="965">
      <c r="A965" s="325"/>
      <c r="B965" s="325"/>
      <c r="D965" s="333"/>
      <c r="E965" s="333"/>
      <c r="M965" s="184"/>
      <c r="N965" s="327"/>
    </row>
    <row r="966">
      <c r="A966" s="325"/>
      <c r="B966" s="325"/>
      <c r="D966" s="333"/>
      <c r="E966" s="333"/>
      <c r="M966" s="184"/>
      <c r="N966" s="327"/>
    </row>
    <row r="967">
      <c r="A967" s="325"/>
      <c r="B967" s="325"/>
      <c r="D967" s="333"/>
      <c r="E967" s="333"/>
      <c r="M967" s="184"/>
      <c r="N967" s="327"/>
    </row>
    <row r="968">
      <c r="A968" s="325"/>
      <c r="B968" s="325"/>
      <c r="D968" s="333"/>
      <c r="E968" s="333"/>
      <c r="M968" s="184"/>
      <c r="N968" s="327"/>
    </row>
    <row r="969">
      <c r="A969" s="325"/>
      <c r="B969" s="325"/>
      <c r="D969" s="333"/>
      <c r="E969" s="333"/>
      <c r="M969" s="184"/>
      <c r="N969" s="327"/>
    </row>
    <row r="970">
      <c r="A970" s="325"/>
      <c r="B970" s="325"/>
      <c r="D970" s="333"/>
      <c r="E970" s="333"/>
      <c r="M970" s="184"/>
      <c r="N970" s="327"/>
    </row>
    <row r="971">
      <c r="A971" s="325"/>
      <c r="B971" s="325"/>
      <c r="D971" s="333"/>
      <c r="E971" s="333"/>
      <c r="M971" s="184"/>
      <c r="N971" s="327"/>
    </row>
    <row r="972">
      <c r="A972" s="325"/>
      <c r="B972" s="325"/>
      <c r="D972" s="333"/>
      <c r="E972" s="333"/>
      <c r="M972" s="184"/>
      <c r="N972" s="327"/>
    </row>
    <row r="973">
      <c r="A973" s="325"/>
      <c r="B973" s="325"/>
      <c r="D973" s="333"/>
      <c r="E973" s="333"/>
      <c r="M973" s="184"/>
      <c r="N973" s="327"/>
    </row>
    <row r="974">
      <c r="A974" s="325"/>
      <c r="B974" s="325"/>
      <c r="D974" s="333"/>
      <c r="E974" s="333"/>
      <c r="M974" s="184"/>
      <c r="N974" s="327"/>
    </row>
    <row r="975">
      <c r="A975" s="325"/>
      <c r="B975" s="325"/>
      <c r="D975" s="333"/>
      <c r="E975" s="333"/>
      <c r="M975" s="184"/>
      <c r="N975" s="327"/>
    </row>
    <row r="976">
      <c r="A976" s="325"/>
      <c r="B976" s="325"/>
      <c r="D976" s="333"/>
      <c r="E976" s="333"/>
      <c r="M976" s="184"/>
      <c r="N976" s="327"/>
    </row>
    <row r="977">
      <c r="A977" s="325"/>
      <c r="B977" s="325"/>
      <c r="D977" s="333"/>
      <c r="E977" s="333"/>
      <c r="M977" s="184"/>
      <c r="N977" s="327"/>
    </row>
    <row r="978">
      <c r="A978" s="325"/>
      <c r="B978" s="325"/>
      <c r="D978" s="333"/>
      <c r="E978" s="333"/>
      <c r="M978" s="184"/>
      <c r="N978" s="327"/>
    </row>
    <row r="979">
      <c r="A979" s="325"/>
      <c r="B979" s="325"/>
      <c r="D979" s="333"/>
      <c r="E979" s="333"/>
      <c r="M979" s="184"/>
      <c r="N979" s="327"/>
    </row>
    <row r="980">
      <c r="A980" s="325"/>
      <c r="B980" s="325"/>
      <c r="D980" s="333"/>
      <c r="E980" s="333"/>
      <c r="M980" s="184"/>
      <c r="N980" s="327"/>
    </row>
    <row r="981">
      <c r="A981" s="325"/>
      <c r="B981" s="325"/>
      <c r="D981" s="333"/>
      <c r="E981" s="333"/>
      <c r="M981" s="184"/>
      <c r="N981" s="327"/>
    </row>
    <row r="982">
      <c r="A982" s="325"/>
      <c r="B982" s="325"/>
      <c r="D982" s="333"/>
      <c r="E982" s="333"/>
      <c r="M982" s="184"/>
      <c r="N982" s="327"/>
    </row>
    <row r="983">
      <c r="A983" s="325"/>
      <c r="B983" s="325"/>
      <c r="D983" s="333"/>
      <c r="E983" s="333"/>
      <c r="M983" s="184"/>
      <c r="N983" s="327"/>
    </row>
    <row r="984">
      <c r="A984" s="325"/>
      <c r="B984" s="325"/>
      <c r="D984" s="333"/>
      <c r="E984" s="333"/>
      <c r="M984" s="184"/>
      <c r="N984" s="327"/>
    </row>
    <row r="985">
      <c r="A985" s="325"/>
      <c r="B985" s="325"/>
      <c r="D985" s="333"/>
      <c r="E985" s="333"/>
      <c r="M985" s="184"/>
      <c r="N985" s="327"/>
    </row>
    <row r="986">
      <c r="A986" s="325"/>
      <c r="B986" s="325"/>
      <c r="D986" s="333"/>
      <c r="E986" s="333"/>
      <c r="M986" s="184"/>
      <c r="N986" s="327"/>
    </row>
    <row r="987">
      <c r="A987" s="325"/>
      <c r="B987" s="325"/>
      <c r="D987" s="333"/>
      <c r="E987" s="333"/>
      <c r="M987" s="184"/>
      <c r="N987" s="327"/>
    </row>
    <row r="988">
      <c r="A988" s="325"/>
      <c r="B988" s="325"/>
      <c r="D988" s="333"/>
      <c r="E988" s="333"/>
      <c r="M988" s="184"/>
      <c r="N988" s="327"/>
    </row>
    <row r="989">
      <c r="A989" s="325"/>
      <c r="B989" s="325"/>
      <c r="D989" s="333"/>
      <c r="E989" s="333"/>
      <c r="M989" s="184"/>
      <c r="N989" s="327"/>
    </row>
    <row r="990">
      <c r="A990" s="325"/>
      <c r="B990" s="325"/>
      <c r="D990" s="333"/>
      <c r="E990" s="333"/>
      <c r="M990" s="184"/>
      <c r="N990" s="327"/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</hyperlinks>
  <drawing r:id="rId3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5" width="8.75"/>
    <col hidden="1" min="14" max="17" width="12.63"/>
    <col customWidth="1" min="18" max="19" width="2.75"/>
    <col customWidth="1" min="20" max="20" width="11.75"/>
    <col customWidth="1" min="21" max="21" width="2.75"/>
  </cols>
  <sheetData>
    <row r="1">
      <c r="A1" s="334" t="s">
        <v>3713</v>
      </c>
      <c r="B1" s="334" t="s">
        <v>3337</v>
      </c>
      <c r="C1" s="335" t="s">
        <v>3714</v>
      </c>
      <c r="D1" s="336" t="s">
        <v>507</v>
      </c>
      <c r="E1" s="337" t="s">
        <v>3715</v>
      </c>
      <c r="F1" s="335" t="s">
        <v>3716</v>
      </c>
      <c r="G1" s="335" t="s">
        <v>3717</v>
      </c>
      <c r="H1" s="335" t="s">
        <v>3718</v>
      </c>
      <c r="I1" s="335" t="s">
        <v>3719</v>
      </c>
      <c r="J1" s="335" t="s">
        <v>690</v>
      </c>
      <c r="K1" s="335" t="s">
        <v>3720</v>
      </c>
      <c r="L1" s="338" t="s">
        <v>3721</v>
      </c>
      <c r="M1" s="339" t="s">
        <v>3347</v>
      </c>
      <c r="N1" s="338" t="s">
        <v>3551</v>
      </c>
      <c r="O1" s="340" t="s">
        <v>3349</v>
      </c>
      <c r="P1" s="338" t="s">
        <v>3722</v>
      </c>
      <c r="Q1" s="338" t="s">
        <v>3723</v>
      </c>
      <c r="R1" s="341" t="s">
        <v>3724</v>
      </c>
      <c r="S1" s="341" t="s">
        <v>3725</v>
      </c>
      <c r="T1" s="341" t="s">
        <v>3726</v>
      </c>
      <c r="U1" s="341" t="s">
        <v>3727</v>
      </c>
      <c r="V1" s="338"/>
    </row>
    <row r="2">
      <c r="A2" s="334">
        <v>45573.0</v>
      </c>
      <c r="B2" s="334">
        <v>45576.0</v>
      </c>
      <c r="C2" s="136" t="s">
        <v>453</v>
      </c>
      <c r="D2" s="137" t="s">
        <v>3728</v>
      </c>
      <c r="E2" s="278">
        <v>819.0</v>
      </c>
      <c r="F2" s="136" t="s">
        <v>1761</v>
      </c>
      <c r="G2" s="136" t="s">
        <v>1762</v>
      </c>
      <c r="H2" s="136" t="s">
        <v>1763</v>
      </c>
      <c r="I2" s="136" t="s">
        <v>621</v>
      </c>
      <c r="J2" s="178" t="s">
        <v>133</v>
      </c>
      <c r="K2" s="136" t="s">
        <v>3357</v>
      </c>
      <c r="L2" s="150">
        <v>12.0</v>
      </c>
      <c r="M2" s="342" t="str">
        <f>VLOOKUP(J2,'Harga Bahan'!F:H,3,false)</f>
        <v>#N/A</v>
      </c>
      <c r="N2" s="178">
        <v>15.0</v>
      </c>
      <c r="O2" s="17">
        <f t="shared" ref="O2:O4" si="1">15*L2</f>
        <v>180</v>
      </c>
      <c r="P2" s="178">
        <v>15.0</v>
      </c>
      <c r="Q2" s="136">
        <f t="shared" ref="Q2:Q4" si="2">sum(N2:P2)</f>
        <v>210</v>
      </c>
      <c r="R2" s="178" t="s">
        <v>3729</v>
      </c>
      <c r="S2" s="343" t="s">
        <v>3730</v>
      </c>
      <c r="T2" s="344" t="str">
        <f>HYPERLINK("https://drive.google.com/file/d/1LUmISOwxiOx9AxCjt8HPhPHau6gbXp8q/view?usp=drivesdk","Vanili_819")</f>
        <v>Vanili_819</v>
      </c>
      <c r="U2" s="178" t="s">
        <v>3731</v>
      </c>
      <c r="V2" s="136"/>
      <c r="W2" s="136"/>
      <c r="X2" s="136"/>
      <c r="Y2" s="136"/>
      <c r="Z2" s="136"/>
      <c r="AA2" s="136"/>
    </row>
    <row r="3">
      <c r="A3" s="334">
        <v>45518.0</v>
      </c>
      <c r="B3" s="334">
        <v>45580.0</v>
      </c>
      <c r="C3" s="136" t="s">
        <v>453</v>
      </c>
      <c r="D3" s="137" t="s">
        <v>3732</v>
      </c>
      <c r="E3" s="278">
        <v>713.0</v>
      </c>
      <c r="F3" s="136" t="s">
        <v>3733</v>
      </c>
      <c r="G3" s="136" t="s">
        <v>3734</v>
      </c>
      <c r="H3" s="136" t="s">
        <v>3575</v>
      </c>
      <c r="I3" s="178" t="s">
        <v>541</v>
      </c>
      <c r="J3" s="17" t="s">
        <v>3735</v>
      </c>
      <c r="K3" s="136" t="s">
        <v>3357</v>
      </c>
      <c r="L3" s="17">
        <v>5.0</v>
      </c>
      <c r="M3" s="342" t="str">
        <f>VLOOKUP(J3,'Harga Bahan'!F:H,3,false)</f>
        <v>#N/A</v>
      </c>
      <c r="N3" s="17">
        <v>30.0</v>
      </c>
      <c r="O3" s="17">
        <f t="shared" si="1"/>
        <v>75</v>
      </c>
      <c r="P3" s="17">
        <v>30.0</v>
      </c>
      <c r="Q3" s="136">
        <f t="shared" si="2"/>
        <v>135</v>
      </c>
      <c r="U3" s="17" t="s">
        <v>3736</v>
      </c>
    </row>
    <row r="4">
      <c r="A4" s="345">
        <v>45575.0</v>
      </c>
      <c r="B4" s="345">
        <v>45581.0</v>
      </c>
      <c r="C4" s="136" t="s">
        <v>453</v>
      </c>
      <c r="D4" s="137" t="s">
        <v>3728</v>
      </c>
      <c r="E4" s="174">
        <v>825.0</v>
      </c>
      <c r="F4" s="136" t="s">
        <v>1761</v>
      </c>
      <c r="G4" s="136" t="s">
        <v>1762</v>
      </c>
      <c r="H4" s="136" t="s">
        <v>1763</v>
      </c>
      <c r="I4" s="136" t="s">
        <v>621</v>
      </c>
      <c r="J4" s="178" t="s">
        <v>133</v>
      </c>
      <c r="K4" s="178" t="s">
        <v>3621</v>
      </c>
      <c r="L4" s="17">
        <v>13.0</v>
      </c>
      <c r="M4" s="342" t="str">
        <f>VLOOKUP(J4,'Harga Bahan'!F:H,3,false)</f>
        <v>#N/A</v>
      </c>
      <c r="N4" s="178">
        <v>15.0</v>
      </c>
      <c r="O4" s="17">
        <f t="shared" si="1"/>
        <v>195</v>
      </c>
      <c r="P4" s="178">
        <v>15.0</v>
      </c>
      <c r="Q4" s="136">
        <f t="shared" si="2"/>
        <v>225</v>
      </c>
      <c r="R4" s="17" t="s">
        <v>3737</v>
      </c>
      <c r="S4" s="133" t="s">
        <v>3738</v>
      </c>
      <c r="T4" s="134" t="str">
        <f>HYPERLINK("https://drive.google.com/file/d/1UfzrrLiwVr43sUz5aMQd1ll74rTjOs-z/view?usp=drivesdk","Vanili_825")</f>
        <v>Vanili_825</v>
      </c>
      <c r="U4" s="17" t="s">
        <v>3739</v>
      </c>
    </row>
    <row r="5">
      <c r="A5" s="345">
        <v>45497.0</v>
      </c>
      <c r="B5" s="345">
        <v>45552.0</v>
      </c>
      <c r="C5" s="136" t="s">
        <v>453</v>
      </c>
      <c r="D5" s="346" t="s">
        <v>222</v>
      </c>
      <c r="E5" s="311">
        <v>673.0</v>
      </c>
      <c r="F5" s="136" t="s">
        <v>1033</v>
      </c>
      <c r="G5" s="136" t="s">
        <v>1034</v>
      </c>
      <c r="H5" s="136" t="s">
        <v>1035</v>
      </c>
      <c r="I5" s="136" t="s">
        <v>621</v>
      </c>
      <c r="J5" s="136" t="s">
        <v>621</v>
      </c>
      <c r="K5" s="136" t="s">
        <v>3357</v>
      </c>
      <c r="L5" s="17">
        <v>18.0</v>
      </c>
      <c r="M5" s="342">
        <f>'TARIF LAYANAN'!H304</f>
        <v>50000</v>
      </c>
      <c r="R5" s="17" t="s">
        <v>3740</v>
      </c>
      <c r="S5" s="133" t="s">
        <v>3741</v>
      </c>
      <c r="T5" s="134" t="str">
        <f>HYPERLINK("https://drive.google.com/file/d/1QsmOHryRtoKBFAFqguyCpK7cL7HBZqNK/view?usp=drivesdk","Vanili_673")</f>
        <v>Vanili_673</v>
      </c>
      <c r="U5" s="17" t="s">
        <v>3742</v>
      </c>
    </row>
    <row r="6">
      <c r="A6" s="345">
        <v>45600.0</v>
      </c>
      <c r="B6" s="345">
        <v>45615.0</v>
      </c>
      <c r="C6" s="136" t="s">
        <v>453</v>
      </c>
      <c r="D6" s="17" t="s">
        <v>3743</v>
      </c>
      <c r="E6" s="17">
        <v>869.0</v>
      </c>
      <c r="F6" s="17" t="s">
        <v>3744</v>
      </c>
      <c r="G6" s="17" t="s">
        <v>155</v>
      </c>
      <c r="H6" s="17" t="s">
        <v>155</v>
      </c>
      <c r="I6" s="178" t="s">
        <v>541</v>
      </c>
      <c r="J6" s="17" t="s">
        <v>3745</v>
      </c>
      <c r="K6" s="17" t="s">
        <v>3746</v>
      </c>
      <c r="L6" s="17">
        <v>2.0</v>
      </c>
      <c r="M6" s="342">
        <v>125000.0</v>
      </c>
      <c r="R6" s="17" t="s">
        <v>3747</v>
      </c>
      <c r="S6" s="133" t="s">
        <v>3748</v>
      </c>
      <c r="T6" s="134" t="str">
        <f>HYPERLINK("https://drive.google.com/file/d/1r-nktbi1Q20yq0pPG33JdXVxQAJzUTm3/view?usp=drivesdk","Vanili_869")</f>
        <v>Vanili_869</v>
      </c>
      <c r="U6" s="17" t="s">
        <v>3749</v>
      </c>
    </row>
    <row r="7">
      <c r="A7" s="345">
        <v>45701.0</v>
      </c>
      <c r="B7" s="345">
        <v>45715.0</v>
      </c>
      <c r="C7" s="136" t="s">
        <v>453</v>
      </c>
      <c r="D7" s="17" t="s">
        <v>3750</v>
      </c>
      <c r="E7" s="17">
        <v>98.0</v>
      </c>
      <c r="F7" s="17" t="s">
        <v>3751</v>
      </c>
      <c r="G7" s="17" t="s">
        <v>3752</v>
      </c>
      <c r="H7" s="17" t="s">
        <v>3753</v>
      </c>
      <c r="I7" s="178" t="s">
        <v>541</v>
      </c>
      <c r="J7" s="17" t="s">
        <v>3750</v>
      </c>
      <c r="K7" s="136" t="s">
        <v>3357</v>
      </c>
      <c r="L7" s="17">
        <v>1.0</v>
      </c>
      <c r="M7" s="347">
        <v>250000.0</v>
      </c>
      <c r="R7" s="17" t="s">
        <v>3754</v>
      </c>
      <c r="S7" s="133" t="s">
        <v>3755</v>
      </c>
      <c r="T7" s="134" t="str">
        <f>HYPERLINK("https://drive.google.com/file/d/1vA9amHzTX0IqS540__oi9KgEzU-KiE4y/view?usp=drivesdk","Vanili_98")</f>
        <v>Vanili_98</v>
      </c>
      <c r="U7" s="17" t="s">
        <v>3756</v>
      </c>
    </row>
    <row r="8">
      <c r="A8" s="334"/>
      <c r="B8" s="334"/>
      <c r="M8" s="348"/>
    </row>
    <row r="9">
      <c r="A9" s="334"/>
      <c r="B9" s="334"/>
      <c r="M9" s="348"/>
    </row>
    <row r="10">
      <c r="A10" s="334"/>
      <c r="B10" s="334"/>
      <c r="M10" s="348"/>
    </row>
    <row r="11">
      <c r="A11" s="334"/>
      <c r="B11" s="334"/>
      <c r="M11" s="348"/>
    </row>
    <row r="12">
      <c r="A12" s="334"/>
      <c r="B12" s="334"/>
      <c r="M12" s="348"/>
    </row>
    <row r="13">
      <c r="A13" s="334"/>
      <c r="B13" s="334"/>
      <c r="M13" s="348"/>
    </row>
    <row r="14">
      <c r="A14" s="334"/>
      <c r="B14" s="334"/>
      <c r="M14" s="348"/>
    </row>
    <row r="15">
      <c r="A15" s="334"/>
      <c r="B15" s="334"/>
      <c r="M15" s="348"/>
    </row>
    <row r="16">
      <c r="A16" s="334"/>
      <c r="B16" s="334"/>
      <c r="M16" s="348"/>
    </row>
    <row r="17">
      <c r="A17" s="334"/>
      <c r="B17" s="334"/>
      <c r="M17" s="348"/>
    </row>
    <row r="18">
      <c r="A18" s="334"/>
      <c r="B18" s="334"/>
      <c r="M18" s="348"/>
    </row>
    <row r="19">
      <c r="A19" s="334"/>
      <c r="B19" s="334"/>
      <c r="M19" s="348"/>
    </row>
    <row r="20">
      <c r="A20" s="334"/>
      <c r="B20" s="334"/>
      <c r="M20" s="348"/>
    </row>
    <row r="21">
      <c r="A21" s="334"/>
      <c r="B21" s="334"/>
      <c r="M21" s="348"/>
    </row>
    <row r="22">
      <c r="A22" s="334"/>
      <c r="B22" s="334"/>
      <c r="M22" s="348"/>
    </row>
    <row r="23">
      <c r="A23" s="334"/>
      <c r="B23" s="334"/>
      <c r="M23" s="348"/>
    </row>
    <row r="24">
      <c r="A24" s="334"/>
      <c r="B24" s="334"/>
      <c r="M24" s="348"/>
    </row>
    <row r="25">
      <c r="A25" s="334"/>
      <c r="B25" s="334"/>
      <c r="M25" s="348"/>
    </row>
    <row r="26">
      <c r="A26" s="334"/>
      <c r="B26" s="334"/>
      <c r="M26" s="348"/>
    </row>
    <row r="27">
      <c r="A27" s="334"/>
      <c r="B27" s="334"/>
      <c r="M27" s="348"/>
    </row>
    <row r="28">
      <c r="A28" s="334"/>
      <c r="B28" s="334"/>
      <c r="M28" s="348"/>
    </row>
    <row r="29">
      <c r="A29" s="334"/>
      <c r="B29" s="334"/>
      <c r="M29" s="348"/>
    </row>
    <row r="30">
      <c r="A30" s="334"/>
      <c r="B30" s="334"/>
      <c r="M30" s="348"/>
    </row>
    <row r="31">
      <c r="A31" s="334"/>
      <c r="B31" s="334"/>
      <c r="M31" s="348"/>
    </row>
    <row r="32">
      <c r="A32" s="334"/>
      <c r="B32" s="334"/>
      <c r="M32" s="348"/>
    </row>
    <row r="33">
      <c r="A33" s="334"/>
      <c r="B33" s="334"/>
      <c r="M33" s="348"/>
    </row>
    <row r="34">
      <c r="A34" s="334"/>
      <c r="B34" s="334"/>
      <c r="M34" s="348"/>
    </row>
    <row r="35">
      <c r="A35" s="334"/>
      <c r="B35" s="334"/>
      <c r="M35" s="348"/>
    </row>
    <row r="36">
      <c r="A36" s="334"/>
      <c r="B36" s="334"/>
      <c r="M36" s="348"/>
    </row>
    <row r="37">
      <c r="A37" s="334"/>
      <c r="B37" s="334"/>
      <c r="M37" s="348"/>
    </row>
    <row r="38">
      <c r="A38" s="334"/>
      <c r="B38" s="334"/>
      <c r="M38" s="348"/>
    </row>
    <row r="39">
      <c r="A39" s="334"/>
      <c r="B39" s="334"/>
      <c r="M39" s="348"/>
    </row>
    <row r="40">
      <c r="A40" s="334"/>
      <c r="B40" s="334"/>
      <c r="M40" s="348"/>
    </row>
    <row r="41">
      <c r="A41" s="334"/>
      <c r="B41" s="334"/>
      <c r="M41" s="348"/>
    </row>
    <row r="42">
      <c r="A42" s="334"/>
      <c r="B42" s="334"/>
      <c r="M42" s="348"/>
    </row>
    <row r="43">
      <c r="A43" s="334"/>
      <c r="B43" s="334"/>
      <c r="M43" s="348"/>
    </row>
    <row r="44">
      <c r="A44" s="334"/>
      <c r="B44" s="334"/>
      <c r="M44" s="348"/>
    </row>
    <row r="45">
      <c r="A45" s="334"/>
      <c r="B45" s="334"/>
      <c r="M45" s="348"/>
    </row>
    <row r="46">
      <c r="A46" s="334"/>
      <c r="B46" s="334"/>
      <c r="M46" s="348"/>
    </row>
    <row r="47">
      <c r="A47" s="334"/>
      <c r="B47" s="334"/>
      <c r="M47" s="348"/>
    </row>
    <row r="48">
      <c r="A48" s="334"/>
      <c r="B48" s="334"/>
      <c r="M48" s="348"/>
    </row>
    <row r="49">
      <c r="A49" s="334"/>
      <c r="B49" s="334"/>
      <c r="M49" s="348"/>
    </row>
    <row r="50">
      <c r="A50" s="334"/>
      <c r="B50" s="334"/>
      <c r="M50" s="348"/>
    </row>
    <row r="51">
      <c r="A51" s="334"/>
      <c r="B51" s="334"/>
      <c r="M51" s="348"/>
    </row>
    <row r="52">
      <c r="A52" s="334"/>
      <c r="B52" s="334"/>
      <c r="M52" s="348"/>
    </row>
    <row r="53">
      <c r="A53" s="334"/>
      <c r="B53" s="334"/>
      <c r="M53" s="348"/>
    </row>
    <row r="54">
      <c r="A54" s="334"/>
      <c r="B54" s="334"/>
      <c r="M54" s="348"/>
    </row>
    <row r="55">
      <c r="A55" s="334"/>
      <c r="B55" s="334"/>
      <c r="M55" s="348"/>
    </row>
    <row r="56">
      <c r="A56" s="334"/>
      <c r="B56" s="334"/>
      <c r="M56" s="348"/>
    </row>
    <row r="57">
      <c r="A57" s="334"/>
      <c r="B57" s="334"/>
      <c r="M57" s="348"/>
    </row>
    <row r="58">
      <c r="A58" s="334"/>
      <c r="B58" s="334"/>
      <c r="M58" s="348"/>
    </row>
    <row r="59">
      <c r="A59" s="334"/>
      <c r="B59" s="334"/>
      <c r="M59" s="348"/>
    </row>
    <row r="60">
      <c r="A60" s="334"/>
      <c r="B60" s="334"/>
      <c r="M60" s="348"/>
    </row>
    <row r="61">
      <c r="A61" s="334"/>
      <c r="B61" s="334"/>
      <c r="M61" s="348"/>
    </row>
    <row r="62">
      <c r="A62" s="334"/>
      <c r="B62" s="334"/>
      <c r="M62" s="348"/>
    </row>
    <row r="63">
      <c r="A63" s="334"/>
      <c r="B63" s="334"/>
      <c r="M63" s="348"/>
    </row>
    <row r="64">
      <c r="A64" s="334"/>
      <c r="B64" s="334"/>
      <c r="M64" s="348"/>
    </row>
    <row r="65">
      <c r="A65" s="334"/>
      <c r="B65" s="334"/>
      <c r="M65" s="348"/>
    </row>
    <row r="66">
      <c r="A66" s="334"/>
      <c r="B66" s="334"/>
      <c r="M66" s="348"/>
    </row>
    <row r="67">
      <c r="A67" s="334"/>
      <c r="B67" s="334"/>
      <c r="M67" s="348"/>
    </row>
    <row r="68">
      <c r="A68" s="334"/>
      <c r="B68" s="334"/>
      <c r="M68" s="348"/>
    </row>
    <row r="69">
      <c r="A69" s="334"/>
      <c r="B69" s="334"/>
      <c r="M69" s="348"/>
    </row>
    <row r="70">
      <c r="A70" s="334"/>
      <c r="B70" s="334"/>
      <c r="M70" s="348"/>
    </row>
    <row r="71">
      <c r="A71" s="334"/>
      <c r="B71" s="334"/>
      <c r="M71" s="348"/>
    </row>
    <row r="72">
      <c r="A72" s="334"/>
      <c r="B72" s="334"/>
      <c r="M72" s="348"/>
    </row>
    <row r="73">
      <c r="A73" s="334"/>
      <c r="B73" s="334"/>
      <c r="M73" s="348"/>
    </row>
    <row r="74">
      <c r="A74" s="334"/>
      <c r="B74" s="334"/>
      <c r="M74" s="348"/>
    </row>
    <row r="75">
      <c r="A75" s="334"/>
      <c r="B75" s="334"/>
      <c r="M75" s="348"/>
    </row>
    <row r="76">
      <c r="A76" s="334"/>
      <c r="B76" s="334"/>
      <c r="M76" s="348"/>
    </row>
    <row r="77">
      <c r="A77" s="334"/>
      <c r="B77" s="334"/>
      <c r="M77" s="348"/>
    </row>
    <row r="78">
      <c r="A78" s="334"/>
      <c r="B78" s="334"/>
      <c r="M78" s="348"/>
    </row>
    <row r="79">
      <c r="A79" s="334"/>
      <c r="B79" s="334"/>
      <c r="M79" s="348"/>
    </row>
    <row r="80">
      <c r="A80" s="334"/>
      <c r="B80" s="334"/>
      <c r="M80" s="348"/>
    </row>
    <row r="81">
      <c r="A81" s="334"/>
      <c r="B81" s="334"/>
      <c r="M81" s="348"/>
    </row>
    <row r="82">
      <c r="A82" s="334"/>
      <c r="B82" s="334"/>
      <c r="M82" s="348"/>
    </row>
    <row r="83">
      <c r="A83" s="334"/>
      <c r="B83" s="334"/>
      <c r="M83" s="348"/>
    </row>
    <row r="84">
      <c r="A84" s="334"/>
      <c r="B84" s="334"/>
      <c r="M84" s="348"/>
    </row>
    <row r="85">
      <c r="A85" s="334"/>
      <c r="B85" s="334"/>
      <c r="M85" s="348"/>
    </row>
    <row r="86">
      <c r="A86" s="334"/>
      <c r="B86" s="334"/>
      <c r="M86" s="348"/>
    </row>
    <row r="87">
      <c r="A87" s="334"/>
      <c r="B87" s="334"/>
      <c r="M87" s="348"/>
    </row>
    <row r="88">
      <c r="A88" s="334"/>
      <c r="B88" s="334"/>
      <c r="M88" s="348"/>
    </row>
    <row r="89">
      <c r="A89" s="334"/>
      <c r="B89" s="334"/>
      <c r="M89" s="348"/>
    </row>
    <row r="90">
      <c r="A90" s="334"/>
      <c r="B90" s="334"/>
      <c r="M90" s="348"/>
    </row>
    <row r="91">
      <c r="A91" s="334"/>
      <c r="B91" s="334"/>
      <c r="M91" s="348"/>
    </row>
    <row r="92">
      <c r="A92" s="334"/>
      <c r="B92" s="334"/>
      <c r="M92" s="348"/>
    </row>
    <row r="93">
      <c r="A93" s="334"/>
      <c r="B93" s="334"/>
      <c r="M93" s="348"/>
    </row>
    <row r="94">
      <c r="A94" s="334"/>
      <c r="B94" s="334"/>
      <c r="M94" s="348"/>
    </row>
    <row r="95">
      <c r="A95" s="334"/>
      <c r="B95" s="334"/>
      <c r="M95" s="348"/>
    </row>
    <row r="96">
      <c r="A96" s="334"/>
      <c r="B96" s="334"/>
      <c r="M96" s="348"/>
    </row>
    <row r="97">
      <c r="A97" s="334"/>
      <c r="B97" s="334"/>
      <c r="M97" s="348"/>
    </row>
    <row r="98">
      <c r="A98" s="334"/>
      <c r="B98" s="334"/>
      <c r="M98" s="348"/>
    </row>
    <row r="99">
      <c r="A99" s="334"/>
      <c r="B99" s="334"/>
      <c r="M99" s="348"/>
    </row>
    <row r="100">
      <c r="A100" s="334"/>
      <c r="B100" s="334"/>
      <c r="M100" s="348"/>
    </row>
    <row r="101">
      <c r="A101" s="334"/>
      <c r="B101" s="334"/>
      <c r="M101" s="348"/>
    </row>
    <row r="102">
      <c r="A102" s="334"/>
      <c r="B102" s="334"/>
      <c r="M102" s="348"/>
    </row>
    <row r="103">
      <c r="A103" s="334"/>
      <c r="B103" s="334"/>
      <c r="M103" s="348"/>
    </row>
    <row r="104">
      <c r="A104" s="334"/>
      <c r="B104" s="334"/>
      <c r="M104" s="348"/>
    </row>
    <row r="105">
      <c r="A105" s="334"/>
      <c r="B105" s="334"/>
      <c r="M105" s="348"/>
    </row>
    <row r="106">
      <c r="A106" s="334"/>
      <c r="B106" s="334"/>
      <c r="M106" s="348"/>
    </row>
    <row r="107">
      <c r="A107" s="334"/>
      <c r="B107" s="334"/>
      <c r="M107" s="348"/>
    </row>
    <row r="108">
      <c r="A108" s="334"/>
      <c r="B108" s="334"/>
      <c r="M108" s="348"/>
    </row>
    <row r="109">
      <c r="A109" s="334"/>
      <c r="B109" s="334"/>
      <c r="M109" s="348"/>
    </row>
    <row r="110">
      <c r="A110" s="334"/>
      <c r="B110" s="334"/>
      <c r="M110" s="348"/>
    </row>
    <row r="111">
      <c r="A111" s="334"/>
      <c r="B111" s="334"/>
      <c r="M111" s="348"/>
    </row>
    <row r="112">
      <c r="A112" s="334"/>
      <c r="B112" s="334"/>
      <c r="M112" s="348"/>
    </row>
    <row r="113">
      <c r="A113" s="334"/>
      <c r="B113" s="334"/>
      <c r="M113" s="348"/>
    </row>
    <row r="114">
      <c r="A114" s="334"/>
      <c r="B114" s="334"/>
      <c r="M114" s="348"/>
    </row>
    <row r="115">
      <c r="A115" s="334"/>
      <c r="B115" s="334"/>
      <c r="M115" s="348"/>
    </row>
    <row r="116">
      <c r="A116" s="334"/>
      <c r="B116" s="334"/>
      <c r="M116" s="348"/>
    </row>
    <row r="117">
      <c r="A117" s="334"/>
      <c r="B117" s="334"/>
      <c r="M117" s="348"/>
    </row>
    <row r="118">
      <c r="A118" s="334"/>
      <c r="B118" s="334"/>
      <c r="M118" s="348"/>
    </row>
    <row r="119">
      <c r="A119" s="334"/>
      <c r="B119" s="334"/>
      <c r="M119" s="348"/>
    </row>
    <row r="120">
      <c r="A120" s="334"/>
      <c r="B120" s="334"/>
      <c r="M120" s="348"/>
    </row>
    <row r="121">
      <c r="A121" s="334"/>
      <c r="B121" s="334"/>
      <c r="M121" s="348"/>
    </row>
    <row r="122">
      <c r="A122" s="334"/>
      <c r="B122" s="334"/>
      <c r="M122" s="348"/>
    </row>
    <row r="123">
      <c r="A123" s="334"/>
      <c r="B123" s="334"/>
      <c r="M123" s="348"/>
    </row>
    <row r="124">
      <c r="A124" s="334"/>
      <c r="B124" s="334"/>
      <c r="M124" s="348"/>
    </row>
    <row r="125">
      <c r="A125" s="334"/>
      <c r="B125" s="334"/>
      <c r="M125" s="348"/>
    </row>
    <row r="126">
      <c r="A126" s="334"/>
      <c r="B126" s="334"/>
      <c r="M126" s="348"/>
    </row>
    <row r="127">
      <c r="A127" s="334"/>
      <c r="B127" s="334"/>
      <c r="M127" s="348"/>
    </row>
    <row r="128">
      <c r="A128" s="334"/>
      <c r="B128" s="334"/>
      <c r="M128" s="348"/>
    </row>
    <row r="129">
      <c r="A129" s="334"/>
      <c r="B129" s="334"/>
      <c r="M129" s="348"/>
    </row>
    <row r="130">
      <c r="A130" s="334"/>
      <c r="B130" s="334"/>
      <c r="M130" s="348"/>
    </row>
    <row r="131">
      <c r="A131" s="334"/>
      <c r="B131" s="334"/>
      <c r="M131" s="348"/>
    </row>
    <row r="132">
      <c r="A132" s="334"/>
      <c r="B132" s="334"/>
      <c r="M132" s="348"/>
    </row>
    <row r="133">
      <c r="A133" s="334"/>
      <c r="B133" s="334"/>
      <c r="M133" s="348"/>
    </row>
    <row r="134">
      <c r="A134" s="334"/>
      <c r="B134" s="334"/>
      <c r="M134" s="348"/>
    </row>
    <row r="135">
      <c r="A135" s="334"/>
      <c r="B135" s="334"/>
      <c r="M135" s="348"/>
    </row>
    <row r="136">
      <c r="A136" s="334"/>
      <c r="B136" s="334"/>
      <c r="M136" s="348"/>
    </row>
    <row r="137">
      <c r="A137" s="334"/>
      <c r="B137" s="334"/>
      <c r="M137" s="348"/>
    </row>
    <row r="138">
      <c r="A138" s="334"/>
      <c r="B138" s="334"/>
      <c r="M138" s="348"/>
    </row>
    <row r="139">
      <c r="A139" s="334"/>
      <c r="B139" s="334"/>
      <c r="M139" s="348"/>
    </row>
    <row r="140">
      <c r="A140" s="334"/>
      <c r="B140" s="334"/>
      <c r="M140" s="348"/>
    </row>
    <row r="141">
      <c r="A141" s="334"/>
      <c r="B141" s="334"/>
      <c r="M141" s="348"/>
    </row>
    <row r="142">
      <c r="A142" s="334"/>
      <c r="B142" s="334"/>
      <c r="M142" s="348"/>
    </row>
    <row r="143">
      <c r="A143" s="334"/>
      <c r="B143" s="334"/>
      <c r="M143" s="348"/>
    </row>
    <row r="144">
      <c r="A144" s="334"/>
      <c r="B144" s="334"/>
      <c r="M144" s="348"/>
    </row>
    <row r="145">
      <c r="A145" s="334"/>
      <c r="B145" s="334"/>
      <c r="M145" s="348"/>
    </row>
    <row r="146">
      <c r="A146" s="334"/>
      <c r="B146" s="334"/>
      <c r="M146" s="348"/>
    </row>
    <row r="147">
      <c r="A147" s="334"/>
      <c r="B147" s="334"/>
      <c r="M147" s="348"/>
    </row>
    <row r="148">
      <c r="A148" s="334"/>
      <c r="B148" s="334"/>
      <c r="M148" s="348"/>
    </row>
    <row r="149">
      <c r="A149" s="334"/>
      <c r="B149" s="334"/>
      <c r="M149" s="348"/>
    </row>
    <row r="150">
      <c r="A150" s="334"/>
      <c r="B150" s="334"/>
      <c r="M150" s="348"/>
    </row>
    <row r="151">
      <c r="A151" s="334"/>
      <c r="B151" s="334"/>
      <c r="M151" s="348"/>
    </row>
    <row r="152">
      <c r="A152" s="334"/>
      <c r="B152" s="334"/>
      <c r="M152" s="348"/>
    </row>
    <row r="153">
      <c r="A153" s="334"/>
      <c r="B153" s="334"/>
      <c r="M153" s="348"/>
    </row>
    <row r="154">
      <c r="A154" s="334"/>
      <c r="B154" s="334"/>
      <c r="M154" s="348"/>
    </row>
    <row r="155">
      <c r="A155" s="334"/>
      <c r="B155" s="334"/>
      <c r="M155" s="348"/>
    </row>
    <row r="156">
      <c r="A156" s="334"/>
      <c r="B156" s="334"/>
      <c r="M156" s="348"/>
    </row>
    <row r="157">
      <c r="A157" s="334"/>
      <c r="B157" s="334"/>
      <c r="M157" s="348"/>
    </row>
    <row r="158">
      <c r="A158" s="334"/>
      <c r="B158" s="334"/>
      <c r="M158" s="348"/>
    </row>
    <row r="159">
      <c r="A159" s="334"/>
      <c r="B159" s="334"/>
      <c r="M159" s="348"/>
    </row>
    <row r="160">
      <c r="A160" s="334"/>
      <c r="B160" s="334"/>
      <c r="M160" s="348"/>
    </row>
    <row r="161">
      <c r="A161" s="334"/>
      <c r="B161" s="334"/>
      <c r="M161" s="348"/>
    </row>
    <row r="162">
      <c r="A162" s="334"/>
      <c r="B162" s="334"/>
      <c r="M162" s="348"/>
    </row>
    <row r="163">
      <c r="A163" s="334"/>
      <c r="B163" s="334"/>
      <c r="M163" s="348"/>
    </row>
    <row r="164">
      <c r="A164" s="334"/>
      <c r="B164" s="334"/>
      <c r="M164" s="348"/>
    </row>
    <row r="165">
      <c r="A165" s="334"/>
      <c r="B165" s="334"/>
      <c r="M165" s="348"/>
    </row>
    <row r="166">
      <c r="A166" s="334"/>
      <c r="B166" s="334"/>
      <c r="M166" s="348"/>
    </row>
    <row r="167">
      <c r="A167" s="334"/>
      <c r="B167" s="334"/>
      <c r="M167" s="348"/>
    </row>
    <row r="168">
      <c r="A168" s="334"/>
      <c r="B168" s="334"/>
      <c r="M168" s="348"/>
    </row>
    <row r="169">
      <c r="A169" s="334"/>
      <c r="B169" s="334"/>
      <c r="M169" s="348"/>
    </row>
    <row r="170">
      <c r="A170" s="334"/>
      <c r="B170" s="334"/>
      <c r="M170" s="348"/>
    </row>
    <row r="171">
      <c r="A171" s="334"/>
      <c r="B171" s="334"/>
      <c r="M171" s="348"/>
    </row>
    <row r="172">
      <c r="A172" s="334"/>
      <c r="B172" s="334"/>
      <c r="M172" s="348"/>
    </row>
    <row r="173">
      <c r="A173" s="334"/>
      <c r="B173" s="334"/>
      <c r="M173" s="348"/>
    </row>
    <row r="174">
      <c r="A174" s="334"/>
      <c r="B174" s="334"/>
      <c r="M174" s="348"/>
    </row>
    <row r="175">
      <c r="A175" s="334"/>
      <c r="B175" s="334"/>
      <c r="M175" s="348"/>
    </row>
    <row r="176">
      <c r="A176" s="334"/>
      <c r="B176" s="334"/>
      <c r="M176" s="348"/>
    </row>
    <row r="177">
      <c r="A177" s="334"/>
      <c r="B177" s="334"/>
      <c r="M177" s="348"/>
    </row>
    <row r="178">
      <c r="A178" s="334"/>
      <c r="B178" s="334"/>
      <c r="M178" s="348"/>
    </row>
    <row r="179">
      <c r="A179" s="334"/>
      <c r="B179" s="334"/>
      <c r="M179" s="348"/>
    </row>
    <row r="180">
      <c r="A180" s="334"/>
      <c r="B180" s="334"/>
      <c r="M180" s="348"/>
    </row>
    <row r="181">
      <c r="A181" s="334"/>
      <c r="B181" s="334"/>
      <c r="M181" s="348"/>
    </row>
    <row r="182">
      <c r="A182" s="334"/>
      <c r="B182" s="334"/>
      <c r="M182" s="348"/>
    </row>
    <row r="183">
      <c r="A183" s="334"/>
      <c r="B183" s="334"/>
      <c r="M183" s="348"/>
    </row>
    <row r="184">
      <c r="A184" s="334"/>
      <c r="B184" s="334"/>
      <c r="M184" s="348"/>
    </row>
    <row r="185">
      <c r="A185" s="334"/>
      <c r="B185" s="334"/>
      <c r="M185" s="348"/>
    </row>
    <row r="186">
      <c r="A186" s="334"/>
      <c r="B186" s="334"/>
      <c r="M186" s="348"/>
    </row>
    <row r="187">
      <c r="A187" s="334"/>
      <c r="B187" s="334"/>
      <c r="M187" s="348"/>
    </row>
    <row r="188">
      <c r="A188" s="334"/>
      <c r="B188" s="334"/>
      <c r="M188" s="348"/>
    </row>
    <row r="189">
      <c r="A189" s="334"/>
      <c r="B189" s="334"/>
      <c r="M189" s="348"/>
    </row>
    <row r="190">
      <c r="A190" s="334"/>
      <c r="B190" s="334"/>
      <c r="M190" s="348"/>
    </row>
    <row r="191">
      <c r="A191" s="334"/>
      <c r="B191" s="334"/>
      <c r="M191" s="348"/>
    </row>
    <row r="192">
      <c r="A192" s="334"/>
      <c r="B192" s="334"/>
      <c r="M192" s="348"/>
    </row>
    <row r="193">
      <c r="A193" s="334"/>
      <c r="B193" s="334"/>
      <c r="M193" s="348"/>
    </row>
    <row r="194">
      <c r="A194" s="334"/>
      <c r="B194" s="334"/>
      <c r="M194" s="348"/>
    </row>
    <row r="195">
      <c r="A195" s="334"/>
      <c r="B195" s="334"/>
      <c r="M195" s="348"/>
    </row>
    <row r="196">
      <c r="A196" s="334"/>
      <c r="B196" s="334"/>
      <c r="M196" s="348"/>
    </row>
    <row r="197">
      <c r="A197" s="334"/>
      <c r="B197" s="334"/>
      <c r="M197" s="348"/>
    </row>
    <row r="198">
      <c r="A198" s="334"/>
      <c r="B198" s="334"/>
      <c r="M198" s="348"/>
    </row>
    <row r="199">
      <c r="A199" s="334"/>
      <c r="B199" s="334"/>
      <c r="M199" s="348"/>
    </row>
    <row r="200">
      <c r="A200" s="334"/>
      <c r="B200" s="334"/>
      <c r="M200" s="348"/>
    </row>
    <row r="201">
      <c r="A201" s="334"/>
      <c r="B201" s="334"/>
      <c r="M201" s="348"/>
    </row>
    <row r="202">
      <c r="A202" s="334"/>
      <c r="B202" s="334"/>
      <c r="M202" s="348"/>
    </row>
    <row r="203">
      <c r="A203" s="334"/>
      <c r="B203" s="334"/>
      <c r="M203" s="348"/>
    </row>
    <row r="204">
      <c r="A204" s="334"/>
      <c r="B204" s="334"/>
      <c r="M204" s="348"/>
    </row>
    <row r="205">
      <c r="A205" s="334"/>
      <c r="B205" s="334"/>
      <c r="M205" s="348"/>
    </row>
    <row r="206">
      <c r="A206" s="334"/>
      <c r="B206" s="334"/>
      <c r="M206" s="348"/>
    </row>
    <row r="207">
      <c r="A207" s="334"/>
      <c r="B207" s="334"/>
      <c r="M207" s="348"/>
    </row>
    <row r="208">
      <c r="A208" s="334"/>
      <c r="B208" s="334"/>
      <c r="M208" s="348"/>
    </row>
    <row r="209">
      <c r="A209" s="334"/>
      <c r="B209" s="334"/>
      <c r="M209" s="348"/>
    </row>
    <row r="210">
      <c r="A210" s="334"/>
      <c r="B210" s="334"/>
      <c r="M210" s="348"/>
    </row>
    <row r="211">
      <c r="A211" s="334"/>
      <c r="B211" s="334"/>
      <c r="M211" s="348"/>
    </row>
    <row r="212">
      <c r="A212" s="334"/>
      <c r="B212" s="334"/>
      <c r="M212" s="348"/>
    </row>
    <row r="213">
      <c r="A213" s="334"/>
      <c r="B213" s="334"/>
      <c r="M213" s="348"/>
    </row>
    <row r="214">
      <c r="A214" s="334"/>
      <c r="B214" s="334"/>
      <c r="M214" s="348"/>
    </row>
    <row r="215">
      <c r="A215" s="334"/>
      <c r="B215" s="334"/>
      <c r="M215" s="348"/>
    </row>
    <row r="216">
      <c r="A216" s="334"/>
      <c r="B216" s="334"/>
      <c r="M216" s="348"/>
    </row>
    <row r="217">
      <c r="A217" s="334"/>
      <c r="B217" s="334"/>
      <c r="M217" s="348"/>
    </row>
    <row r="218">
      <c r="A218" s="334"/>
      <c r="B218" s="334"/>
      <c r="M218" s="348"/>
    </row>
    <row r="219">
      <c r="A219" s="334"/>
      <c r="B219" s="334"/>
      <c r="M219" s="348"/>
    </row>
    <row r="220">
      <c r="A220" s="334"/>
      <c r="B220" s="334"/>
      <c r="M220" s="348"/>
    </row>
    <row r="221">
      <c r="A221" s="334"/>
      <c r="B221" s="334"/>
      <c r="M221" s="348"/>
    </row>
    <row r="222">
      <c r="A222" s="334"/>
      <c r="B222" s="334"/>
      <c r="M222" s="348"/>
    </row>
    <row r="223">
      <c r="A223" s="334"/>
      <c r="B223" s="334"/>
      <c r="M223" s="348"/>
    </row>
    <row r="224">
      <c r="A224" s="334"/>
      <c r="B224" s="334"/>
      <c r="M224" s="348"/>
    </row>
    <row r="225">
      <c r="A225" s="334"/>
      <c r="B225" s="334"/>
      <c r="M225" s="348"/>
    </row>
    <row r="226">
      <c r="A226" s="334"/>
      <c r="B226" s="334"/>
      <c r="M226" s="348"/>
    </row>
    <row r="227">
      <c r="A227" s="334"/>
      <c r="B227" s="334"/>
      <c r="M227" s="348"/>
    </row>
    <row r="228">
      <c r="A228" s="334"/>
      <c r="B228" s="334"/>
      <c r="M228" s="348"/>
    </row>
    <row r="229">
      <c r="A229" s="334"/>
      <c r="B229" s="334"/>
      <c r="M229" s="348"/>
    </row>
    <row r="230">
      <c r="A230" s="334"/>
      <c r="B230" s="334"/>
      <c r="M230" s="348"/>
    </row>
    <row r="231">
      <c r="A231" s="334"/>
      <c r="B231" s="334"/>
      <c r="M231" s="348"/>
    </row>
    <row r="232">
      <c r="A232" s="334"/>
      <c r="B232" s="334"/>
      <c r="M232" s="348"/>
    </row>
    <row r="233">
      <c r="A233" s="334"/>
      <c r="B233" s="334"/>
      <c r="M233" s="348"/>
    </row>
    <row r="234">
      <c r="A234" s="334"/>
      <c r="B234" s="334"/>
      <c r="M234" s="348"/>
    </row>
    <row r="235">
      <c r="A235" s="334"/>
      <c r="B235" s="334"/>
      <c r="M235" s="348"/>
    </row>
    <row r="236">
      <c r="A236" s="334"/>
      <c r="B236" s="334"/>
      <c r="M236" s="348"/>
    </row>
    <row r="237">
      <c r="A237" s="334"/>
      <c r="B237" s="334"/>
      <c r="M237" s="348"/>
    </row>
    <row r="238">
      <c r="A238" s="334"/>
      <c r="B238" s="334"/>
      <c r="M238" s="348"/>
    </row>
    <row r="239">
      <c r="A239" s="334"/>
      <c r="B239" s="334"/>
      <c r="M239" s="348"/>
    </row>
    <row r="240">
      <c r="A240" s="334"/>
      <c r="B240" s="334"/>
      <c r="M240" s="348"/>
    </row>
    <row r="241">
      <c r="A241" s="334"/>
      <c r="B241" s="334"/>
      <c r="M241" s="348"/>
    </row>
    <row r="242">
      <c r="A242" s="334"/>
      <c r="B242" s="334"/>
      <c r="M242" s="348"/>
    </row>
    <row r="243">
      <c r="A243" s="334"/>
      <c r="B243" s="334"/>
      <c r="M243" s="348"/>
    </row>
    <row r="244">
      <c r="A244" s="334"/>
      <c r="B244" s="334"/>
      <c r="M244" s="348"/>
    </row>
    <row r="245">
      <c r="A245" s="334"/>
      <c r="B245" s="334"/>
      <c r="M245" s="348"/>
    </row>
    <row r="246">
      <c r="A246" s="334"/>
      <c r="B246" s="334"/>
      <c r="M246" s="348"/>
    </row>
    <row r="247">
      <c r="A247" s="334"/>
      <c r="B247" s="334"/>
      <c r="M247" s="348"/>
    </row>
    <row r="248">
      <c r="A248" s="334"/>
      <c r="B248" s="334"/>
      <c r="M248" s="348"/>
    </row>
    <row r="249">
      <c r="A249" s="334"/>
      <c r="B249" s="334"/>
      <c r="M249" s="348"/>
    </row>
    <row r="250">
      <c r="A250" s="334"/>
      <c r="B250" s="334"/>
      <c r="M250" s="348"/>
    </row>
    <row r="251">
      <c r="A251" s="334"/>
      <c r="B251" s="334"/>
      <c r="M251" s="348"/>
    </row>
    <row r="252">
      <c r="A252" s="334"/>
      <c r="B252" s="334"/>
      <c r="M252" s="348"/>
    </row>
    <row r="253">
      <c r="A253" s="334"/>
      <c r="B253" s="334"/>
      <c r="M253" s="348"/>
    </row>
    <row r="254">
      <c r="A254" s="334"/>
      <c r="B254" s="334"/>
      <c r="M254" s="348"/>
    </row>
    <row r="255">
      <c r="A255" s="334"/>
      <c r="B255" s="334"/>
      <c r="M255" s="348"/>
    </row>
    <row r="256">
      <c r="A256" s="334"/>
      <c r="B256" s="334"/>
      <c r="M256" s="348"/>
    </row>
    <row r="257">
      <c r="A257" s="334"/>
      <c r="B257" s="334"/>
      <c r="M257" s="348"/>
    </row>
    <row r="258">
      <c r="A258" s="334"/>
      <c r="B258" s="334"/>
      <c r="M258" s="348"/>
    </row>
    <row r="259">
      <c r="A259" s="334"/>
      <c r="B259" s="334"/>
      <c r="M259" s="348"/>
    </row>
    <row r="260">
      <c r="A260" s="334"/>
      <c r="B260" s="334"/>
      <c r="M260" s="348"/>
    </row>
    <row r="261">
      <c r="A261" s="334"/>
      <c r="B261" s="334"/>
      <c r="M261" s="348"/>
    </row>
    <row r="262">
      <c r="A262" s="334"/>
      <c r="B262" s="334"/>
      <c r="M262" s="348"/>
    </row>
    <row r="263">
      <c r="A263" s="334"/>
      <c r="B263" s="334"/>
      <c r="M263" s="348"/>
    </row>
    <row r="264">
      <c r="A264" s="334"/>
      <c r="B264" s="334"/>
      <c r="M264" s="348"/>
    </row>
    <row r="265">
      <c r="A265" s="334"/>
      <c r="B265" s="334"/>
      <c r="M265" s="348"/>
    </row>
    <row r="266">
      <c r="A266" s="334"/>
      <c r="B266" s="334"/>
      <c r="M266" s="348"/>
    </row>
    <row r="267">
      <c r="A267" s="334"/>
      <c r="B267" s="334"/>
      <c r="M267" s="348"/>
    </row>
    <row r="268">
      <c r="A268" s="334"/>
      <c r="B268" s="334"/>
      <c r="M268" s="348"/>
    </row>
    <row r="269">
      <c r="A269" s="334"/>
      <c r="B269" s="334"/>
      <c r="M269" s="348"/>
    </row>
    <row r="270">
      <c r="A270" s="334"/>
      <c r="B270" s="334"/>
      <c r="M270" s="348"/>
    </row>
    <row r="271">
      <c r="A271" s="334"/>
      <c r="B271" s="334"/>
      <c r="M271" s="348"/>
    </row>
    <row r="272">
      <c r="A272" s="334"/>
      <c r="B272" s="334"/>
      <c r="M272" s="348"/>
    </row>
    <row r="273">
      <c r="A273" s="334"/>
      <c r="B273" s="334"/>
      <c r="M273" s="348"/>
    </row>
    <row r="274">
      <c r="A274" s="334"/>
      <c r="B274" s="334"/>
      <c r="M274" s="348"/>
    </row>
    <row r="275">
      <c r="A275" s="334"/>
      <c r="B275" s="334"/>
      <c r="M275" s="348"/>
    </row>
    <row r="276">
      <c r="A276" s="334"/>
      <c r="B276" s="334"/>
      <c r="M276" s="348"/>
    </row>
    <row r="277">
      <c r="A277" s="334"/>
      <c r="B277" s="334"/>
      <c r="M277" s="348"/>
    </row>
    <row r="278">
      <c r="A278" s="334"/>
      <c r="B278" s="334"/>
      <c r="M278" s="348"/>
    </row>
    <row r="279">
      <c r="A279" s="334"/>
      <c r="B279" s="334"/>
      <c r="M279" s="348"/>
    </row>
    <row r="280">
      <c r="A280" s="334"/>
      <c r="B280" s="334"/>
      <c r="M280" s="348"/>
    </row>
    <row r="281">
      <c r="A281" s="334"/>
      <c r="B281" s="334"/>
      <c r="M281" s="348"/>
    </row>
    <row r="282">
      <c r="A282" s="334"/>
      <c r="B282" s="334"/>
      <c r="M282" s="348"/>
    </row>
    <row r="283">
      <c r="A283" s="334"/>
      <c r="B283" s="334"/>
      <c r="M283" s="348"/>
    </row>
    <row r="284">
      <c r="A284" s="334"/>
      <c r="B284" s="334"/>
      <c r="M284" s="348"/>
    </row>
    <row r="285">
      <c r="A285" s="334"/>
      <c r="B285" s="334"/>
      <c r="M285" s="348"/>
    </row>
    <row r="286">
      <c r="A286" s="334"/>
      <c r="B286" s="334"/>
      <c r="M286" s="348"/>
    </row>
    <row r="287">
      <c r="A287" s="334"/>
      <c r="B287" s="334"/>
      <c r="M287" s="348"/>
    </row>
    <row r="288">
      <c r="A288" s="334"/>
      <c r="B288" s="334"/>
      <c r="M288" s="348"/>
    </row>
    <row r="289">
      <c r="A289" s="334"/>
      <c r="B289" s="334"/>
      <c r="M289" s="348"/>
    </row>
    <row r="290">
      <c r="A290" s="334"/>
      <c r="B290" s="334"/>
      <c r="M290" s="348"/>
    </row>
    <row r="291">
      <c r="A291" s="334"/>
      <c r="B291" s="334"/>
      <c r="M291" s="348"/>
    </row>
    <row r="292">
      <c r="A292" s="334"/>
      <c r="B292" s="334"/>
      <c r="M292" s="348"/>
    </row>
    <row r="293">
      <c r="A293" s="334"/>
      <c r="B293" s="334"/>
      <c r="M293" s="348"/>
    </row>
    <row r="294">
      <c r="A294" s="334"/>
      <c r="B294" s="334"/>
      <c r="M294" s="348"/>
    </row>
    <row r="295">
      <c r="A295" s="334"/>
      <c r="B295" s="334"/>
      <c r="M295" s="348"/>
    </row>
    <row r="296">
      <c r="A296" s="334"/>
      <c r="B296" s="334"/>
      <c r="M296" s="348"/>
    </row>
    <row r="297">
      <c r="A297" s="334"/>
      <c r="B297" s="334"/>
      <c r="M297" s="348"/>
    </row>
    <row r="298">
      <c r="A298" s="334"/>
      <c r="B298" s="334"/>
      <c r="M298" s="348"/>
    </row>
    <row r="299">
      <c r="A299" s="334"/>
      <c r="B299" s="334"/>
      <c r="M299" s="348"/>
    </row>
    <row r="300">
      <c r="A300" s="334"/>
      <c r="B300" s="334"/>
      <c r="M300" s="348"/>
    </row>
    <row r="301">
      <c r="A301" s="334"/>
      <c r="B301" s="334"/>
      <c r="M301" s="348"/>
    </row>
    <row r="302">
      <c r="A302" s="334"/>
      <c r="B302" s="334"/>
      <c r="M302" s="348"/>
    </row>
    <row r="303">
      <c r="A303" s="334"/>
      <c r="B303" s="334"/>
      <c r="M303" s="348"/>
    </row>
    <row r="304">
      <c r="A304" s="334"/>
      <c r="B304" s="334"/>
      <c r="M304" s="348"/>
    </row>
    <row r="305">
      <c r="A305" s="334"/>
      <c r="B305" s="334"/>
      <c r="M305" s="348"/>
    </row>
    <row r="306">
      <c r="A306" s="334"/>
      <c r="B306" s="334"/>
      <c r="M306" s="348"/>
    </row>
    <row r="307">
      <c r="A307" s="334"/>
      <c r="B307" s="334"/>
      <c r="M307" s="348"/>
    </row>
    <row r="308">
      <c r="A308" s="334"/>
      <c r="B308" s="334"/>
      <c r="M308" s="348"/>
    </row>
    <row r="309">
      <c r="A309" s="334"/>
      <c r="B309" s="334"/>
      <c r="M309" s="348"/>
    </row>
    <row r="310">
      <c r="A310" s="334"/>
      <c r="B310" s="334"/>
      <c r="M310" s="348"/>
    </row>
    <row r="311">
      <c r="A311" s="334"/>
      <c r="B311" s="334"/>
      <c r="M311" s="348"/>
    </row>
    <row r="312">
      <c r="A312" s="334"/>
      <c r="B312" s="334"/>
      <c r="M312" s="348"/>
    </row>
    <row r="313">
      <c r="A313" s="334"/>
      <c r="B313" s="334"/>
      <c r="M313" s="348"/>
    </row>
    <row r="314">
      <c r="A314" s="334"/>
      <c r="B314" s="334"/>
      <c r="M314" s="348"/>
    </row>
    <row r="315">
      <c r="A315" s="334"/>
      <c r="B315" s="334"/>
      <c r="M315" s="348"/>
    </row>
    <row r="316">
      <c r="A316" s="334"/>
      <c r="B316" s="334"/>
      <c r="M316" s="348"/>
    </row>
    <row r="317">
      <c r="A317" s="334"/>
      <c r="B317" s="334"/>
      <c r="M317" s="348"/>
    </row>
    <row r="318">
      <c r="A318" s="334"/>
      <c r="B318" s="334"/>
      <c r="M318" s="348"/>
    </row>
    <row r="319">
      <c r="A319" s="334"/>
      <c r="B319" s="334"/>
      <c r="M319" s="348"/>
    </row>
    <row r="320">
      <c r="A320" s="334"/>
      <c r="B320" s="334"/>
      <c r="M320" s="348"/>
    </row>
    <row r="321">
      <c r="A321" s="334"/>
      <c r="B321" s="334"/>
      <c r="M321" s="348"/>
    </row>
    <row r="322">
      <c r="A322" s="334"/>
      <c r="B322" s="334"/>
      <c r="M322" s="348"/>
    </row>
    <row r="323">
      <c r="A323" s="334"/>
      <c r="B323" s="334"/>
      <c r="M323" s="348"/>
    </row>
    <row r="324">
      <c r="A324" s="334"/>
      <c r="B324" s="334"/>
      <c r="M324" s="348"/>
    </row>
    <row r="325">
      <c r="A325" s="334"/>
      <c r="B325" s="334"/>
      <c r="M325" s="348"/>
    </row>
    <row r="326">
      <c r="A326" s="334"/>
      <c r="B326" s="334"/>
      <c r="M326" s="348"/>
    </row>
    <row r="327">
      <c r="A327" s="334"/>
      <c r="B327" s="334"/>
      <c r="M327" s="348"/>
    </row>
    <row r="328">
      <c r="A328" s="334"/>
      <c r="B328" s="334"/>
      <c r="M328" s="348"/>
    </row>
    <row r="329">
      <c r="A329" s="334"/>
      <c r="B329" s="334"/>
      <c r="M329" s="348"/>
    </row>
    <row r="330">
      <c r="A330" s="334"/>
      <c r="B330" s="334"/>
      <c r="M330" s="348"/>
    </row>
    <row r="331">
      <c r="A331" s="334"/>
      <c r="B331" s="334"/>
      <c r="M331" s="348"/>
    </row>
    <row r="332">
      <c r="A332" s="334"/>
      <c r="B332" s="334"/>
      <c r="M332" s="348"/>
    </row>
    <row r="333">
      <c r="A333" s="334"/>
      <c r="B333" s="334"/>
      <c r="M333" s="348"/>
    </row>
    <row r="334">
      <c r="A334" s="334"/>
      <c r="B334" s="334"/>
      <c r="M334" s="348"/>
    </row>
    <row r="335">
      <c r="A335" s="334"/>
      <c r="B335" s="334"/>
      <c r="M335" s="348"/>
    </row>
    <row r="336">
      <c r="A336" s="334"/>
      <c r="B336" s="334"/>
      <c r="M336" s="348"/>
    </row>
    <row r="337">
      <c r="A337" s="334"/>
      <c r="B337" s="334"/>
      <c r="M337" s="348"/>
    </row>
    <row r="338">
      <c r="A338" s="334"/>
      <c r="B338" s="334"/>
      <c r="M338" s="348"/>
    </row>
    <row r="339">
      <c r="A339" s="334"/>
      <c r="B339" s="334"/>
      <c r="M339" s="348"/>
    </row>
    <row r="340">
      <c r="A340" s="334"/>
      <c r="B340" s="334"/>
      <c r="M340" s="348"/>
    </row>
    <row r="341">
      <c r="A341" s="334"/>
      <c r="B341" s="334"/>
      <c r="M341" s="348"/>
    </row>
    <row r="342">
      <c r="A342" s="334"/>
      <c r="B342" s="334"/>
      <c r="M342" s="348"/>
    </row>
    <row r="343">
      <c r="A343" s="334"/>
      <c r="B343" s="334"/>
      <c r="M343" s="348"/>
    </row>
    <row r="344">
      <c r="A344" s="334"/>
      <c r="B344" s="334"/>
      <c r="M344" s="348"/>
    </row>
    <row r="345">
      <c r="A345" s="334"/>
      <c r="B345" s="334"/>
      <c r="M345" s="348"/>
    </row>
    <row r="346">
      <c r="A346" s="334"/>
      <c r="B346" s="334"/>
      <c r="M346" s="348"/>
    </row>
    <row r="347">
      <c r="A347" s="334"/>
      <c r="B347" s="334"/>
      <c r="M347" s="348"/>
    </row>
    <row r="348">
      <c r="A348" s="334"/>
      <c r="B348" s="334"/>
      <c r="M348" s="348"/>
    </row>
    <row r="349">
      <c r="A349" s="334"/>
      <c r="B349" s="334"/>
      <c r="M349" s="348"/>
    </row>
    <row r="350">
      <c r="A350" s="334"/>
      <c r="B350" s="334"/>
      <c r="M350" s="348"/>
    </row>
    <row r="351">
      <c r="A351" s="334"/>
      <c r="B351" s="334"/>
      <c r="M351" s="348"/>
    </row>
    <row r="352">
      <c r="A352" s="334"/>
      <c r="B352" s="334"/>
      <c r="M352" s="348"/>
    </row>
    <row r="353">
      <c r="A353" s="334"/>
      <c r="B353" s="334"/>
      <c r="M353" s="348"/>
    </row>
    <row r="354">
      <c r="A354" s="334"/>
      <c r="B354" s="334"/>
      <c r="M354" s="348"/>
    </row>
    <row r="355">
      <c r="A355" s="334"/>
      <c r="B355" s="334"/>
      <c r="M355" s="348"/>
    </row>
    <row r="356">
      <c r="A356" s="334"/>
      <c r="B356" s="334"/>
      <c r="M356" s="348"/>
    </row>
    <row r="357">
      <c r="A357" s="334"/>
      <c r="B357" s="334"/>
      <c r="M357" s="348"/>
    </row>
    <row r="358">
      <c r="A358" s="334"/>
      <c r="B358" s="334"/>
      <c r="M358" s="348"/>
    </row>
    <row r="359">
      <c r="A359" s="334"/>
      <c r="B359" s="334"/>
      <c r="M359" s="348"/>
    </row>
    <row r="360">
      <c r="A360" s="334"/>
      <c r="B360" s="334"/>
      <c r="M360" s="348"/>
    </row>
    <row r="361">
      <c r="A361" s="334"/>
      <c r="B361" s="334"/>
      <c r="M361" s="348"/>
    </row>
    <row r="362">
      <c r="A362" s="334"/>
      <c r="B362" s="334"/>
      <c r="M362" s="348"/>
    </row>
    <row r="363">
      <c r="A363" s="334"/>
      <c r="B363" s="334"/>
      <c r="M363" s="348"/>
    </row>
    <row r="364">
      <c r="A364" s="334"/>
      <c r="B364" s="334"/>
      <c r="M364" s="348"/>
    </row>
    <row r="365">
      <c r="A365" s="334"/>
      <c r="B365" s="334"/>
      <c r="M365" s="348"/>
    </row>
    <row r="366">
      <c r="A366" s="334"/>
      <c r="B366" s="334"/>
      <c r="M366" s="348"/>
    </row>
    <row r="367">
      <c r="A367" s="334"/>
      <c r="B367" s="334"/>
      <c r="M367" s="348"/>
    </row>
    <row r="368">
      <c r="A368" s="334"/>
      <c r="B368" s="334"/>
      <c r="M368" s="348"/>
    </row>
    <row r="369">
      <c r="A369" s="334"/>
      <c r="B369" s="334"/>
      <c r="M369" s="348"/>
    </row>
    <row r="370">
      <c r="A370" s="334"/>
      <c r="B370" s="334"/>
      <c r="M370" s="348"/>
    </row>
    <row r="371">
      <c r="A371" s="334"/>
      <c r="B371" s="334"/>
      <c r="M371" s="348"/>
    </row>
    <row r="372">
      <c r="A372" s="334"/>
      <c r="B372" s="334"/>
      <c r="M372" s="348"/>
    </row>
    <row r="373">
      <c r="A373" s="334"/>
      <c r="B373" s="334"/>
      <c r="M373" s="348"/>
    </row>
    <row r="374">
      <c r="A374" s="334"/>
      <c r="B374" s="334"/>
      <c r="M374" s="348"/>
    </row>
    <row r="375">
      <c r="A375" s="334"/>
      <c r="B375" s="334"/>
      <c r="M375" s="348"/>
    </row>
    <row r="376">
      <c r="A376" s="334"/>
      <c r="B376" s="334"/>
      <c r="M376" s="348"/>
    </row>
    <row r="377">
      <c r="A377" s="334"/>
      <c r="B377" s="334"/>
      <c r="M377" s="348"/>
    </row>
    <row r="378">
      <c r="A378" s="334"/>
      <c r="B378" s="334"/>
      <c r="M378" s="348"/>
    </row>
    <row r="379">
      <c r="A379" s="334"/>
      <c r="B379" s="334"/>
      <c r="M379" s="348"/>
    </row>
    <row r="380">
      <c r="A380" s="334"/>
      <c r="B380" s="334"/>
      <c r="M380" s="348"/>
    </row>
    <row r="381">
      <c r="A381" s="334"/>
      <c r="B381" s="334"/>
      <c r="M381" s="348"/>
    </row>
    <row r="382">
      <c r="A382" s="334"/>
      <c r="B382" s="334"/>
      <c r="M382" s="348"/>
    </row>
    <row r="383">
      <c r="A383" s="334"/>
      <c r="B383" s="334"/>
      <c r="M383" s="348"/>
    </row>
    <row r="384">
      <c r="A384" s="334"/>
      <c r="B384" s="334"/>
      <c r="M384" s="348"/>
    </row>
    <row r="385">
      <c r="A385" s="334"/>
      <c r="B385" s="334"/>
      <c r="M385" s="348"/>
    </row>
    <row r="386">
      <c r="A386" s="334"/>
      <c r="B386" s="334"/>
      <c r="M386" s="348"/>
    </row>
    <row r="387">
      <c r="A387" s="334"/>
      <c r="B387" s="334"/>
      <c r="M387" s="348"/>
    </row>
    <row r="388">
      <c r="A388" s="334"/>
      <c r="B388" s="334"/>
      <c r="M388" s="348"/>
    </row>
    <row r="389">
      <c r="A389" s="334"/>
      <c r="B389" s="334"/>
      <c r="M389" s="348"/>
    </row>
    <row r="390">
      <c r="A390" s="334"/>
      <c r="B390" s="334"/>
      <c r="M390" s="348"/>
    </row>
    <row r="391">
      <c r="A391" s="334"/>
      <c r="B391" s="334"/>
      <c r="M391" s="348"/>
    </row>
    <row r="392">
      <c r="A392" s="334"/>
      <c r="B392" s="334"/>
      <c r="M392" s="348"/>
    </row>
    <row r="393">
      <c r="A393" s="334"/>
      <c r="B393" s="334"/>
      <c r="M393" s="348"/>
    </row>
    <row r="394">
      <c r="A394" s="334"/>
      <c r="B394" s="334"/>
      <c r="M394" s="348"/>
    </row>
    <row r="395">
      <c r="A395" s="334"/>
      <c r="B395" s="334"/>
      <c r="M395" s="348"/>
    </row>
    <row r="396">
      <c r="A396" s="334"/>
      <c r="B396" s="334"/>
      <c r="M396" s="348"/>
    </row>
    <row r="397">
      <c r="A397" s="334"/>
      <c r="B397" s="334"/>
      <c r="M397" s="348"/>
    </row>
    <row r="398">
      <c r="A398" s="334"/>
      <c r="B398" s="334"/>
      <c r="M398" s="348"/>
    </row>
    <row r="399">
      <c r="A399" s="334"/>
      <c r="B399" s="334"/>
      <c r="M399" s="348"/>
    </row>
    <row r="400">
      <c r="A400" s="334"/>
      <c r="B400" s="334"/>
      <c r="M400" s="348"/>
    </row>
    <row r="401">
      <c r="A401" s="334"/>
      <c r="B401" s="334"/>
      <c r="M401" s="348"/>
    </row>
    <row r="402">
      <c r="A402" s="334"/>
      <c r="B402" s="334"/>
      <c r="M402" s="348"/>
    </row>
    <row r="403">
      <c r="A403" s="334"/>
      <c r="B403" s="334"/>
      <c r="M403" s="348"/>
    </row>
    <row r="404">
      <c r="A404" s="334"/>
      <c r="B404" s="334"/>
      <c r="M404" s="348"/>
    </row>
    <row r="405">
      <c r="A405" s="334"/>
      <c r="B405" s="334"/>
      <c r="M405" s="348"/>
    </row>
    <row r="406">
      <c r="A406" s="334"/>
      <c r="B406" s="334"/>
      <c r="M406" s="348"/>
    </row>
    <row r="407">
      <c r="A407" s="334"/>
      <c r="B407" s="334"/>
      <c r="M407" s="348"/>
    </row>
    <row r="408">
      <c r="A408" s="334"/>
      <c r="B408" s="334"/>
      <c r="M408" s="348"/>
    </row>
    <row r="409">
      <c r="A409" s="334"/>
      <c r="B409" s="334"/>
      <c r="M409" s="348"/>
    </row>
    <row r="410">
      <c r="A410" s="334"/>
      <c r="B410" s="334"/>
      <c r="M410" s="348"/>
    </row>
    <row r="411">
      <c r="A411" s="334"/>
      <c r="B411" s="334"/>
      <c r="M411" s="348"/>
    </row>
    <row r="412">
      <c r="A412" s="334"/>
      <c r="B412" s="334"/>
      <c r="M412" s="348"/>
    </row>
    <row r="413">
      <c r="A413" s="334"/>
      <c r="B413" s="334"/>
      <c r="M413" s="348"/>
    </row>
    <row r="414">
      <c r="A414" s="334"/>
      <c r="B414" s="334"/>
      <c r="M414" s="348"/>
    </row>
    <row r="415">
      <c r="A415" s="334"/>
      <c r="B415" s="334"/>
      <c r="M415" s="348"/>
    </row>
    <row r="416">
      <c r="A416" s="334"/>
      <c r="B416" s="334"/>
      <c r="M416" s="348"/>
    </row>
    <row r="417">
      <c r="A417" s="334"/>
      <c r="B417" s="334"/>
      <c r="M417" s="348"/>
    </row>
    <row r="418">
      <c r="A418" s="334"/>
      <c r="B418" s="334"/>
      <c r="M418" s="348"/>
    </row>
    <row r="419">
      <c r="A419" s="334"/>
      <c r="B419" s="334"/>
      <c r="M419" s="348"/>
    </row>
    <row r="420">
      <c r="A420" s="334"/>
      <c r="B420" s="334"/>
      <c r="M420" s="348"/>
    </row>
    <row r="421">
      <c r="A421" s="334"/>
      <c r="B421" s="334"/>
      <c r="M421" s="348"/>
    </row>
    <row r="422">
      <c r="A422" s="334"/>
      <c r="B422" s="334"/>
      <c r="M422" s="348"/>
    </row>
    <row r="423">
      <c r="A423" s="334"/>
      <c r="B423" s="334"/>
      <c r="M423" s="348"/>
    </row>
    <row r="424">
      <c r="A424" s="334"/>
      <c r="B424" s="334"/>
      <c r="M424" s="348"/>
    </row>
    <row r="425">
      <c r="A425" s="334"/>
      <c r="B425" s="334"/>
      <c r="M425" s="348"/>
    </row>
    <row r="426">
      <c r="A426" s="334"/>
      <c r="B426" s="334"/>
      <c r="M426" s="348"/>
    </row>
    <row r="427">
      <c r="A427" s="334"/>
      <c r="B427" s="334"/>
      <c r="M427" s="348"/>
    </row>
    <row r="428">
      <c r="A428" s="334"/>
      <c r="B428" s="334"/>
      <c r="M428" s="348"/>
    </row>
    <row r="429">
      <c r="A429" s="334"/>
      <c r="B429" s="334"/>
      <c r="M429" s="348"/>
    </row>
    <row r="430">
      <c r="A430" s="334"/>
      <c r="B430" s="334"/>
      <c r="M430" s="348"/>
    </row>
    <row r="431">
      <c r="A431" s="334"/>
      <c r="B431" s="334"/>
      <c r="M431" s="348"/>
    </row>
    <row r="432">
      <c r="A432" s="334"/>
      <c r="B432" s="334"/>
      <c r="M432" s="348"/>
    </row>
    <row r="433">
      <c r="A433" s="334"/>
      <c r="B433" s="334"/>
      <c r="M433" s="348"/>
    </row>
    <row r="434">
      <c r="A434" s="334"/>
      <c r="B434" s="334"/>
      <c r="M434" s="348"/>
    </row>
    <row r="435">
      <c r="A435" s="334"/>
      <c r="B435" s="334"/>
      <c r="M435" s="348"/>
    </row>
    <row r="436">
      <c r="A436" s="334"/>
      <c r="B436" s="334"/>
      <c r="M436" s="348"/>
    </row>
    <row r="437">
      <c r="A437" s="334"/>
      <c r="B437" s="334"/>
      <c r="M437" s="348"/>
    </row>
    <row r="438">
      <c r="A438" s="334"/>
      <c r="B438" s="334"/>
      <c r="M438" s="348"/>
    </row>
    <row r="439">
      <c r="A439" s="334"/>
      <c r="B439" s="334"/>
      <c r="M439" s="348"/>
    </row>
    <row r="440">
      <c r="A440" s="334"/>
      <c r="B440" s="334"/>
      <c r="M440" s="348"/>
    </row>
    <row r="441">
      <c r="A441" s="334"/>
      <c r="B441" s="334"/>
      <c r="M441" s="348"/>
    </row>
    <row r="442">
      <c r="A442" s="334"/>
      <c r="B442" s="334"/>
      <c r="M442" s="348"/>
    </row>
    <row r="443">
      <c r="A443" s="334"/>
      <c r="B443" s="334"/>
      <c r="M443" s="348"/>
    </row>
    <row r="444">
      <c r="A444" s="334"/>
      <c r="B444" s="334"/>
      <c r="M444" s="348"/>
    </row>
    <row r="445">
      <c r="A445" s="334"/>
      <c r="B445" s="334"/>
      <c r="M445" s="348"/>
    </row>
    <row r="446">
      <c r="A446" s="334"/>
      <c r="B446" s="334"/>
      <c r="M446" s="348"/>
    </row>
    <row r="447">
      <c r="A447" s="334"/>
      <c r="B447" s="334"/>
      <c r="M447" s="348"/>
    </row>
    <row r="448">
      <c r="A448" s="334"/>
      <c r="B448" s="334"/>
      <c r="M448" s="348"/>
    </row>
    <row r="449">
      <c r="A449" s="334"/>
      <c r="B449" s="334"/>
      <c r="M449" s="348"/>
    </row>
    <row r="450">
      <c r="A450" s="334"/>
      <c r="B450" s="334"/>
      <c r="M450" s="348"/>
    </row>
    <row r="451">
      <c r="A451" s="334"/>
      <c r="B451" s="334"/>
      <c r="M451" s="348"/>
    </row>
    <row r="452">
      <c r="A452" s="334"/>
      <c r="B452" s="334"/>
      <c r="M452" s="348"/>
    </row>
    <row r="453">
      <c r="A453" s="334"/>
      <c r="B453" s="334"/>
      <c r="M453" s="348"/>
    </row>
    <row r="454">
      <c r="A454" s="334"/>
      <c r="B454" s="334"/>
      <c r="M454" s="348"/>
    </row>
    <row r="455">
      <c r="A455" s="334"/>
      <c r="B455" s="334"/>
      <c r="M455" s="348"/>
    </row>
    <row r="456">
      <c r="A456" s="334"/>
      <c r="B456" s="334"/>
      <c r="M456" s="348"/>
    </row>
    <row r="457">
      <c r="A457" s="334"/>
      <c r="B457" s="334"/>
      <c r="M457" s="348"/>
    </row>
    <row r="458">
      <c r="A458" s="334"/>
      <c r="B458" s="334"/>
      <c r="M458" s="348"/>
    </row>
    <row r="459">
      <c r="A459" s="334"/>
      <c r="B459" s="334"/>
      <c r="M459" s="348"/>
    </row>
    <row r="460">
      <c r="A460" s="334"/>
      <c r="B460" s="334"/>
      <c r="M460" s="348"/>
    </row>
    <row r="461">
      <c r="A461" s="334"/>
      <c r="B461" s="334"/>
      <c r="M461" s="348"/>
    </row>
    <row r="462">
      <c r="A462" s="334"/>
      <c r="B462" s="334"/>
      <c r="M462" s="348"/>
    </row>
    <row r="463">
      <c r="A463" s="334"/>
      <c r="B463" s="334"/>
      <c r="M463" s="348"/>
    </row>
    <row r="464">
      <c r="A464" s="334"/>
      <c r="B464" s="334"/>
      <c r="M464" s="348"/>
    </row>
    <row r="465">
      <c r="A465" s="334"/>
      <c r="B465" s="334"/>
      <c r="M465" s="348"/>
    </row>
    <row r="466">
      <c r="A466" s="334"/>
      <c r="B466" s="334"/>
      <c r="M466" s="348"/>
    </row>
    <row r="467">
      <c r="A467" s="334"/>
      <c r="B467" s="334"/>
      <c r="M467" s="348"/>
    </row>
    <row r="468">
      <c r="A468" s="334"/>
      <c r="B468" s="334"/>
      <c r="M468" s="348"/>
    </row>
    <row r="469">
      <c r="A469" s="334"/>
      <c r="B469" s="334"/>
      <c r="M469" s="348"/>
    </row>
    <row r="470">
      <c r="A470" s="334"/>
      <c r="B470" s="334"/>
      <c r="M470" s="348"/>
    </row>
    <row r="471">
      <c r="A471" s="334"/>
      <c r="B471" s="334"/>
      <c r="M471" s="348"/>
    </row>
    <row r="472">
      <c r="A472" s="334"/>
      <c r="B472" s="334"/>
      <c r="M472" s="348"/>
    </row>
    <row r="473">
      <c r="A473" s="334"/>
      <c r="B473" s="334"/>
      <c r="M473" s="348"/>
    </row>
    <row r="474">
      <c r="A474" s="334"/>
      <c r="B474" s="334"/>
      <c r="M474" s="348"/>
    </row>
    <row r="475">
      <c r="A475" s="334"/>
      <c r="B475" s="334"/>
      <c r="M475" s="348"/>
    </row>
    <row r="476">
      <c r="A476" s="334"/>
      <c r="B476" s="334"/>
      <c r="M476" s="348"/>
    </row>
    <row r="477">
      <c r="A477" s="334"/>
      <c r="B477" s="334"/>
      <c r="M477" s="348"/>
    </row>
    <row r="478">
      <c r="A478" s="334"/>
      <c r="B478" s="334"/>
      <c r="M478" s="348"/>
    </row>
    <row r="479">
      <c r="A479" s="334"/>
      <c r="B479" s="334"/>
      <c r="M479" s="348"/>
    </row>
    <row r="480">
      <c r="A480" s="334"/>
      <c r="B480" s="334"/>
      <c r="M480" s="348"/>
    </row>
    <row r="481">
      <c r="A481" s="334"/>
      <c r="B481" s="334"/>
      <c r="M481" s="348"/>
    </row>
    <row r="482">
      <c r="A482" s="334"/>
      <c r="B482" s="334"/>
      <c r="M482" s="348"/>
    </row>
    <row r="483">
      <c r="A483" s="334"/>
      <c r="B483" s="334"/>
      <c r="M483" s="348"/>
    </row>
    <row r="484">
      <c r="A484" s="334"/>
      <c r="B484" s="334"/>
      <c r="M484" s="348"/>
    </row>
    <row r="485">
      <c r="A485" s="334"/>
      <c r="B485" s="334"/>
      <c r="M485" s="348"/>
    </row>
    <row r="486">
      <c r="A486" s="334"/>
      <c r="B486" s="334"/>
      <c r="M486" s="348"/>
    </row>
    <row r="487">
      <c r="A487" s="334"/>
      <c r="B487" s="334"/>
      <c r="M487" s="348"/>
    </row>
    <row r="488">
      <c r="A488" s="334"/>
      <c r="B488" s="334"/>
      <c r="M488" s="348"/>
    </row>
    <row r="489">
      <c r="A489" s="334"/>
      <c r="B489" s="334"/>
      <c r="M489" s="348"/>
    </row>
    <row r="490">
      <c r="A490" s="334"/>
      <c r="B490" s="334"/>
      <c r="M490" s="348"/>
    </row>
    <row r="491">
      <c r="A491" s="334"/>
      <c r="B491" s="334"/>
      <c r="M491" s="348"/>
    </row>
    <row r="492">
      <c r="A492" s="334"/>
      <c r="B492" s="334"/>
      <c r="M492" s="348"/>
    </row>
    <row r="493">
      <c r="A493" s="334"/>
      <c r="B493" s="334"/>
      <c r="M493" s="348"/>
    </row>
    <row r="494">
      <c r="A494" s="334"/>
      <c r="B494" s="334"/>
      <c r="M494" s="348"/>
    </row>
    <row r="495">
      <c r="A495" s="334"/>
      <c r="B495" s="334"/>
      <c r="M495" s="348"/>
    </row>
    <row r="496">
      <c r="A496" s="334"/>
      <c r="B496" s="334"/>
      <c r="M496" s="348"/>
    </row>
    <row r="497">
      <c r="A497" s="334"/>
      <c r="B497" s="334"/>
      <c r="M497" s="348"/>
    </row>
    <row r="498">
      <c r="A498" s="334"/>
      <c r="B498" s="334"/>
      <c r="M498" s="348"/>
    </row>
    <row r="499">
      <c r="A499" s="334"/>
      <c r="B499" s="334"/>
      <c r="M499" s="348"/>
    </row>
    <row r="500">
      <c r="A500" s="334"/>
      <c r="B500" s="334"/>
      <c r="M500" s="348"/>
    </row>
    <row r="501">
      <c r="A501" s="334"/>
      <c r="B501" s="334"/>
      <c r="M501" s="348"/>
    </row>
    <row r="502">
      <c r="A502" s="334"/>
      <c r="B502" s="334"/>
      <c r="M502" s="348"/>
    </row>
    <row r="503">
      <c r="A503" s="334"/>
      <c r="B503" s="334"/>
      <c r="M503" s="348"/>
    </row>
    <row r="504">
      <c r="A504" s="334"/>
      <c r="B504" s="334"/>
      <c r="M504" s="348"/>
    </row>
    <row r="505">
      <c r="A505" s="334"/>
      <c r="B505" s="334"/>
      <c r="M505" s="348"/>
    </row>
    <row r="506">
      <c r="A506" s="334"/>
      <c r="B506" s="334"/>
      <c r="M506" s="348"/>
    </row>
    <row r="507">
      <c r="A507" s="334"/>
      <c r="B507" s="334"/>
      <c r="M507" s="348"/>
    </row>
    <row r="508">
      <c r="A508" s="334"/>
      <c r="B508" s="334"/>
      <c r="M508" s="348"/>
    </row>
    <row r="509">
      <c r="A509" s="334"/>
      <c r="B509" s="334"/>
      <c r="M509" s="348"/>
    </row>
    <row r="510">
      <c r="A510" s="334"/>
      <c r="B510" s="334"/>
      <c r="M510" s="348"/>
    </row>
    <row r="511">
      <c r="A511" s="334"/>
      <c r="B511" s="334"/>
      <c r="M511" s="348"/>
    </row>
    <row r="512">
      <c r="A512" s="334"/>
      <c r="B512" s="334"/>
      <c r="M512" s="348"/>
    </row>
    <row r="513">
      <c r="A513" s="334"/>
      <c r="B513" s="334"/>
      <c r="M513" s="348"/>
    </row>
    <row r="514">
      <c r="A514" s="334"/>
      <c r="B514" s="334"/>
      <c r="M514" s="348"/>
    </row>
    <row r="515">
      <c r="A515" s="334"/>
      <c r="B515" s="334"/>
      <c r="M515" s="348"/>
    </row>
    <row r="516">
      <c r="A516" s="334"/>
      <c r="B516" s="334"/>
      <c r="M516" s="348"/>
    </row>
    <row r="517">
      <c r="A517" s="334"/>
      <c r="B517" s="334"/>
      <c r="M517" s="348"/>
    </row>
    <row r="518">
      <c r="A518" s="334"/>
      <c r="B518" s="334"/>
      <c r="M518" s="348"/>
    </row>
    <row r="519">
      <c r="A519" s="334"/>
      <c r="B519" s="334"/>
      <c r="M519" s="348"/>
    </row>
    <row r="520">
      <c r="A520" s="334"/>
      <c r="B520" s="334"/>
      <c r="M520" s="348"/>
    </row>
    <row r="521">
      <c r="A521" s="334"/>
      <c r="B521" s="334"/>
      <c r="M521" s="348"/>
    </row>
    <row r="522">
      <c r="A522" s="334"/>
      <c r="B522" s="334"/>
      <c r="M522" s="348"/>
    </row>
    <row r="523">
      <c r="A523" s="334"/>
      <c r="B523" s="334"/>
      <c r="M523" s="348"/>
    </row>
    <row r="524">
      <c r="A524" s="334"/>
      <c r="B524" s="334"/>
      <c r="M524" s="348"/>
    </row>
    <row r="525">
      <c r="A525" s="334"/>
      <c r="B525" s="334"/>
      <c r="M525" s="348"/>
    </row>
    <row r="526">
      <c r="A526" s="334"/>
      <c r="B526" s="334"/>
      <c r="M526" s="348"/>
    </row>
    <row r="527">
      <c r="A527" s="334"/>
      <c r="B527" s="334"/>
      <c r="M527" s="348"/>
    </row>
    <row r="528">
      <c r="A528" s="334"/>
      <c r="B528" s="334"/>
      <c r="M528" s="348"/>
    </row>
    <row r="529">
      <c r="A529" s="334"/>
      <c r="B529" s="334"/>
      <c r="M529" s="348"/>
    </row>
    <row r="530">
      <c r="A530" s="334"/>
      <c r="B530" s="334"/>
      <c r="M530" s="348"/>
    </row>
    <row r="531">
      <c r="A531" s="334"/>
      <c r="B531" s="334"/>
      <c r="M531" s="348"/>
    </row>
    <row r="532">
      <c r="A532" s="334"/>
      <c r="B532" s="334"/>
      <c r="M532" s="348"/>
    </row>
    <row r="533">
      <c r="A533" s="334"/>
      <c r="B533" s="334"/>
      <c r="M533" s="348"/>
    </row>
    <row r="534">
      <c r="A534" s="334"/>
      <c r="B534" s="334"/>
      <c r="M534" s="348"/>
    </row>
    <row r="535">
      <c r="A535" s="334"/>
      <c r="B535" s="334"/>
      <c r="M535" s="348"/>
    </row>
    <row r="536">
      <c r="A536" s="334"/>
      <c r="B536" s="334"/>
      <c r="M536" s="348"/>
    </row>
    <row r="537">
      <c r="A537" s="334"/>
      <c r="B537" s="334"/>
      <c r="M537" s="348"/>
    </row>
    <row r="538">
      <c r="A538" s="334"/>
      <c r="B538" s="334"/>
      <c r="M538" s="348"/>
    </row>
    <row r="539">
      <c r="A539" s="334"/>
      <c r="B539" s="334"/>
      <c r="M539" s="348"/>
    </row>
    <row r="540">
      <c r="A540" s="334"/>
      <c r="B540" s="334"/>
      <c r="M540" s="348"/>
    </row>
    <row r="541">
      <c r="A541" s="334"/>
      <c r="B541" s="334"/>
      <c r="M541" s="348"/>
    </row>
    <row r="542">
      <c r="A542" s="334"/>
      <c r="B542" s="334"/>
      <c r="M542" s="348"/>
    </row>
    <row r="543">
      <c r="A543" s="334"/>
      <c r="B543" s="334"/>
      <c r="M543" s="348"/>
    </row>
    <row r="544">
      <c r="A544" s="334"/>
      <c r="B544" s="334"/>
      <c r="M544" s="348"/>
    </row>
    <row r="545">
      <c r="A545" s="334"/>
      <c r="B545" s="334"/>
      <c r="M545" s="348"/>
    </row>
    <row r="546">
      <c r="A546" s="334"/>
      <c r="B546" s="334"/>
      <c r="M546" s="348"/>
    </row>
    <row r="547">
      <c r="A547" s="334"/>
      <c r="B547" s="334"/>
      <c r="M547" s="348"/>
    </row>
    <row r="548">
      <c r="A548" s="334"/>
      <c r="B548" s="334"/>
      <c r="M548" s="348"/>
    </row>
    <row r="549">
      <c r="A549" s="334"/>
      <c r="B549" s="334"/>
      <c r="M549" s="348"/>
    </row>
    <row r="550">
      <c r="A550" s="334"/>
      <c r="B550" s="334"/>
      <c r="M550" s="348"/>
    </row>
    <row r="551">
      <c r="A551" s="334"/>
      <c r="B551" s="334"/>
      <c r="M551" s="348"/>
    </row>
    <row r="552">
      <c r="A552" s="334"/>
      <c r="B552" s="334"/>
      <c r="M552" s="348"/>
    </row>
    <row r="553">
      <c r="A553" s="334"/>
      <c r="B553" s="334"/>
      <c r="M553" s="348"/>
    </row>
    <row r="554">
      <c r="A554" s="334"/>
      <c r="B554" s="334"/>
      <c r="M554" s="348"/>
    </row>
    <row r="555">
      <c r="A555" s="334"/>
      <c r="B555" s="334"/>
      <c r="M555" s="348"/>
    </row>
    <row r="556">
      <c r="A556" s="334"/>
      <c r="B556" s="334"/>
      <c r="M556" s="348"/>
    </row>
    <row r="557">
      <c r="A557" s="334"/>
      <c r="B557" s="334"/>
      <c r="M557" s="348"/>
    </row>
    <row r="558">
      <c r="A558" s="334"/>
      <c r="B558" s="334"/>
      <c r="M558" s="348"/>
    </row>
    <row r="559">
      <c r="A559" s="334"/>
      <c r="B559" s="334"/>
      <c r="M559" s="348"/>
    </row>
    <row r="560">
      <c r="A560" s="334"/>
      <c r="B560" s="334"/>
      <c r="M560" s="348"/>
    </row>
    <row r="561">
      <c r="A561" s="334"/>
      <c r="B561" s="334"/>
      <c r="M561" s="348"/>
    </row>
    <row r="562">
      <c r="A562" s="334"/>
      <c r="B562" s="334"/>
      <c r="M562" s="348"/>
    </row>
    <row r="563">
      <c r="A563" s="334"/>
      <c r="B563" s="334"/>
      <c r="M563" s="348"/>
    </row>
    <row r="564">
      <c r="A564" s="334"/>
      <c r="B564" s="334"/>
      <c r="M564" s="348"/>
    </row>
    <row r="565">
      <c r="A565" s="334"/>
      <c r="B565" s="334"/>
      <c r="M565" s="348"/>
    </row>
    <row r="566">
      <c r="A566" s="334"/>
      <c r="B566" s="334"/>
      <c r="M566" s="348"/>
    </row>
    <row r="567">
      <c r="A567" s="334"/>
      <c r="B567" s="334"/>
      <c r="M567" s="348"/>
    </row>
    <row r="568">
      <c r="A568" s="334"/>
      <c r="B568" s="334"/>
      <c r="M568" s="348"/>
    </row>
    <row r="569">
      <c r="A569" s="334"/>
      <c r="B569" s="334"/>
      <c r="M569" s="348"/>
    </row>
    <row r="570">
      <c r="A570" s="334"/>
      <c r="B570" s="334"/>
      <c r="M570" s="348"/>
    </row>
    <row r="571">
      <c r="A571" s="334"/>
      <c r="B571" s="334"/>
      <c r="M571" s="348"/>
    </row>
    <row r="572">
      <c r="A572" s="334"/>
      <c r="B572" s="334"/>
      <c r="M572" s="348"/>
    </row>
    <row r="573">
      <c r="A573" s="334"/>
      <c r="B573" s="334"/>
      <c r="M573" s="348"/>
    </row>
    <row r="574">
      <c r="A574" s="334"/>
      <c r="B574" s="334"/>
      <c r="M574" s="348"/>
    </row>
    <row r="575">
      <c r="A575" s="334"/>
      <c r="B575" s="334"/>
      <c r="M575" s="348"/>
    </row>
    <row r="576">
      <c r="A576" s="334"/>
      <c r="B576" s="334"/>
      <c r="M576" s="348"/>
    </row>
    <row r="577">
      <c r="A577" s="334"/>
      <c r="B577" s="334"/>
      <c r="M577" s="348"/>
    </row>
    <row r="578">
      <c r="A578" s="334"/>
      <c r="B578" s="334"/>
      <c r="M578" s="348"/>
    </row>
    <row r="579">
      <c r="A579" s="334"/>
      <c r="B579" s="334"/>
      <c r="M579" s="348"/>
    </row>
    <row r="580">
      <c r="A580" s="334"/>
      <c r="B580" s="334"/>
      <c r="M580" s="348"/>
    </row>
    <row r="581">
      <c r="A581" s="334"/>
      <c r="B581" s="334"/>
      <c r="M581" s="348"/>
    </row>
    <row r="582">
      <c r="A582" s="334"/>
      <c r="B582" s="334"/>
      <c r="M582" s="348"/>
    </row>
    <row r="583">
      <c r="A583" s="334"/>
      <c r="B583" s="334"/>
      <c r="M583" s="348"/>
    </row>
    <row r="584">
      <c r="A584" s="334"/>
      <c r="B584" s="334"/>
      <c r="M584" s="348"/>
    </row>
    <row r="585">
      <c r="A585" s="334"/>
      <c r="B585" s="334"/>
      <c r="M585" s="348"/>
    </row>
    <row r="586">
      <c r="A586" s="334"/>
      <c r="B586" s="334"/>
      <c r="M586" s="348"/>
    </row>
    <row r="587">
      <c r="A587" s="334"/>
      <c r="B587" s="334"/>
      <c r="M587" s="348"/>
    </row>
    <row r="588">
      <c r="A588" s="334"/>
      <c r="B588" s="334"/>
      <c r="M588" s="348"/>
    </row>
    <row r="589">
      <c r="A589" s="334"/>
      <c r="B589" s="334"/>
      <c r="M589" s="348"/>
    </row>
    <row r="590">
      <c r="A590" s="334"/>
      <c r="B590" s="334"/>
      <c r="M590" s="348"/>
    </row>
    <row r="591">
      <c r="A591" s="334"/>
      <c r="B591" s="334"/>
      <c r="M591" s="348"/>
    </row>
    <row r="592">
      <c r="A592" s="334"/>
      <c r="B592" s="334"/>
      <c r="M592" s="348"/>
    </row>
    <row r="593">
      <c r="A593" s="334"/>
      <c r="B593" s="334"/>
      <c r="M593" s="348"/>
    </row>
    <row r="594">
      <c r="A594" s="334"/>
      <c r="B594" s="334"/>
      <c r="M594" s="348"/>
    </row>
    <row r="595">
      <c r="A595" s="334"/>
      <c r="B595" s="334"/>
      <c r="M595" s="348"/>
    </row>
    <row r="596">
      <c r="A596" s="334"/>
      <c r="B596" s="334"/>
      <c r="M596" s="348"/>
    </row>
    <row r="597">
      <c r="A597" s="334"/>
      <c r="B597" s="334"/>
      <c r="M597" s="348"/>
    </row>
    <row r="598">
      <c r="A598" s="334"/>
      <c r="B598" s="334"/>
      <c r="M598" s="348"/>
    </row>
    <row r="599">
      <c r="A599" s="334"/>
      <c r="B599" s="334"/>
      <c r="M599" s="348"/>
    </row>
    <row r="600">
      <c r="A600" s="334"/>
      <c r="B600" s="334"/>
      <c r="M600" s="348"/>
    </row>
    <row r="601">
      <c r="A601" s="334"/>
      <c r="B601" s="334"/>
      <c r="M601" s="348"/>
    </row>
    <row r="602">
      <c r="A602" s="334"/>
      <c r="B602" s="334"/>
      <c r="M602" s="348"/>
    </row>
    <row r="603">
      <c r="A603" s="334"/>
      <c r="B603" s="334"/>
      <c r="M603" s="348"/>
    </row>
    <row r="604">
      <c r="A604" s="334"/>
      <c r="B604" s="334"/>
      <c r="M604" s="348"/>
    </row>
    <row r="605">
      <c r="A605" s="334"/>
      <c r="B605" s="334"/>
      <c r="M605" s="348"/>
    </row>
    <row r="606">
      <c r="A606" s="334"/>
      <c r="B606" s="334"/>
      <c r="M606" s="348"/>
    </row>
    <row r="607">
      <c r="A607" s="334"/>
      <c r="B607" s="334"/>
      <c r="M607" s="348"/>
    </row>
    <row r="608">
      <c r="A608" s="334"/>
      <c r="B608" s="334"/>
      <c r="M608" s="348"/>
    </row>
    <row r="609">
      <c r="A609" s="334"/>
      <c r="B609" s="334"/>
      <c r="M609" s="348"/>
    </row>
    <row r="610">
      <c r="A610" s="334"/>
      <c r="B610" s="334"/>
      <c r="M610" s="348"/>
    </row>
    <row r="611">
      <c r="A611" s="334"/>
      <c r="B611" s="334"/>
      <c r="M611" s="348"/>
    </row>
    <row r="612">
      <c r="A612" s="334"/>
      <c r="B612" s="334"/>
      <c r="M612" s="348"/>
    </row>
    <row r="613">
      <c r="A613" s="334"/>
      <c r="B613" s="334"/>
      <c r="M613" s="348"/>
    </row>
    <row r="614">
      <c r="A614" s="334"/>
      <c r="B614" s="334"/>
      <c r="M614" s="348"/>
    </row>
    <row r="615">
      <c r="A615" s="334"/>
      <c r="B615" s="334"/>
      <c r="M615" s="348"/>
    </row>
    <row r="616">
      <c r="A616" s="334"/>
      <c r="B616" s="334"/>
      <c r="M616" s="348"/>
    </row>
    <row r="617">
      <c r="A617" s="334"/>
      <c r="B617" s="334"/>
      <c r="M617" s="348"/>
    </row>
    <row r="618">
      <c r="A618" s="334"/>
      <c r="B618" s="334"/>
      <c r="M618" s="348"/>
    </row>
    <row r="619">
      <c r="A619" s="334"/>
      <c r="B619" s="334"/>
      <c r="M619" s="348"/>
    </row>
    <row r="620">
      <c r="A620" s="334"/>
      <c r="B620" s="334"/>
      <c r="M620" s="348"/>
    </row>
    <row r="621">
      <c r="A621" s="334"/>
      <c r="B621" s="334"/>
      <c r="M621" s="348"/>
    </row>
    <row r="622">
      <c r="A622" s="334"/>
      <c r="B622" s="334"/>
      <c r="M622" s="348"/>
    </row>
    <row r="623">
      <c r="A623" s="334"/>
      <c r="B623" s="334"/>
      <c r="M623" s="348"/>
    </row>
    <row r="624">
      <c r="A624" s="334"/>
      <c r="B624" s="334"/>
      <c r="M624" s="348"/>
    </row>
    <row r="625">
      <c r="A625" s="334"/>
      <c r="B625" s="334"/>
      <c r="M625" s="348"/>
    </row>
    <row r="626">
      <c r="A626" s="334"/>
      <c r="B626" s="334"/>
      <c r="M626" s="348"/>
    </row>
    <row r="627">
      <c r="A627" s="334"/>
      <c r="B627" s="334"/>
      <c r="M627" s="348"/>
    </row>
    <row r="628">
      <c r="A628" s="334"/>
      <c r="B628" s="334"/>
      <c r="M628" s="348"/>
    </row>
    <row r="629">
      <c r="A629" s="334"/>
      <c r="B629" s="334"/>
      <c r="M629" s="348"/>
    </row>
    <row r="630">
      <c r="A630" s="334"/>
      <c r="B630" s="334"/>
      <c r="M630" s="348"/>
    </row>
    <row r="631">
      <c r="A631" s="334"/>
      <c r="B631" s="334"/>
      <c r="M631" s="348"/>
    </row>
    <row r="632">
      <c r="A632" s="334"/>
      <c r="B632" s="334"/>
      <c r="M632" s="348"/>
    </row>
    <row r="633">
      <c r="A633" s="334"/>
      <c r="B633" s="334"/>
      <c r="M633" s="348"/>
    </row>
    <row r="634">
      <c r="A634" s="334"/>
      <c r="B634" s="334"/>
      <c r="M634" s="348"/>
    </row>
    <row r="635">
      <c r="A635" s="334"/>
      <c r="B635" s="334"/>
      <c r="M635" s="348"/>
    </row>
    <row r="636">
      <c r="A636" s="334"/>
      <c r="B636" s="334"/>
      <c r="M636" s="348"/>
    </row>
    <row r="637">
      <c r="A637" s="334"/>
      <c r="B637" s="334"/>
      <c r="M637" s="348"/>
    </row>
    <row r="638">
      <c r="A638" s="334"/>
      <c r="B638" s="334"/>
      <c r="M638" s="348"/>
    </row>
    <row r="639">
      <c r="A639" s="334"/>
      <c r="B639" s="334"/>
      <c r="M639" s="348"/>
    </row>
    <row r="640">
      <c r="A640" s="334"/>
      <c r="B640" s="334"/>
      <c r="M640" s="348"/>
    </row>
    <row r="641">
      <c r="A641" s="334"/>
      <c r="B641" s="334"/>
      <c r="M641" s="348"/>
    </row>
    <row r="642">
      <c r="A642" s="334"/>
      <c r="B642" s="334"/>
      <c r="M642" s="348"/>
    </row>
    <row r="643">
      <c r="A643" s="334"/>
      <c r="B643" s="334"/>
      <c r="M643" s="348"/>
    </row>
    <row r="644">
      <c r="A644" s="334"/>
      <c r="B644" s="334"/>
      <c r="M644" s="348"/>
    </row>
    <row r="645">
      <c r="A645" s="334"/>
      <c r="B645" s="334"/>
      <c r="M645" s="348"/>
    </row>
    <row r="646">
      <c r="A646" s="334"/>
      <c r="B646" s="334"/>
      <c r="M646" s="348"/>
    </row>
    <row r="647">
      <c r="A647" s="334"/>
      <c r="B647" s="334"/>
      <c r="M647" s="348"/>
    </row>
    <row r="648">
      <c r="A648" s="334"/>
      <c r="B648" s="334"/>
      <c r="M648" s="348"/>
    </row>
    <row r="649">
      <c r="A649" s="334"/>
      <c r="B649" s="334"/>
      <c r="M649" s="348"/>
    </row>
    <row r="650">
      <c r="A650" s="334"/>
      <c r="B650" s="334"/>
      <c r="M650" s="348"/>
    </row>
    <row r="651">
      <c r="A651" s="334"/>
      <c r="B651" s="334"/>
      <c r="M651" s="348"/>
    </row>
    <row r="652">
      <c r="A652" s="334"/>
      <c r="B652" s="334"/>
      <c r="M652" s="348"/>
    </row>
    <row r="653">
      <c r="A653" s="334"/>
      <c r="B653" s="334"/>
      <c r="M653" s="348"/>
    </row>
    <row r="654">
      <c r="A654" s="334"/>
      <c r="B654" s="334"/>
      <c r="M654" s="348"/>
    </row>
    <row r="655">
      <c r="A655" s="334"/>
      <c r="B655" s="334"/>
      <c r="M655" s="348"/>
    </row>
    <row r="656">
      <c r="A656" s="334"/>
      <c r="B656" s="334"/>
      <c r="M656" s="348"/>
    </row>
    <row r="657">
      <c r="A657" s="334"/>
      <c r="B657" s="334"/>
      <c r="M657" s="348"/>
    </row>
    <row r="658">
      <c r="A658" s="334"/>
      <c r="B658" s="334"/>
      <c r="M658" s="348"/>
    </row>
    <row r="659">
      <c r="A659" s="334"/>
      <c r="B659" s="334"/>
      <c r="M659" s="348"/>
    </row>
    <row r="660">
      <c r="A660" s="334"/>
      <c r="B660" s="334"/>
      <c r="M660" s="348"/>
    </row>
    <row r="661">
      <c r="A661" s="334"/>
      <c r="B661" s="334"/>
      <c r="M661" s="348"/>
    </row>
    <row r="662">
      <c r="A662" s="334"/>
      <c r="B662" s="334"/>
      <c r="M662" s="348"/>
    </row>
    <row r="663">
      <c r="A663" s="334"/>
      <c r="B663" s="334"/>
      <c r="M663" s="348"/>
    </row>
    <row r="664">
      <c r="A664" s="334"/>
      <c r="B664" s="334"/>
      <c r="M664" s="348"/>
    </row>
    <row r="665">
      <c r="A665" s="334"/>
      <c r="B665" s="334"/>
      <c r="M665" s="348"/>
    </row>
    <row r="666">
      <c r="A666" s="334"/>
      <c r="B666" s="334"/>
      <c r="M666" s="348"/>
    </row>
    <row r="667">
      <c r="A667" s="334"/>
      <c r="B667" s="334"/>
      <c r="M667" s="348"/>
    </row>
    <row r="668">
      <c r="A668" s="334"/>
      <c r="B668" s="334"/>
      <c r="M668" s="348"/>
    </row>
    <row r="669">
      <c r="A669" s="334"/>
      <c r="B669" s="334"/>
      <c r="M669" s="348"/>
    </row>
    <row r="670">
      <c r="A670" s="334"/>
      <c r="B670" s="334"/>
      <c r="M670" s="348"/>
    </row>
    <row r="671">
      <c r="A671" s="334"/>
      <c r="B671" s="334"/>
      <c r="M671" s="348"/>
    </row>
    <row r="672">
      <c r="A672" s="334"/>
      <c r="B672" s="334"/>
      <c r="M672" s="348"/>
    </row>
    <row r="673">
      <c r="A673" s="334"/>
      <c r="B673" s="334"/>
      <c r="M673" s="348"/>
    </row>
    <row r="674">
      <c r="A674" s="334"/>
      <c r="B674" s="334"/>
      <c r="M674" s="348"/>
    </row>
    <row r="675">
      <c r="A675" s="334"/>
      <c r="B675" s="334"/>
      <c r="M675" s="348"/>
    </row>
    <row r="676">
      <c r="A676" s="334"/>
      <c r="B676" s="334"/>
      <c r="M676" s="348"/>
    </row>
    <row r="677">
      <c r="A677" s="334"/>
      <c r="B677" s="334"/>
      <c r="M677" s="348"/>
    </row>
    <row r="678">
      <c r="A678" s="334"/>
      <c r="B678" s="334"/>
      <c r="M678" s="348"/>
    </row>
    <row r="679">
      <c r="A679" s="334"/>
      <c r="B679" s="334"/>
      <c r="M679" s="348"/>
    </row>
    <row r="680">
      <c r="A680" s="334"/>
      <c r="B680" s="334"/>
      <c r="M680" s="348"/>
    </row>
    <row r="681">
      <c r="A681" s="334"/>
      <c r="B681" s="334"/>
      <c r="M681" s="348"/>
    </row>
    <row r="682">
      <c r="A682" s="334"/>
      <c r="B682" s="334"/>
      <c r="M682" s="348"/>
    </row>
    <row r="683">
      <c r="A683" s="334"/>
      <c r="B683" s="334"/>
      <c r="M683" s="348"/>
    </row>
    <row r="684">
      <c r="A684" s="334"/>
      <c r="B684" s="334"/>
      <c r="M684" s="348"/>
    </row>
    <row r="685">
      <c r="A685" s="334"/>
      <c r="B685" s="334"/>
      <c r="M685" s="348"/>
    </row>
    <row r="686">
      <c r="A686" s="334"/>
      <c r="B686" s="334"/>
      <c r="M686" s="348"/>
    </row>
    <row r="687">
      <c r="A687" s="334"/>
      <c r="B687" s="334"/>
      <c r="M687" s="348"/>
    </row>
    <row r="688">
      <c r="A688" s="334"/>
      <c r="B688" s="334"/>
      <c r="M688" s="348"/>
    </row>
    <row r="689">
      <c r="A689" s="334"/>
      <c r="B689" s="334"/>
      <c r="M689" s="348"/>
    </row>
    <row r="690">
      <c r="A690" s="334"/>
      <c r="B690" s="334"/>
      <c r="M690" s="348"/>
    </row>
    <row r="691">
      <c r="A691" s="334"/>
      <c r="B691" s="334"/>
      <c r="M691" s="348"/>
    </row>
    <row r="692">
      <c r="A692" s="334"/>
      <c r="B692" s="334"/>
      <c r="M692" s="348"/>
    </row>
    <row r="693">
      <c r="A693" s="334"/>
      <c r="B693" s="334"/>
      <c r="M693" s="348"/>
    </row>
    <row r="694">
      <c r="A694" s="334"/>
      <c r="B694" s="334"/>
      <c r="M694" s="348"/>
    </row>
    <row r="695">
      <c r="A695" s="334"/>
      <c r="B695" s="334"/>
      <c r="M695" s="348"/>
    </row>
    <row r="696">
      <c r="A696" s="334"/>
      <c r="B696" s="334"/>
      <c r="M696" s="348"/>
    </row>
    <row r="697">
      <c r="A697" s="334"/>
      <c r="B697" s="334"/>
      <c r="M697" s="348"/>
    </row>
    <row r="698">
      <c r="A698" s="334"/>
      <c r="B698" s="334"/>
      <c r="M698" s="348"/>
    </row>
    <row r="699">
      <c r="A699" s="334"/>
      <c r="B699" s="334"/>
      <c r="M699" s="348"/>
    </row>
    <row r="700">
      <c r="A700" s="334"/>
      <c r="B700" s="334"/>
      <c r="M700" s="348"/>
    </row>
    <row r="701">
      <c r="A701" s="334"/>
      <c r="B701" s="334"/>
      <c r="M701" s="348"/>
    </row>
    <row r="702">
      <c r="A702" s="334"/>
      <c r="B702" s="334"/>
      <c r="M702" s="348"/>
    </row>
    <row r="703">
      <c r="A703" s="334"/>
      <c r="B703" s="334"/>
      <c r="M703" s="348"/>
    </row>
    <row r="704">
      <c r="A704" s="334"/>
      <c r="B704" s="334"/>
      <c r="M704" s="348"/>
    </row>
    <row r="705">
      <c r="A705" s="334"/>
      <c r="B705" s="334"/>
      <c r="M705" s="348"/>
    </row>
    <row r="706">
      <c r="A706" s="334"/>
      <c r="B706" s="334"/>
      <c r="M706" s="348"/>
    </row>
    <row r="707">
      <c r="A707" s="334"/>
      <c r="B707" s="334"/>
      <c r="M707" s="348"/>
    </row>
    <row r="708">
      <c r="A708" s="334"/>
      <c r="B708" s="334"/>
      <c r="M708" s="348"/>
    </row>
    <row r="709">
      <c r="A709" s="334"/>
      <c r="B709" s="334"/>
      <c r="M709" s="348"/>
    </row>
    <row r="710">
      <c r="A710" s="334"/>
      <c r="B710" s="334"/>
      <c r="M710" s="348"/>
    </row>
    <row r="711">
      <c r="A711" s="334"/>
      <c r="B711" s="334"/>
      <c r="M711" s="348"/>
    </row>
    <row r="712">
      <c r="A712" s="334"/>
      <c r="B712" s="334"/>
      <c r="M712" s="348"/>
    </row>
    <row r="713">
      <c r="A713" s="334"/>
      <c r="B713" s="334"/>
      <c r="M713" s="348"/>
    </row>
    <row r="714">
      <c r="A714" s="334"/>
      <c r="B714" s="334"/>
      <c r="M714" s="348"/>
    </row>
    <row r="715">
      <c r="A715" s="334"/>
      <c r="B715" s="334"/>
      <c r="M715" s="348"/>
    </row>
    <row r="716">
      <c r="A716" s="334"/>
      <c r="B716" s="334"/>
      <c r="M716" s="348"/>
    </row>
    <row r="717">
      <c r="A717" s="334"/>
      <c r="B717" s="334"/>
      <c r="M717" s="348"/>
    </row>
    <row r="718">
      <c r="A718" s="334"/>
      <c r="B718" s="334"/>
      <c r="M718" s="348"/>
    </row>
    <row r="719">
      <c r="A719" s="334"/>
      <c r="B719" s="334"/>
      <c r="M719" s="348"/>
    </row>
    <row r="720">
      <c r="A720" s="334"/>
      <c r="B720" s="334"/>
      <c r="M720" s="348"/>
    </row>
    <row r="721">
      <c r="A721" s="334"/>
      <c r="B721" s="334"/>
      <c r="M721" s="348"/>
    </row>
    <row r="722">
      <c r="A722" s="334"/>
      <c r="B722" s="334"/>
      <c r="M722" s="348"/>
    </row>
    <row r="723">
      <c r="A723" s="334"/>
      <c r="B723" s="334"/>
      <c r="M723" s="348"/>
    </row>
    <row r="724">
      <c r="A724" s="334"/>
      <c r="B724" s="334"/>
      <c r="M724" s="348"/>
    </row>
    <row r="725">
      <c r="A725" s="334"/>
      <c r="B725" s="334"/>
      <c r="M725" s="348"/>
    </row>
    <row r="726">
      <c r="A726" s="334"/>
      <c r="B726" s="334"/>
      <c r="M726" s="348"/>
    </row>
    <row r="727">
      <c r="A727" s="334"/>
      <c r="B727" s="334"/>
      <c r="M727" s="348"/>
    </row>
    <row r="728">
      <c r="A728" s="334"/>
      <c r="B728" s="334"/>
      <c r="M728" s="348"/>
    </row>
    <row r="729">
      <c r="A729" s="334"/>
      <c r="B729" s="334"/>
      <c r="M729" s="348"/>
    </row>
    <row r="730">
      <c r="A730" s="334"/>
      <c r="B730" s="334"/>
      <c r="M730" s="348"/>
    </row>
    <row r="731">
      <c r="A731" s="334"/>
      <c r="B731" s="334"/>
      <c r="M731" s="348"/>
    </row>
    <row r="732">
      <c r="A732" s="334"/>
      <c r="B732" s="334"/>
      <c r="M732" s="348"/>
    </row>
    <row r="733">
      <c r="A733" s="334"/>
      <c r="B733" s="334"/>
      <c r="M733" s="348"/>
    </row>
    <row r="734">
      <c r="A734" s="334"/>
      <c r="B734" s="334"/>
      <c r="M734" s="348"/>
    </row>
    <row r="735">
      <c r="A735" s="334"/>
      <c r="B735" s="334"/>
      <c r="M735" s="348"/>
    </row>
    <row r="736">
      <c r="A736" s="334"/>
      <c r="B736" s="334"/>
      <c r="M736" s="348"/>
    </row>
    <row r="737">
      <c r="A737" s="334"/>
      <c r="B737" s="334"/>
      <c r="M737" s="348"/>
    </row>
    <row r="738">
      <c r="A738" s="334"/>
      <c r="B738" s="334"/>
      <c r="M738" s="348"/>
    </row>
    <row r="739">
      <c r="A739" s="334"/>
      <c r="B739" s="334"/>
      <c r="M739" s="348"/>
    </row>
    <row r="740">
      <c r="A740" s="334"/>
      <c r="B740" s="334"/>
      <c r="M740" s="348"/>
    </row>
    <row r="741">
      <c r="A741" s="334"/>
      <c r="B741" s="334"/>
      <c r="M741" s="348"/>
    </row>
    <row r="742">
      <c r="A742" s="334"/>
      <c r="B742" s="334"/>
      <c r="M742" s="348"/>
    </row>
    <row r="743">
      <c r="A743" s="334"/>
      <c r="B743" s="334"/>
      <c r="M743" s="348"/>
    </row>
    <row r="744">
      <c r="A744" s="334"/>
      <c r="B744" s="334"/>
      <c r="M744" s="348"/>
    </row>
    <row r="745">
      <c r="A745" s="334"/>
      <c r="B745" s="334"/>
      <c r="M745" s="348"/>
    </row>
    <row r="746">
      <c r="A746" s="334"/>
      <c r="B746" s="334"/>
      <c r="M746" s="348"/>
    </row>
    <row r="747">
      <c r="A747" s="334"/>
      <c r="B747" s="334"/>
      <c r="M747" s="348"/>
    </row>
    <row r="748">
      <c r="A748" s="334"/>
      <c r="B748" s="334"/>
      <c r="M748" s="348"/>
    </row>
    <row r="749">
      <c r="A749" s="334"/>
      <c r="B749" s="334"/>
      <c r="M749" s="348"/>
    </row>
    <row r="750">
      <c r="A750" s="334"/>
      <c r="B750" s="334"/>
      <c r="M750" s="348"/>
    </row>
    <row r="751">
      <c r="A751" s="334"/>
      <c r="B751" s="334"/>
      <c r="M751" s="348"/>
    </row>
    <row r="752">
      <c r="A752" s="334"/>
      <c r="B752" s="334"/>
      <c r="M752" s="348"/>
    </row>
    <row r="753">
      <c r="A753" s="334"/>
      <c r="B753" s="334"/>
      <c r="M753" s="348"/>
    </row>
    <row r="754">
      <c r="A754" s="334"/>
      <c r="B754" s="334"/>
      <c r="M754" s="348"/>
    </row>
    <row r="755">
      <c r="A755" s="334"/>
      <c r="B755" s="334"/>
      <c r="M755" s="348"/>
    </row>
    <row r="756">
      <c r="A756" s="334"/>
      <c r="B756" s="334"/>
      <c r="M756" s="348"/>
    </row>
    <row r="757">
      <c r="A757" s="334"/>
      <c r="B757" s="334"/>
      <c r="M757" s="348"/>
    </row>
    <row r="758">
      <c r="A758" s="334"/>
      <c r="B758" s="334"/>
      <c r="M758" s="348"/>
    </row>
    <row r="759">
      <c r="A759" s="334"/>
      <c r="B759" s="334"/>
      <c r="M759" s="348"/>
    </row>
    <row r="760">
      <c r="A760" s="334"/>
      <c r="B760" s="334"/>
      <c r="M760" s="348"/>
    </row>
    <row r="761">
      <c r="A761" s="334"/>
      <c r="B761" s="334"/>
      <c r="M761" s="348"/>
    </row>
    <row r="762">
      <c r="A762" s="334"/>
      <c r="B762" s="334"/>
      <c r="M762" s="348"/>
    </row>
    <row r="763">
      <c r="A763" s="334"/>
      <c r="B763" s="334"/>
      <c r="M763" s="348"/>
    </row>
    <row r="764">
      <c r="A764" s="334"/>
      <c r="B764" s="334"/>
      <c r="M764" s="348"/>
    </row>
    <row r="765">
      <c r="A765" s="334"/>
      <c r="B765" s="334"/>
      <c r="M765" s="348"/>
    </row>
    <row r="766">
      <c r="A766" s="334"/>
      <c r="B766" s="334"/>
      <c r="M766" s="348"/>
    </row>
    <row r="767">
      <c r="A767" s="334"/>
      <c r="B767" s="334"/>
      <c r="M767" s="348"/>
    </row>
    <row r="768">
      <c r="A768" s="334"/>
      <c r="B768" s="334"/>
      <c r="M768" s="348"/>
    </row>
    <row r="769">
      <c r="A769" s="334"/>
      <c r="B769" s="334"/>
      <c r="M769" s="348"/>
    </row>
    <row r="770">
      <c r="A770" s="334"/>
      <c r="B770" s="334"/>
      <c r="M770" s="348"/>
    </row>
    <row r="771">
      <c r="A771" s="334"/>
      <c r="B771" s="334"/>
      <c r="M771" s="348"/>
    </row>
    <row r="772">
      <c r="A772" s="334"/>
      <c r="B772" s="334"/>
      <c r="M772" s="348"/>
    </row>
    <row r="773">
      <c r="A773" s="334"/>
      <c r="B773" s="334"/>
      <c r="M773" s="348"/>
    </row>
    <row r="774">
      <c r="A774" s="334"/>
      <c r="B774" s="334"/>
      <c r="M774" s="348"/>
    </row>
    <row r="775">
      <c r="A775" s="334"/>
      <c r="B775" s="334"/>
      <c r="M775" s="348"/>
    </row>
    <row r="776">
      <c r="A776" s="334"/>
      <c r="B776" s="334"/>
      <c r="M776" s="348"/>
    </row>
    <row r="777">
      <c r="A777" s="334"/>
      <c r="B777" s="334"/>
      <c r="M777" s="348"/>
    </row>
    <row r="778">
      <c r="A778" s="334"/>
      <c r="B778" s="334"/>
      <c r="M778" s="348"/>
    </row>
    <row r="779">
      <c r="A779" s="334"/>
      <c r="B779" s="334"/>
      <c r="M779" s="348"/>
    </row>
    <row r="780">
      <c r="A780" s="334"/>
      <c r="B780" s="334"/>
      <c r="M780" s="348"/>
    </row>
    <row r="781">
      <c r="A781" s="334"/>
      <c r="B781" s="334"/>
      <c r="M781" s="348"/>
    </row>
    <row r="782">
      <c r="A782" s="334"/>
      <c r="B782" s="334"/>
      <c r="M782" s="348"/>
    </row>
    <row r="783">
      <c r="A783" s="334"/>
      <c r="B783" s="334"/>
      <c r="M783" s="348"/>
    </row>
    <row r="784">
      <c r="A784" s="334"/>
      <c r="B784" s="334"/>
      <c r="M784" s="348"/>
    </row>
    <row r="785">
      <c r="A785" s="334"/>
      <c r="B785" s="334"/>
      <c r="M785" s="348"/>
    </row>
    <row r="786">
      <c r="A786" s="334"/>
      <c r="B786" s="334"/>
      <c r="M786" s="348"/>
    </row>
    <row r="787">
      <c r="A787" s="334"/>
      <c r="B787" s="334"/>
      <c r="M787" s="348"/>
    </row>
    <row r="788">
      <c r="A788" s="334"/>
      <c r="B788" s="334"/>
      <c r="M788" s="348"/>
    </row>
    <row r="789">
      <c r="A789" s="334"/>
      <c r="B789" s="334"/>
      <c r="M789" s="348"/>
    </row>
    <row r="790">
      <c r="A790" s="334"/>
      <c r="B790" s="334"/>
      <c r="M790" s="348"/>
    </row>
    <row r="791">
      <c r="A791" s="334"/>
      <c r="B791" s="334"/>
      <c r="M791" s="348"/>
    </row>
    <row r="792">
      <c r="A792" s="334"/>
      <c r="B792" s="334"/>
      <c r="M792" s="348"/>
    </row>
    <row r="793">
      <c r="A793" s="334"/>
      <c r="B793" s="334"/>
      <c r="M793" s="348"/>
    </row>
    <row r="794">
      <c r="A794" s="334"/>
      <c r="B794" s="334"/>
      <c r="M794" s="348"/>
    </row>
    <row r="795">
      <c r="A795" s="334"/>
      <c r="B795" s="334"/>
      <c r="M795" s="348"/>
    </row>
    <row r="796">
      <c r="A796" s="334"/>
      <c r="B796" s="334"/>
      <c r="M796" s="348"/>
    </row>
    <row r="797">
      <c r="A797" s="334"/>
      <c r="B797" s="334"/>
      <c r="M797" s="348"/>
    </row>
    <row r="798">
      <c r="A798" s="334"/>
      <c r="B798" s="334"/>
      <c r="M798" s="348"/>
    </row>
    <row r="799">
      <c r="A799" s="334"/>
      <c r="B799" s="334"/>
      <c r="M799" s="348"/>
    </row>
    <row r="800">
      <c r="A800" s="334"/>
      <c r="B800" s="334"/>
      <c r="M800" s="348"/>
    </row>
    <row r="801">
      <c r="A801" s="334"/>
      <c r="B801" s="334"/>
      <c r="M801" s="348"/>
    </row>
    <row r="802">
      <c r="A802" s="334"/>
      <c r="B802" s="334"/>
      <c r="M802" s="348"/>
    </row>
    <row r="803">
      <c r="A803" s="334"/>
      <c r="B803" s="334"/>
      <c r="M803" s="348"/>
    </row>
    <row r="804">
      <c r="A804" s="334"/>
      <c r="B804" s="334"/>
      <c r="M804" s="348"/>
    </row>
    <row r="805">
      <c r="A805" s="334"/>
      <c r="B805" s="334"/>
      <c r="M805" s="348"/>
    </row>
    <row r="806">
      <c r="A806" s="334"/>
      <c r="B806" s="334"/>
      <c r="M806" s="348"/>
    </row>
    <row r="807">
      <c r="A807" s="334"/>
      <c r="B807" s="334"/>
      <c r="M807" s="348"/>
    </row>
    <row r="808">
      <c r="A808" s="334"/>
      <c r="B808" s="334"/>
      <c r="M808" s="348"/>
    </row>
    <row r="809">
      <c r="A809" s="334"/>
      <c r="B809" s="334"/>
      <c r="M809" s="348"/>
    </row>
    <row r="810">
      <c r="A810" s="334"/>
      <c r="B810" s="334"/>
      <c r="M810" s="348"/>
    </row>
    <row r="811">
      <c r="A811" s="334"/>
      <c r="B811" s="334"/>
      <c r="M811" s="348"/>
    </row>
    <row r="812">
      <c r="A812" s="334"/>
      <c r="B812" s="334"/>
      <c r="M812" s="348"/>
    </row>
    <row r="813">
      <c r="A813" s="334"/>
      <c r="B813" s="334"/>
      <c r="M813" s="348"/>
    </row>
    <row r="814">
      <c r="A814" s="334"/>
      <c r="B814" s="334"/>
      <c r="M814" s="348"/>
    </row>
    <row r="815">
      <c r="A815" s="334"/>
      <c r="B815" s="334"/>
      <c r="M815" s="348"/>
    </row>
    <row r="816">
      <c r="A816" s="334"/>
      <c r="B816" s="334"/>
      <c r="M816" s="348"/>
    </row>
    <row r="817">
      <c r="A817" s="334"/>
      <c r="B817" s="334"/>
      <c r="M817" s="348"/>
    </row>
    <row r="818">
      <c r="A818" s="334"/>
      <c r="B818" s="334"/>
      <c r="M818" s="348"/>
    </row>
    <row r="819">
      <c r="A819" s="334"/>
      <c r="B819" s="334"/>
      <c r="M819" s="348"/>
    </row>
    <row r="820">
      <c r="A820" s="334"/>
      <c r="B820" s="334"/>
      <c r="M820" s="348"/>
    </row>
    <row r="821">
      <c r="A821" s="334"/>
      <c r="B821" s="334"/>
      <c r="M821" s="348"/>
    </row>
    <row r="822">
      <c r="A822" s="334"/>
      <c r="B822" s="334"/>
      <c r="M822" s="348"/>
    </row>
    <row r="823">
      <c r="A823" s="334"/>
      <c r="B823" s="334"/>
      <c r="M823" s="348"/>
    </row>
    <row r="824">
      <c r="A824" s="334"/>
      <c r="B824" s="334"/>
      <c r="M824" s="348"/>
    </row>
    <row r="825">
      <c r="A825" s="334"/>
      <c r="B825" s="334"/>
      <c r="M825" s="348"/>
    </row>
    <row r="826">
      <c r="A826" s="334"/>
      <c r="B826" s="334"/>
      <c r="M826" s="348"/>
    </row>
    <row r="827">
      <c r="A827" s="334"/>
      <c r="B827" s="334"/>
      <c r="M827" s="348"/>
    </row>
    <row r="828">
      <c r="A828" s="334"/>
      <c r="B828" s="334"/>
      <c r="M828" s="348"/>
    </row>
    <row r="829">
      <c r="A829" s="334"/>
      <c r="B829" s="334"/>
      <c r="M829" s="348"/>
    </row>
    <row r="830">
      <c r="A830" s="334"/>
      <c r="B830" s="334"/>
      <c r="M830" s="348"/>
    </row>
    <row r="831">
      <c r="A831" s="334"/>
      <c r="B831" s="334"/>
      <c r="M831" s="348"/>
    </row>
    <row r="832">
      <c r="A832" s="334"/>
      <c r="B832" s="334"/>
      <c r="M832" s="348"/>
    </row>
    <row r="833">
      <c r="A833" s="334"/>
      <c r="B833" s="334"/>
      <c r="M833" s="348"/>
    </row>
    <row r="834">
      <c r="A834" s="334"/>
      <c r="B834" s="334"/>
      <c r="M834" s="348"/>
    </row>
    <row r="835">
      <c r="A835" s="334"/>
      <c r="B835" s="334"/>
      <c r="M835" s="348"/>
    </row>
    <row r="836">
      <c r="A836" s="334"/>
      <c r="B836" s="334"/>
      <c r="M836" s="348"/>
    </row>
    <row r="837">
      <c r="A837" s="334"/>
      <c r="B837" s="334"/>
      <c r="M837" s="348"/>
    </row>
    <row r="838">
      <c r="A838" s="334"/>
      <c r="B838" s="334"/>
      <c r="M838" s="348"/>
    </row>
    <row r="839">
      <c r="A839" s="334"/>
      <c r="B839" s="334"/>
      <c r="M839" s="348"/>
    </row>
    <row r="840">
      <c r="A840" s="334"/>
      <c r="B840" s="334"/>
      <c r="M840" s="348"/>
    </row>
    <row r="841">
      <c r="A841" s="334"/>
      <c r="B841" s="334"/>
      <c r="M841" s="348"/>
    </row>
    <row r="842">
      <c r="A842" s="334"/>
      <c r="B842" s="334"/>
      <c r="M842" s="348"/>
    </row>
    <row r="843">
      <c r="A843" s="334"/>
      <c r="B843" s="334"/>
      <c r="M843" s="348"/>
    </row>
    <row r="844">
      <c r="A844" s="334"/>
      <c r="B844" s="334"/>
      <c r="M844" s="348"/>
    </row>
    <row r="845">
      <c r="A845" s="334"/>
      <c r="B845" s="334"/>
      <c r="M845" s="348"/>
    </row>
    <row r="846">
      <c r="A846" s="334"/>
      <c r="B846" s="334"/>
      <c r="M846" s="348"/>
    </row>
    <row r="847">
      <c r="A847" s="334"/>
      <c r="B847" s="334"/>
      <c r="M847" s="348"/>
    </row>
    <row r="848">
      <c r="A848" s="334"/>
      <c r="B848" s="334"/>
      <c r="M848" s="348"/>
    </row>
    <row r="849">
      <c r="A849" s="334"/>
      <c r="B849" s="334"/>
      <c r="M849" s="348"/>
    </row>
    <row r="850">
      <c r="A850" s="334"/>
      <c r="B850" s="334"/>
      <c r="M850" s="348"/>
    </row>
    <row r="851">
      <c r="A851" s="334"/>
      <c r="B851" s="334"/>
      <c r="M851" s="348"/>
    </row>
    <row r="852">
      <c r="A852" s="334"/>
      <c r="B852" s="334"/>
      <c r="M852" s="348"/>
    </row>
    <row r="853">
      <c r="A853" s="334"/>
      <c r="B853" s="334"/>
      <c r="M853" s="348"/>
    </row>
    <row r="854">
      <c r="A854" s="334"/>
      <c r="B854" s="334"/>
      <c r="M854" s="348"/>
    </row>
    <row r="855">
      <c r="A855" s="334"/>
      <c r="B855" s="334"/>
      <c r="M855" s="348"/>
    </row>
    <row r="856">
      <c r="A856" s="334"/>
      <c r="B856" s="334"/>
      <c r="M856" s="348"/>
    </row>
    <row r="857">
      <c r="A857" s="334"/>
      <c r="B857" s="334"/>
      <c r="M857" s="348"/>
    </row>
    <row r="858">
      <c r="A858" s="334"/>
      <c r="B858" s="334"/>
      <c r="M858" s="348"/>
    </row>
    <row r="859">
      <c r="A859" s="334"/>
      <c r="B859" s="334"/>
      <c r="M859" s="348"/>
    </row>
    <row r="860">
      <c r="A860" s="334"/>
      <c r="B860" s="334"/>
      <c r="M860" s="348"/>
    </row>
    <row r="861">
      <c r="A861" s="334"/>
      <c r="B861" s="334"/>
      <c r="M861" s="348"/>
    </row>
    <row r="862">
      <c r="A862" s="334"/>
      <c r="B862" s="334"/>
      <c r="M862" s="348"/>
    </row>
    <row r="863">
      <c r="A863" s="334"/>
      <c r="B863" s="334"/>
      <c r="M863" s="348"/>
    </row>
    <row r="864">
      <c r="A864" s="334"/>
      <c r="B864" s="334"/>
      <c r="M864" s="348"/>
    </row>
    <row r="865">
      <c r="A865" s="334"/>
      <c r="B865" s="334"/>
      <c r="M865" s="348"/>
    </row>
    <row r="866">
      <c r="A866" s="334"/>
      <c r="B866" s="334"/>
      <c r="M866" s="348"/>
    </row>
    <row r="867">
      <c r="A867" s="334"/>
      <c r="B867" s="334"/>
      <c r="M867" s="348"/>
    </row>
    <row r="868">
      <c r="A868" s="334"/>
      <c r="B868" s="334"/>
      <c r="M868" s="348"/>
    </row>
    <row r="869">
      <c r="A869" s="334"/>
      <c r="B869" s="334"/>
      <c r="M869" s="348"/>
    </row>
    <row r="870">
      <c r="A870" s="334"/>
      <c r="B870" s="334"/>
      <c r="M870" s="348"/>
    </row>
    <row r="871">
      <c r="A871" s="334"/>
      <c r="B871" s="334"/>
      <c r="M871" s="348"/>
    </row>
    <row r="872">
      <c r="A872" s="334"/>
      <c r="B872" s="334"/>
      <c r="M872" s="348"/>
    </row>
    <row r="873">
      <c r="A873" s="334"/>
      <c r="B873" s="334"/>
      <c r="M873" s="348"/>
    </row>
    <row r="874">
      <c r="A874" s="334"/>
      <c r="B874" s="334"/>
      <c r="M874" s="348"/>
    </row>
    <row r="875">
      <c r="A875" s="334"/>
      <c r="B875" s="334"/>
      <c r="M875" s="348"/>
    </row>
    <row r="876">
      <c r="A876" s="334"/>
      <c r="B876" s="334"/>
      <c r="M876" s="348"/>
    </row>
    <row r="877">
      <c r="A877" s="334"/>
      <c r="B877" s="334"/>
      <c r="M877" s="348"/>
    </row>
    <row r="878">
      <c r="A878" s="334"/>
      <c r="B878" s="334"/>
      <c r="M878" s="348"/>
    </row>
    <row r="879">
      <c r="A879" s="334"/>
      <c r="B879" s="334"/>
      <c r="M879" s="348"/>
    </row>
    <row r="880">
      <c r="A880" s="334"/>
      <c r="B880" s="334"/>
      <c r="M880" s="348"/>
    </row>
    <row r="881">
      <c r="A881" s="334"/>
      <c r="B881" s="334"/>
      <c r="M881" s="348"/>
    </row>
    <row r="882">
      <c r="A882" s="334"/>
      <c r="B882" s="334"/>
      <c r="M882" s="348"/>
    </row>
    <row r="883">
      <c r="A883" s="334"/>
      <c r="B883" s="334"/>
      <c r="M883" s="348"/>
    </row>
    <row r="884">
      <c r="A884" s="334"/>
      <c r="B884" s="334"/>
      <c r="M884" s="348"/>
    </row>
    <row r="885">
      <c r="A885" s="334"/>
      <c r="B885" s="334"/>
      <c r="M885" s="348"/>
    </row>
    <row r="886">
      <c r="A886" s="334"/>
      <c r="B886" s="334"/>
      <c r="M886" s="348"/>
    </row>
    <row r="887">
      <c r="A887" s="334"/>
      <c r="B887" s="334"/>
      <c r="M887" s="348"/>
    </row>
    <row r="888">
      <c r="A888" s="334"/>
      <c r="B888" s="334"/>
      <c r="M888" s="348"/>
    </row>
    <row r="889">
      <c r="A889" s="334"/>
      <c r="B889" s="334"/>
      <c r="M889" s="348"/>
    </row>
    <row r="890">
      <c r="A890" s="334"/>
      <c r="B890" s="334"/>
      <c r="M890" s="348"/>
    </row>
    <row r="891">
      <c r="A891" s="334"/>
      <c r="B891" s="334"/>
      <c r="M891" s="348"/>
    </row>
    <row r="892">
      <c r="A892" s="334"/>
      <c r="B892" s="334"/>
      <c r="M892" s="348"/>
    </row>
    <row r="893">
      <c r="A893" s="334"/>
      <c r="B893" s="334"/>
      <c r="M893" s="348"/>
    </row>
    <row r="894">
      <c r="A894" s="334"/>
      <c r="B894" s="334"/>
      <c r="M894" s="348"/>
    </row>
    <row r="895">
      <c r="A895" s="334"/>
      <c r="B895" s="334"/>
      <c r="M895" s="348"/>
    </row>
    <row r="896">
      <c r="A896" s="334"/>
      <c r="B896" s="334"/>
      <c r="M896" s="348"/>
    </row>
    <row r="897">
      <c r="A897" s="334"/>
      <c r="B897" s="334"/>
      <c r="M897" s="348"/>
    </row>
    <row r="898">
      <c r="A898" s="334"/>
      <c r="B898" s="334"/>
      <c r="M898" s="348"/>
    </row>
    <row r="899">
      <c r="A899" s="334"/>
      <c r="B899" s="334"/>
      <c r="M899" s="348"/>
    </row>
    <row r="900">
      <c r="A900" s="334"/>
      <c r="B900" s="334"/>
      <c r="M900" s="348"/>
    </row>
    <row r="901">
      <c r="A901" s="334"/>
      <c r="B901" s="334"/>
      <c r="M901" s="348"/>
    </row>
    <row r="902">
      <c r="A902" s="334"/>
      <c r="B902" s="334"/>
      <c r="M902" s="348"/>
    </row>
    <row r="903">
      <c r="A903" s="334"/>
      <c r="B903" s="334"/>
      <c r="M903" s="348"/>
    </row>
    <row r="904">
      <c r="A904" s="334"/>
      <c r="B904" s="334"/>
      <c r="M904" s="348"/>
    </row>
    <row r="905">
      <c r="A905" s="334"/>
      <c r="B905" s="334"/>
      <c r="M905" s="348"/>
    </row>
    <row r="906">
      <c r="A906" s="334"/>
      <c r="B906" s="334"/>
      <c r="M906" s="348"/>
    </row>
    <row r="907">
      <c r="A907" s="334"/>
      <c r="B907" s="334"/>
      <c r="M907" s="348"/>
    </row>
    <row r="908">
      <c r="A908" s="334"/>
      <c r="B908" s="334"/>
      <c r="M908" s="348"/>
    </row>
    <row r="909">
      <c r="A909" s="334"/>
      <c r="B909" s="334"/>
      <c r="M909" s="348"/>
    </row>
    <row r="910">
      <c r="A910" s="334"/>
      <c r="B910" s="334"/>
      <c r="M910" s="348"/>
    </row>
    <row r="911">
      <c r="A911" s="334"/>
      <c r="B911" s="334"/>
      <c r="M911" s="348"/>
    </row>
    <row r="912">
      <c r="A912" s="334"/>
      <c r="B912" s="334"/>
      <c r="M912" s="348"/>
    </row>
    <row r="913">
      <c r="A913" s="334"/>
      <c r="B913" s="334"/>
      <c r="M913" s="348"/>
    </row>
    <row r="914">
      <c r="A914" s="334"/>
      <c r="B914" s="334"/>
      <c r="M914" s="348"/>
    </row>
    <row r="915">
      <c r="A915" s="334"/>
      <c r="B915" s="334"/>
      <c r="M915" s="348"/>
    </row>
    <row r="916">
      <c r="A916" s="334"/>
      <c r="B916" s="334"/>
      <c r="M916" s="348"/>
    </row>
    <row r="917">
      <c r="A917" s="334"/>
      <c r="B917" s="334"/>
      <c r="M917" s="348"/>
    </row>
    <row r="918">
      <c r="A918" s="334"/>
      <c r="B918" s="334"/>
      <c r="M918" s="348"/>
    </row>
    <row r="919">
      <c r="A919" s="334"/>
      <c r="B919" s="334"/>
      <c r="M919" s="348"/>
    </row>
    <row r="920">
      <c r="A920" s="334"/>
      <c r="B920" s="334"/>
      <c r="M920" s="348"/>
    </row>
    <row r="921">
      <c r="A921" s="334"/>
      <c r="B921" s="334"/>
      <c r="M921" s="348"/>
    </row>
    <row r="922">
      <c r="A922" s="334"/>
      <c r="B922" s="334"/>
      <c r="M922" s="348"/>
    </row>
    <row r="923">
      <c r="A923" s="334"/>
      <c r="B923" s="334"/>
      <c r="M923" s="348"/>
    </row>
    <row r="924">
      <c r="A924" s="334"/>
      <c r="B924" s="334"/>
      <c r="M924" s="348"/>
    </row>
    <row r="925">
      <c r="A925" s="334"/>
      <c r="B925" s="334"/>
      <c r="M925" s="348"/>
    </row>
    <row r="926">
      <c r="A926" s="334"/>
      <c r="B926" s="334"/>
      <c r="M926" s="348"/>
    </row>
    <row r="927">
      <c r="A927" s="334"/>
      <c r="B927" s="334"/>
      <c r="M927" s="348"/>
    </row>
    <row r="928">
      <c r="A928" s="334"/>
      <c r="B928" s="334"/>
      <c r="M928" s="348"/>
    </row>
    <row r="929">
      <c r="A929" s="334"/>
      <c r="B929" s="334"/>
      <c r="M929" s="348"/>
    </row>
    <row r="930">
      <c r="A930" s="334"/>
      <c r="B930" s="334"/>
      <c r="M930" s="348"/>
    </row>
    <row r="931">
      <c r="A931" s="334"/>
      <c r="B931" s="334"/>
      <c r="M931" s="348"/>
    </row>
    <row r="932">
      <c r="A932" s="334"/>
      <c r="B932" s="334"/>
      <c r="M932" s="348"/>
    </row>
    <row r="933">
      <c r="A933" s="334"/>
      <c r="B933" s="334"/>
      <c r="M933" s="348"/>
    </row>
    <row r="934">
      <c r="A934" s="334"/>
      <c r="B934" s="334"/>
      <c r="M934" s="348"/>
    </row>
    <row r="935">
      <c r="A935" s="334"/>
      <c r="B935" s="334"/>
      <c r="M935" s="348"/>
    </row>
    <row r="936">
      <c r="A936" s="334"/>
      <c r="B936" s="334"/>
      <c r="M936" s="348"/>
    </row>
    <row r="937">
      <c r="A937" s="334"/>
      <c r="B937" s="334"/>
      <c r="M937" s="348"/>
    </row>
    <row r="938">
      <c r="A938" s="334"/>
      <c r="B938" s="334"/>
      <c r="M938" s="348"/>
    </row>
    <row r="939">
      <c r="A939" s="334"/>
      <c r="B939" s="334"/>
      <c r="M939" s="348"/>
    </row>
    <row r="940">
      <c r="A940" s="334"/>
      <c r="B940" s="334"/>
      <c r="M940" s="348"/>
    </row>
    <row r="941">
      <c r="A941" s="334"/>
      <c r="B941" s="334"/>
      <c r="M941" s="348"/>
    </row>
    <row r="942">
      <c r="A942" s="334"/>
      <c r="B942" s="334"/>
      <c r="M942" s="348"/>
    </row>
    <row r="943">
      <c r="A943" s="334"/>
      <c r="B943" s="334"/>
      <c r="M943" s="348"/>
    </row>
    <row r="944">
      <c r="A944" s="334"/>
      <c r="B944" s="334"/>
      <c r="M944" s="348"/>
    </row>
    <row r="945">
      <c r="A945" s="334"/>
      <c r="B945" s="334"/>
      <c r="M945" s="348"/>
    </row>
    <row r="946">
      <c r="A946" s="334"/>
      <c r="B946" s="334"/>
      <c r="M946" s="348"/>
    </row>
    <row r="947">
      <c r="A947" s="334"/>
      <c r="B947" s="334"/>
      <c r="M947" s="348"/>
    </row>
    <row r="948">
      <c r="A948" s="334"/>
      <c r="B948" s="334"/>
      <c r="M948" s="348"/>
    </row>
    <row r="949">
      <c r="A949" s="334"/>
      <c r="B949" s="334"/>
      <c r="M949" s="348"/>
    </row>
    <row r="950">
      <c r="A950" s="334"/>
      <c r="B950" s="334"/>
      <c r="M950" s="348"/>
    </row>
    <row r="951">
      <c r="A951" s="334"/>
      <c r="B951" s="334"/>
      <c r="M951" s="348"/>
    </row>
    <row r="952">
      <c r="A952" s="334"/>
      <c r="B952" s="334"/>
      <c r="M952" s="348"/>
    </row>
    <row r="953">
      <c r="A953" s="334"/>
      <c r="B953" s="334"/>
      <c r="M953" s="348"/>
    </row>
    <row r="954">
      <c r="A954" s="334"/>
      <c r="B954" s="334"/>
      <c r="M954" s="348"/>
    </row>
    <row r="955">
      <c r="A955" s="334"/>
      <c r="B955" s="334"/>
      <c r="M955" s="348"/>
    </row>
    <row r="956">
      <c r="A956" s="334"/>
      <c r="B956" s="334"/>
      <c r="M956" s="348"/>
    </row>
    <row r="957">
      <c r="A957" s="334"/>
      <c r="B957" s="334"/>
      <c r="M957" s="348"/>
    </row>
    <row r="958">
      <c r="A958" s="334"/>
      <c r="B958" s="334"/>
      <c r="M958" s="348"/>
    </row>
    <row r="959">
      <c r="A959" s="334"/>
      <c r="B959" s="334"/>
      <c r="M959" s="348"/>
    </row>
    <row r="960">
      <c r="A960" s="334"/>
      <c r="B960" s="334"/>
      <c r="M960" s="348"/>
    </row>
    <row r="961">
      <c r="A961" s="334"/>
      <c r="B961" s="334"/>
      <c r="M961" s="348"/>
    </row>
    <row r="962">
      <c r="A962" s="334"/>
      <c r="B962" s="334"/>
      <c r="M962" s="348"/>
    </row>
    <row r="963">
      <c r="A963" s="334"/>
      <c r="B963" s="334"/>
      <c r="M963" s="348"/>
    </row>
    <row r="964">
      <c r="A964" s="334"/>
      <c r="B964" s="334"/>
      <c r="M964" s="348"/>
    </row>
    <row r="965">
      <c r="A965" s="334"/>
      <c r="B965" s="334"/>
      <c r="M965" s="348"/>
    </row>
    <row r="966">
      <c r="A966" s="334"/>
      <c r="B966" s="334"/>
      <c r="M966" s="348"/>
    </row>
    <row r="967">
      <c r="A967" s="334"/>
      <c r="B967" s="334"/>
      <c r="M967" s="348"/>
    </row>
    <row r="968">
      <c r="A968" s="334"/>
      <c r="B968" s="334"/>
      <c r="M968" s="348"/>
    </row>
    <row r="969">
      <c r="A969" s="334"/>
      <c r="B969" s="334"/>
      <c r="M969" s="348"/>
    </row>
    <row r="970">
      <c r="A970" s="334"/>
      <c r="B970" s="334"/>
      <c r="M970" s="348"/>
    </row>
    <row r="971">
      <c r="A971" s="334"/>
      <c r="B971" s="334"/>
      <c r="M971" s="348"/>
    </row>
    <row r="972">
      <c r="A972" s="334"/>
      <c r="B972" s="334"/>
      <c r="M972" s="348"/>
    </row>
    <row r="973">
      <c r="A973" s="334"/>
      <c r="B973" s="334"/>
      <c r="M973" s="348"/>
    </row>
    <row r="974">
      <c r="A974" s="334"/>
      <c r="B974" s="334"/>
      <c r="M974" s="348"/>
    </row>
    <row r="975">
      <c r="A975" s="334"/>
      <c r="B975" s="334"/>
      <c r="M975" s="348"/>
    </row>
    <row r="976">
      <c r="A976" s="334"/>
      <c r="B976" s="334"/>
      <c r="M976" s="348"/>
    </row>
    <row r="977">
      <c r="A977" s="334"/>
      <c r="B977" s="334"/>
      <c r="M977" s="348"/>
    </row>
    <row r="978">
      <c r="A978" s="334"/>
      <c r="B978" s="334"/>
      <c r="M978" s="348"/>
    </row>
    <row r="979">
      <c r="A979" s="334"/>
      <c r="B979" s="334"/>
      <c r="M979" s="348"/>
    </row>
    <row r="980">
      <c r="A980" s="334"/>
      <c r="B980" s="334"/>
      <c r="M980" s="348"/>
    </row>
    <row r="981">
      <c r="A981" s="334"/>
      <c r="B981" s="334"/>
      <c r="M981" s="348"/>
    </row>
    <row r="982">
      <c r="A982" s="334"/>
      <c r="B982" s="334"/>
      <c r="M982" s="348"/>
    </row>
    <row r="983">
      <c r="A983" s="334"/>
      <c r="B983" s="334"/>
      <c r="M983" s="348"/>
    </row>
    <row r="984">
      <c r="A984" s="334"/>
      <c r="B984" s="334"/>
      <c r="M984" s="348"/>
    </row>
    <row r="985">
      <c r="A985" s="334"/>
      <c r="B985" s="334"/>
      <c r="M985" s="348"/>
    </row>
    <row r="986">
      <c r="A986" s="334"/>
      <c r="B986" s="334"/>
      <c r="M986" s="348"/>
    </row>
    <row r="987">
      <c r="A987" s="334"/>
      <c r="B987" s="334"/>
      <c r="M987" s="348"/>
    </row>
    <row r="988">
      <c r="A988" s="334"/>
      <c r="B988" s="334"/>
      <c r="M988" s="348"/>
    </row>
  </sheetData>
  <hyperlinks>
    <hyperlink r:id="rId1" ref="S2"/>
    <hyperlink r:id="rId2" ref="S4"/>
    <hyperlink r:id="rId3" ref="S5"/>
    <hyperlink r:id="rId4" ref="S6"/>
    <hyperlink r:id="rId5" ref="S7"/>
  </hyperlinks>
  <drawing r:id="rId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9.38"/>
    <col customWidth="1" min="4" max="4" width="9.13"/>
    <col customWidth="1" min="5" max="5" width="20.13"/>
    <col customWidth="1" min="7" max="7" width="15.13"/>
    <col customWidth="1" min="10" max="10" width="19.13"/>
    <col customWidth="1" min="19" max="22" width="18.88"/>
  </cols>
  <sheetData>
    <row r="1">
      <c r="A1" s="282" t="s">
        <v>3757</v>
      </c>
      <c r="B1" s="349" t="s">
        <v>3758</v>
      </c>
      <c r="C1" s="282" t="s">
        <v>3759</v>
      </c>
      <c r="D1" s="282" t="s">
        <v>3760</v>
      </c>
      <c r="E1" s="282" t="s">
        <v>3761</v>
      </c>
      <c r="F1" s="282" t="s">
        <v>3762</v>
      </c>
      <c r="G1" s="282" t="s">
        <v>3763</v>
      </c>
      <c r="H1" s="282" t="s">
        <v>3764</v>
      </c>
      <c r="I1" s="282" t="s">
        <v>3765</v>
      </c>
      <c r="J1" s="282" t="s">
        <v>3766</v>
      </c>
      <c r="K1" s="282" t="s">
        <v>3767</v>
      </c>
      <c r="L1" s="283" t="s">
        <v>3768</v>
      </c>
      <c r="M1" s="282" t="s">
        <v>3769</v>
      </c>
      <c r="N1" s="282" t="s">
        <v>3770</v>
      </c>
      <c r="O1" s="282" t="s">
        <v>3771</v>
      </c>
      <c r="P1" s="282" t="s">
        <v>3772</v>
      </c>
      <c r="Q1" s="282" t="s">
        <v>3773</v>
      </c>
      <c r="R1" s="282" t="s">
        <v>3774</v>
      </c>
      <c r="S1" s="214" t="s">
        <v>3775</v>
      </c>
      <c r="T1" s="214" t="s">
        <v>3776</v>
      </c>
      <c r="U1" s="214" t="s">
        <v>3777</v>
      </c>
      <c r="V1" s="214" t="s">
        <v>3778</v>
      </c>
      <c r="W1" s="200"/>
      <c r="X1" s="200"/>
      <c r="Y1" s="200"/>
      <c r="Z1" s="200"/>
      <c r="AA1" s="200"/>
      <c r="AB1" s="200"/>
      <c r="AC1" s="200"/>
    </row>
    <row r="2">
      <c r="A2" s="135">
        <v>45523.0</v>
      </c>
      <c r="B2" s="135">
        <v>45525.0</v>
      </c>
      <c r="C2" s="17" t="s">
        <v>3779</v>
      </c>
      <c r="D2" s="168">
        <v>717.0</v>
      </c>
      <c r="E2" s="17" t="s">
        <v>3780</v>
      </c>
      <c r="F2" s="17" t="s">
        <v>3781</v>
      </c>
      <c r="G2" s="17" t="s">
        <v>3672</v>
      </c>
      <c r="H2" s="17" t="s">
        <v>541</v>
      </c>
      <c r="I2" s="17" t="s">
        <v>314</v>
      </c>
      <c r="J2" s="17" t="s">
        <v>3782</v>
      </c>
      <c r="K2" s="17">
        <v>2.0</v>
      </c>
      <c r="L2" s="350">
        <v>300000.0</v>
      </c>
      <c r="M2" s="171">
        <f t="shared" ref="M2:M8" si="1">20*K2</f>
        <v>40</v>
      </c>
      <c r="N2" s="17">
        <v>10.0</v>
      </c>
      <c r="O2" s="171">
        <f t="shared" ref="O2:O8" si="2">5*K2</f>
        <v>10</v>
      </c>
      <c r="P2" s="171">
        <f t="shared" ref="P2:P8" si="3">5*K2</f>
        <v>10</v>
      </c>
      <c r="Q2" s="17">
        <v>5.0</v>
      </c>
      <c r="R2" s="171">
        <f t="shared" ref="R2:R3" si="4">SUM(M2:Q2)</f>
        <v>75</v>
      </c>
      <c r="S2" s="17" t="s">
        <v>3783</v>
      </c>
      <c r="T2" s="133" t="s">
        <v>3784</v>
      </c>
      <c r="U2" s="134" t="str">
        <f>HYPERLINK("https://drive.google.com/file/d/1W8MfIQ4eN-DfHc2lISjIKooxIBzKwTid/view?usp=drivesdk","XRF_Afanindya Salma K_717")</f>
        <v>XRF_Afanindya Salma K_717</v>
      </c>
      <c r="V2" s="17" t="s">
        <v>3785</v>
      </c>
    </row>
    <row r="3">
      <c r="A3" s="135">
        <v>45583.0</v>
      </c>
      <c r="B3" s="135">
        <v>45588.0</v>
      </c>
      <c r="C3" s="17" t="s">
        <v>3779</v>
      </c>
      <c r="D3" s="168">
        <v>838.0</v>
      </c>
      <c r="E3" s="136" t="s">
        <v>3786</v>
      </c>
      <c r="F3" s="136" t="s">
        <v>3787</v>
      </c>
      <c r="G3" s="136" t="s">
        <v>3788</v>
      </c>
      <c r="H3" s="17" t="s">
        <v>541</v>
      </c>
      <c r="I3" s="17" t="s">
        <v>314</v>
      </c>
      <c r="J3" s="17" t="s">
        <v>3789</v>
      </c>
      <c r="K3" s="17">
        <v>3.0</v>
      </c>
      <c r="L3" s="350">
        <v>300000.0</v>
      </c>
      <c r="M3" s="171">
        <f t="shared" si="1"/>
        <v>60</v>
      </c>
      <c r="N3" s="17">
        <v>10.0</v>
      </c>
      <c r="O3" s="171">
        <f t="shared" si="2"/>
        <v>15</v>
      </c>
      <c r="P3" s="171">
        <f t="shared" si="3"/>
        <v>15</v>
      </c>
      <c r="Q3" s="17">
        <v>5.0</v>
      </c>
      <c r="R3" s="171">
        <f t="shared" si="4"/>
        <v>105</v>
      </c>
      <c r="S3" s="17" t="s">
        <v>3790</v>
      </c>
      <c r="T3" s="133" t="s">
        <v>3791</v>
      </c>
      <c r="U3" s="134" t="str">
        <f>HYPERLINK("https://drive.google.com/file/d/1Q1KTNBhbbACZyVmOKCQ0tPDQ2QtmVrqu/view?usp=drivesdk","XRF_Mutiara Aulia Sholikhah _838")</f>
        <v>XRF_Mutiara Aulia Sholikhah _838</v>
      </c>
      <c r="V3" s="17" t="s">
        <v>3792</v>
      </c>
    </row>
    <row r="4">
      <c r="A4" s="135">
        <v>45588.0</v>
      </c>
      <c r="B4" s="135">
        <v>45589.0</v>
      </c>
      <c r="C4" s="17" t="s">
        <v>3779</v>
      </c>
      <c r="D4" s="168">
        <v>844.0</v>
      </c>
      <c r="E4" s="136" t="s">
        <v>1124</v>
      </c>
      <c r="F4" s="136" t="s">
        <v>1125</v>
      </c>
      <c r="G4" s="136" t="s">
        <v>2009</v>
      </c>
      <c r="H4" s="17" t="s">
        <v>621</v>
      </c>
      <c r="I4" s="17" t="s">
        <v>314</v>
      </c>
      <c r="J4" s="17" t="s">
        <v>3789</v>
      </c>
      <c r="K4" s="17">
        <v>3.0</v>
      </c>
      <c r="L4" s="350">
        <v>150000.0</v>
      </c>
      <c r="M4" s="171">
        <f t="shared" si="1"/>
        <v>60</v>
      </c>
      <c r="N4" s="17">
        <v>10.0</v>
      </c>
      <c r="O4" s="171">
        <f t="shared" si="2"/>
        <v>15</v>
      </c>
      <c r="P4" s="171">
        <f t="shared" si="3"/>
        <v>15</v>
      </c>
      <c r="Q4" s="17">
        <v>5.0</v>
      </c>
      <c r="R4" s="171">
        <f t="shared" ref="R4:R5" si="5">sum(M4:Q4)</f>
        <v>105</v>
      </c>
      <c r="S4" s="17" t="s">
        <v>3793</v>
      </c>
      <c r="T4" s="133" t="s">
        <v>3794</v>
      </c>
      <c r="U4" s="134" t="str">
        <f>HYPERLINK("https://drive.google.com/file/d/1iRLCbLFpev7mkzBR3Vdp-LZougVG0NBk/view?usp=drivesdk","XRF_Anggi Khoerul Jannah_844")</f>
        <v>XRF_Anggi Khoerul Jannah_844</v>
      </c>
      <c r="V4" s="17" t="s">
        <v>3795</v>
      </c>
    </row>
    <row r="5">
      <c r="A5" s="135">
        <v>45607.0</v>
      </c>
      <c r="B5" s="135">
        <v>45628.0</v>
      </c>
      <c r="C5" s="17" t="s">
        <v>3779</v>
      </c>
      <c r="D5" s="168">
        <v>879.0</v>
      </c>
      <c r="E5" s="17" t="s">
        <v>3796</v>
      </c>
      <c r="F5" s="17" t="s">
        <v>3797</v>
      </c>
      <c r="G5" s="17" t="s">
        <v>1548</v>
      </c>
      <c r="H5" s="17" t="s">
        <v>621</v>
      </c>
      <c r="I5" s="17" t="s">
        <v>314</v>
      </c>
      <c r="J5" s="17" t="s">
        <v>716</v>
      </c>
      <c r="K5" s="17">
        <v>1.0</v>
      </c>
      <c r="L5" s="350">
        <v>150000.0</v>
      </c>
      <c r="M5" s="171">
        <f t="shared" si="1"/>
        <v>20</v>
      </c>
      <c r="N5" s="17">
        <v>20.0</v>
      </c>
      <c r="O5" s="171">
        <f t="shared" si="2"/>
        <v>5</v>
      </c>
      <c r="P5" s="171">
        <f t="shared" si="3"/>
        <v>5</v>
      </c>
      <c r="Q5" s="17">
        <v>5.0</v>
      </c>
      <c r="R5" s="171">
        <f t="shared" si="5"/>
        <v>55</v>
      </c>
      <c r="S5" s="17" t="s">
        <v>3798</v>
      </c>
      <c r="T5" s="133" t="s">
        <v>3799</v>
      </c>
      <c r="U5" s="134" t="str">
        <f>HYPERLINK("https://drive.google.com/file/d/12hpQ6XoOLsumxU7zimQ6bVG9k9F1-nvc/view?usp=drivesdk","XRF_Camelia Sakinatus Solehah_879")</f>
        <v>XRF_Camelia Sakinatus Solehah_879</v>
      </c>
      <c r="V5" s="17" t="s">
        <v>3800</v>
      </c>
    </row>
    <row r="6">
      <c r="A6" s="135">
        <v>45624.0</v>
      </c>
      <c r="B6" s="135">
        <v>45632.0</v>
      </c>
      <c r="C6" s="17" t="s">
        <v>3779</v>
      </c>
      <c r="D6" s="168">
        <v>899.0</v>
      </c>
      <c r="E6" s="136" t="s">
        <v>3801</v>
      </c>
      <c r="F6" s="136" t="s">
        <v>3802</v>
      </c>
      <c r="G6" s="136" t="s">
        <v>3803</v>
      </c>
      <c r="H6" s="17" t="s">
        <v>541</v>
      </c>
      <c r="I6" s="17" t="s">
        <v>314</v>
      </c>
      <c r="J6" s="17" t="s">
        <v>1051</v>
      </c>
      <c r="K6" s="17">
        <v>2.0</v>
      </c>
      <c r="L6" s="350">
        <v>300000.0</v>
      </c>
      <c r="M6" s="171">
        <f t="shared" si="1"/>
        <v>40</v>
      </c>
      <c r="N6" s="17">
        <v>20.0</v>
      </c>
      <c r="O6" s="171">
        <f t="shared" si="2"/>
        <v>10</v>
      </c>
      <c r="P6" s="171">
        <f t="shared" si="3"/>
        <v>10</v>
      </c>
      <c r="Q6" s="17">
        <v>5.0</v>
      </c>
      <c r="R6" s="171">
        <f t="shared" ref="R6:R8" si="6">SUM(M6:Q6)</f>
        <v>85</v>
      </c>
      <c r="S6" s="17" t="s">
        <v>3804</v>
      </c>
      <c r="T6" s="133" t="s">
        <v>3805</v>
      </c>
      <c r="U6" s="134" t="str">
        <f>HYPERLINK("https://drive.google.com/file/d/1SRTrZrUpOjwP9OnzKfyNL7uYyJ_stm0a/view?usp=drivesdk","XRF_Hana Wardani Puruhita_899")</f>
        <v>XRF_Hana Wardani Puruhita_899</v>
      </c>
      <c r="V6" s="17" t="s">
        <v>3806</v>
      </c>
    </row>
    <row r="7">
      <c r="A7" s="135">
        <v>45635.0</v>
      </c>
      <c r="B7" s="135">
        <v>45638.0</v>
      </c>
      <c r="C7" s="17" t="s">
        <v>3779</v>
      </c>
      <c r="D7" s="168">
        <v>925.0</v>
      </c>
      <c r="E7" s="17" t="s">
        <v>3807</v>
      </c>
      <c r="F7" s="17" t="s">
        <v>3808</v>
      </c>
      <c r="G7" s="17" t="s">
        <v>3809</v>
      </c>
      <c r="H7" s="17" t="s">
        <v>541</v>
      </c>
      <c r="I7" s="17" t="s">
        <v>314</v>
      </c>
      <c r="J7" s="17" t="s">
        <v>1051</v>
      </c>
      <c r="K7" s="17">
        <v>5.0</v>
      </c>
      <c r="L7" s="350">
        <v>300000.0</v>
      </c>
      <c r="M7" s="171">
        <f t="shared" si="1"/>
        <v>100</v>
      </c>
      <c r="N7" s="17">
        <v>20.0</v>
      </c>
      <c r="O7" s="171">
        <f t="shared" si="2"/>
        <v>25</v>
      </c>
      <c r="P7" s="171">
        <f t="shared" si="3"/>
        <v>25</v>
      </c>
      <c r="Q7" s="17">
        <v>5.0</v>
      </c>
      <c r="R7" s="171">
        <f t="shared" si="6"/>
        <v>175</v>
      </c>
      <c r="S7" s="17" t="s">
        <v>3810</v>
      </c>
      <c r="T7" s="133" t="s">
        <v>3811</v>
      </c>
      <c r="U7" s="134" t="str">
        <f>HYPERLINK("https://drive.google.com/file/d/1gNilbA1jPzpwc-hqZF4nauFOXrEyDWVc/view?usp=drivesdk","XRF_Muhammad Yazid Hibatullah_925")</f>
        <v>XRF_Muhammad Yazid Hibatullah_925</v>
      </c>
      <c r="V7" s="17" t="s">
        <v>3812</v>
      </c>
    </row>
    <row r="8">
      <c r="A8" s="135">
        <v>45649.0</v>
      </c>
      <c r="B8" s="135">
        <v>45656.0</v>
      </c>
      <c r="C8" s="17" t="s">
        <v>3779</v>
      </c>
      <c r="D8" s="168">
        <v>948.0</v>
      </c>
      <c r="E8" s="17" t="s">
        <v>3807</v>
      </c>
      <c r="F8" s="17" t="s">
        <v>3808</v>
      </c>
      <c r="G8" s="17" t="s">
        <v>3809</v>
      </c>
      <c r="H8" s="17" t="s">
        <v>541</v>
      </c>
      <c r="I8" s="17" t="s">
        <v>314</v>
      </c>
      <c r="J8" s="17" t="s">
        <v>1051</v>
      </c>
      <c r="K8" s="17">
        <v>4.0</v>
      </c>
      <c r="L8" s="350">
        <v>300000.0</v>
      </c>
      <c r="M8" s="171">
        <f t="shared" si="1"/>
        <v>80</v>
      </c>
      <c r="N8" s="17">
        <v>20.0</v>
      </c>
      <c r="O8" s="171">
        <f t="shared" si="2"/>
        <v>20</v>
      </c>
      <c r="P8" s="171">
        <f t="shared" si="3"/>
        <v>20</v>
      </c>
      <c r="Q8" s="17">
        <v>5.0</v>
      </c>
      <c r="R8" s="171">
        <f t="shared" si="6"/>
        <v>145</v>
      </c>
      <c r="S8" s="17" t="s">
        <v>3813</v>
      </c>
      <c r="T8" s="133" t="s">
        <v>3814</v>
      </c>
      <c r="U8" s="134" t="str">
        <f>HYPERLINK("https://drive.google.com/file/d/1l6UjyQ6ewWw0y19Ecqqr3Ved6mssJGWJ/view?usp=drivesdk","XRF_Muhammad Yazid Hibatullah_948")</f>
        <v>XRF_Muhammad Yazid Hibatullah_948</v>
      </c>
      <c r="V8" s="17" t="s">
        <v>3815</v>
      </c>
    </row>
    <row r="9">
      <c r="A9" s="135">
        <v>45687.0</v>
      </c>
      <c r="B9" s="135">
        <v>45692.0</v>
      </c>
      <c r="C9" s="17" t="s">
        <v>3779</v>
      </c>
      <c r="D9" s="168">
        <v>39.0</v>
      </c>
      <c r="E9" s="17" t="s">
        <v>3816</v>
      </c>
      <c r="F9" s="17" t="s">
        <v>155</v>
      </c>
      <c r="G9" s="17" t="s">
        <v>3817</v>
      </c>
      <c r="H9" s="17" t="s">
        <v>541</v>
      </c>
      <c r="I9" s="17" t="s">
        <v>314</v>
      </c>
      <c r="J9" s="17" t="s">
        <v>1051</v>
      </c>
      <c r="K9" s="17">
        <v>2.0</v>
      </c>
      <c r="L9" s="350">
        <v>300000.0</v>
      </c>
      <c r="S9" s="17" t="s">
        <v>3818</v>
      </c>
      <c r="T9" s="133" t="s">
        <v>3819</v>
      </c>
      <c r="U9" s="134" t="str">
        <f>HYPERLINK("https://drive.google.com/file/d/1ItDZrDRuHV4SEb4g1peHGOlk3VjyCQ0J/view?usp=drivesdk","XRF_Teuku Reza Maulana Fasya_39")</f>
        <v>XRF_Teuku Reza Maulana Fasya_39</v>
      </c>
      <c r="V9" s="17" t="s">
        <v>3820</v>
      </c>
    </row>
    <row r="10">
      <c r="A10" s="135">
        <v>45692.0</v>
      </c>
      <c r="B10" s="135">
        <v>45694.0</v>
      </c>
      <c r="C10" s="17" t="s">
        <v>3779</v>
      </c>
      <c r="D10" s="168">
        <v>59.0</v>
      </c>
      <c r="E10" s="17" t="s">
        <v>3821</v>
      </c>
      <c r="F10" s="17" t="s">
        <v>3697</v>
      </c>
      <c r="G10" s="17" t="s">
        <v>3822</v>
      </c>
      <c r="H10" s="17" t="s">
        <v>541</v>
      </c>
      <c r="I10" s="17" t="s">
        <v>314</v>
      </c>
      <c r="J10" s="17" t="s">
        <v>1051</v>
      </c>
      <c r="K10" s="17">
        <v>3.0</v>
      </c>
      <c r="L10" s="350">
        <v>300000.0</v>
      </c>
      <c r="S10" s="17" t="s">
        <v>3823</v>
      </c>
      <c r="T10" s="133" t="s">
        <v>3824</v>
      </c>
      <c r="U10" s="134" t="str">
        <f>HYPERLINK("https://drive.google.com/file/d/1-hBID0xAzQt4LYgpSTKEpq36iBh7iHYI/view?usp=drivesdk","XRF_Florentina Maria Panda_59")</f>
        <v>XRF_Florentina Maria Panda_59</v>
      </c>
      <c r="V10" s="17" t="s">
        <v>3825</v>
      </c>
    </row>
    <row r="11">
      <c r="A11" s="135">
        <v>45699.0</v>
      </c>
      <c r="B11" s="135">
        <v>45700.0</v>
      </c>
      <c r="C11" s="17" t="s">
        <v>3779</v>
      </c>
      <c r="D11" s="168">
        <v>90.0</v>
      </c>
      <c r="E11" s="17" t="s">
        <v>3826</v>
      </c>
      <c r="F11" s="17" t="s">
        <v>155</v>
      </c>
      <c r="G11" s="17" t="s">
        <v>155</v>
      </c>
      <c r="H11" s="17" t="s">
        <v>541</v>
      </c>
      <c r="I11" s="17" t="s">
        <v>314</v>
      </c>
      <c r="J11" s="17" t="s">
        <v>1051</v>
      </c>
      <c r="K11" s="17">
        <v>2.0</v>
      </c>
      <c r="L11" s="350">
        <v>300000.0</v>
      </c>
      <c r="S11" s="17" t="s">
        <v>3827</v>
      </c>
      <c r="T11" s="133" t="s">
        <v>3828</v>
      </c>
      <c r="U11" s="134" t="str">
        <f>HYPERLINK("https://drive.google.com/file/d/1rMULnFIbRGR2jZmwBBe6zyOpd735tkko/view?usp=drivesdk","XRF_Mahmudi_90")</f>
        <v>XRF_Mahmudi_90</v>
      </c>
      <c r="V11" s="17" t="s">
        <v>3829</v>
      </c>
    </row>
    <row r="12">
      <c r="A12" s="135">
        <v>45776.0</v>
      </c>
      <c r="B12" s="135">
        <v>45796.0</v>
      </c>
      <c r="C12" s="17" t="s">
        <v>3779</v>
      </c>
      <c r="D12" s="168">
        <v>238.0</v>
      </c>
      <c r="E12" s="17" t="s">
        <v>1149</v>
      </c>
      <c r="F12" s="136" t="s">
        <v>1150</v>
      </c>
      <c r="G12" s="136" t="s">
        <v>1132</v>
      </c>
      <c r="H12" s="17" t="s">
        <v>621</v>
      </c>
      <c r="I12" s="17" t="s">
        <v>314</v>
      </c>
      <c r="J12" s="17" t="s">
        <v>2105</v>
      </c>
      <c r="K12" s="17">
        <v>4.0</v>
      </c>
      <c r="L12" s="350">
        <v>200000.0</v>
      </c>
      <c r="S12" s="17" t="s">
        <v>3830</v>
      </c>
      <c r="T12" s="133" t="s">
        <v>3831</v>
      </c>
      <c r="U12" s="134" t="str">
        <f>HYPERLINK("https://drive.google.com/file/d/1Jb7CzLCagRIcDNtulFz60mqECqct7shQ/view?usp=drivesdk","XRF_Dwi Safitri_238")</f>
        <v>XRF_Dwi Safitri_238</v>
      </c>
      <c r="V12" s="17" t="s">
        <v>3832</v>
      </c>
    </row>
    <row r="13">
      <c r="A13" s="135">
        <v>45777.0</v>
      </c>
      <c r="B13" s="135">
        <v>45796.0</v>
      </c>
      <c r="C13" s="17" t="s">
        <v>3779</v>
      </c>
      <c r="D13" s="168">
        <v>242.0</v>
      </c>
      <c r="E13" s="136" t="s">
        <v>3833</v>
      </c>
      <c r="F13" s="136" t="s">
        <v>3834</v>
      </c>
      <c r="G13" s="136" t="s">
        <v>3835</v>
      </c>
      <c r="H13" s="17" t="s">
        <v>541</v>
      </c>
      <c r="I13" s="17" t="s">
        <v>314</v>
      </c>
      <c r="J13" s="17" t="s">
        <v>2105</v>
      </c>
      <c r="K13" s="17">
        <v>1.0</v>
      </c>
      <c r="L13" s="350">
        <v>300000.0</v>
      </c>
      <c r="S13" s="17" t="s">
        <v>3836</v>
      </c>
      <c r="T13" s="133" t="s">
        <v>3837</v>
      </c>
      <c r="U13" s="134" t="str">
        <f>HYPERLINK("https://drive.google.com/file/d/1Rpl_BrbHGe8JN04dzUx4zHJbKIBVw5UR/view?usp=drivesdk","XRF_‘Ulya Saffanah_242")</f>
        <v>XRF_‘Ulya Saffanah_242</v>
      </c>
      <c r="V13" s="17" t="s">
        <v>3832</v>
      </c>
    </row>
    <row r="14">
      <c r="A14" s="135">
        <v>45785.0</v>
      </c>
      <c r="B14" s="135">
        <v>45793.0</v>
      </c>
      <c r="C14" s="17" t="s">
        <v>3779</v>
      </c>
      <c r="D14" s="168">
        <v>272.0</v>
      </c>
      <c r="E14" s="136" t="s">
        <v>3838</v>
      </c>
      <c r="F14" s="136" t="s">
        <v>3839</v>
      </c>
      <c r="G14" s="136" t="s">
        <v>3840</v>
      </c>
      <c r="H14" s="17" t="s">
        <v>541</v>
      </c>
      <c r="I14" s="17" t="s">
        <v>314</v>
      </c>
      <c r="J14" s="17" t="s">
        <v>2105</v>
      </c>
      <c r="K14" s="17">
        <v>2.0</v>
      </c>
      <c r="L14" s="350">
        <v>300000.0</v>
      </c>
      <c r="S14" s="17" t="s">
        <v>3841</v>
      </c>
      <c r="T14" s="133" t="s">
        <v>3842</v>
      </c>
      <c r="U14" s="134" t="str">
        <f>HYPERLINK("https://drive.google.com/file/d/1l__ZycIx8qCfBHu5SLa5iLlwRWOnJxTf/view?usp=drivesdk","XRF_Khusnul Khotimah_272")</f>
        <v>XRF_Khusnul Khotimah_272</v>
      </c>
      <c r="V14" s="17" t="s">
        <v>3843</v>
      </c>
    </row>
    <row r="15">
      <c r="A15" s="135">
        <v>45785.0</v>
      </c>
      <c r="B15" s="135">
        <v>45796.0</v>
      </c>
      <c r="C15" s="17" t="s">
        <v>3779</v>
      </c>
      <c r="D15" s="168">
        <v>274.0</v>
      </c>
      <c r="E15" s="17" t="s">
        <v>3844</v>
      </c>
      <c r="F15" s="17" t="s">
        <v>155</v>
      </c>
      <c r="G15" s="17" t="s">
        <v>155</v>
      </c>
      <c r="H15" s="17" t="s">
        <v>541</v>
      </c>
      <c r="I15" s="17" t="s">
        <v>314</v>
      </c>
      <c r="J15" s="17" t="s">
        <v>2105</v>
      </c>
      <c r="K15" s="17">
        <v>1.0</v>
      </c>
      <c r="L15" s="350">
        <v>300000.0</v>
      </c>
      <c r="S15" s="17" t="s">
        <v>3845</v>
      </c>
      <c r="T15" s="133" t="s">
        <v>3846</v>
      </c>
      <c r="U15" s="134" t="str">
        <f>HYPERLINK("https://drive.google.com/file/d/1BdamtXS6yqIMlKWWS1G5NtztDOCFdRRf/view?usp=drivesdk","XRF_PT. Bhatara Cipta Nawasena_274")</f>
        <v>XRF_PT. Bhatara Cipta Nawasena_274</v>
      </c>
      <c r="V15" s="17" t="s">
        <v>3843</v>
      </c>
    </row>
    <row r="16">
      <c r="A16" s="135">
        <v>45799.0</v>
      </c>
      <c r="B16" s="135">
        <v>45803.0</v>
      </c>
      <c r="C16" s="17" t="s">
        <v>3779</v>
      </c>
      <c r="D16" s="168">
        <v>308.0</v>
      </c>
      <c r="E16" s="17" t="s">
        <v>3847</v>
      </c>
      <c r="F16" s="17" t="s">
        <v>3848</v>
      </c>
      <c r="G16" s="17" t="s">
        <v>3809</v>
      </c>
      <c r="H16" s="17" t="s">
        <v>541</v>
      </c>
      <c r="I16" s="17" t="s">
        <v>314</v>
      </c>
      <c r="J16" s="17" t="s">
        <v>777</v>
      </c>
      <c r="K16" s="17">
        <v>1.0</v>
      </c>
      <c r="L16" s="350">
        <v>300000.0</v>
      </c>
      <c r="S16" s="17" t="s">
        <v>3849</v>
      </c>
      <c r="T16" s="133" t="s">
        <v>3850</v>
      </c>
      <c r="U16" s="134" t="str">
        <f>HYPERLINK("https://drive.google.com/file/d/1y4gPCDPpKSgCQYl1mOFE0dr6kicFrg6_/view?usp=drivesdk","XRF_Namira Aulia_308")</f>
        <v>XRF_Namira Aulia_308</v>
      </c>
      <c r="V16" s="17" t="s">
        <v>3851</v>
      </c>
    </row>
    <row r="17">
      <c r="A17" s="135">
        <v>45799.0</v>
      </c>
      <c r="B17" s="135">
        <v>45803.0</v>
      </c>
      <c r="C17" s="17" t="s">
        <v>3779</v>
      </c>
      <c r="D17" s="168">
        <v>309.0</v>
      </c>
      <c r="E17" s="17" t="s">
        <v>3852</v>
      </c>
      <c r="F17" s="17" t="s">
        <v>3853</v>
      </c>
      <c r="G17" s="17" t="s">
        <v>3809</v>
      </c>
      <c r="H17" s="17" t="s">
        <v>541</v>
      </c>
      <c r="I17" s="17" t="s">
        <v>314</v>
      </c>
      <c r="J17" s="17" t="s">
        <v>777</v>
      </c>
      <c r="K17" s="17">
        <v>1.0</v>
      </c>
      <c r="L17" s="350">
        <v>300000.0</v>
      </c>
      <c r="S17" s="17" t="s">
        <v>3854</v>
      </c>
      <c r="T17" s="133" t="s">
        <v>3855</v>
      </c>
      <c r="U17" s="134" t="str">
        <f>HYPERLINK("https://drive.google.com/file/d/1x015ClH2Ft6tKiRQkzLP9hl5OY2ZrZQ2/view?usp=drivesdk","XRF_Aziva Zuyina Billah_309")</f>
        <v>XRF_Aziva Zuyina Billah_309</v>
      </c>
      <c r="V17" s="17" t="s">
        <v>3851</v>
      </c>
    </row>
    <row r="18">
      <c r="A18" s="135">
        <v>45799.0</v>
      </c>
      <c r="B18" s="135">
        <v>45803.0</v>
      </c>
      <c r="C18" s="17" t="s">
        <v>3779</v>
      </c>
      <c r="D18" s="168">
        <v>310.0</v>
      </c>
      <c r="E18" s="17" t="s">
        <v>3852</v>
      </c>
      <c r="F18" s="17" t="s">
        <v>3853</v>
      </c>
      <c r="G18" s="17" t="s">
        <v>3809</v>
      </c>
      <c r="H18" s="17" t="s">
        <v>541</v>
      </c>
      <c r="I18" s="17" t="s">
        <v>314</v>
      </c>
      <c r="J18" s="17" t="s">
        <v>777</v>
      </c>
      <c r="K18" s="17">
        <v>1.0</v>
      </c>
      <c r="L18" s="350">
        <v>300000.0</v>
      </c>
      <c r="S18" s="17" t="s">
        <v>3856</v>
      </c>
      <c r="T18" s="133" t="s">
        <v>3857</v>
      </c>
      <c r="U18" s="134" t="str">
        <f>HYPERLINK("https://drive.google.com/file/d/1Q0hXsyivNUNOsR0tBXYmZhUhKRsJ7Zoc/view?usp=drivesdk","XRF_Aziva Zuyina Billah_310")</f>
        <v>XRF_Aziva Zuyina Billah_310</v>
      </c>
      <c r="V18" s="17" t="s">
        <v>3851</v>
      </c>
    </row>
    <row r="19">
      <c r="A19" s="135">
        <v>45799.0</v>
      </c>
      <c r="B19" s="135">
        <v>45803.0</v>
      </c>
      <c r="C19" s="17" t="s">
        <v>3779</v>
      </c>
      <c r="D19" s="168">
        <v>311.0</v>
      </c>
      <c r="E19" s="17" t="s">
        <v>3858</v>
      </c>
      <c r="F19" s="17" t="s">
        <v>3859</v>
      </c>
      <c r="G19" s="17" t="s">
        <v>3809</v>
      </c>
      <c r="H19" s="17" t="s">
        <v>541</v>
      </c>
      <c r="I19" s="17" t="s">
        <v>314</v>
      </c>
      <c r="J19" s="17" t="s">
        <v>777</v>
      </c>
      <c r="K19" s="17">
        <v>1.0</v>
      </c>
      <c r="L19" s="350">
        <v>300000.0</v>
      </c>
      <c r="S19" s="17" t="s">
        <v>3860</v>
      </c>
      <c r="T19" s="133" t="s">
        <v>3861</v>
      </c>
      <c r="U19" s="134" t="str">
        <f>HYPERLINK("https://drive.google.com/file/d/160OQlK2EC-A1SDev-n8xRCV2diILGPVO/view?usp=drivesdk","XRF_Muhammad Sulthan Haykal Anas_311")</f>
        <v>XRF_Muhammad Sulthan Haykal Anas_311</v>
      </c>
      <c r="V19" s="17" t="s">
        <v>3851</v>
      </c>
    </row>
    <row r="20">
      <c r="A20" s="135">
        <v>45804.0</v>
      </c>
      <c r="B20" s="135">
        <v>45820.0</v>
      </c>
      <c r="C20" s="17" t="s">
        <v>3779</v>
      </c>
      <c r="D20" s="168">
        <v>330.0</v>
      </c>
      <c r="E20" s="17" t="s">
        <v>3862</v>
      </c>
      <c r="F20" s="17" t="s">
        <v>155</v>
      </c>
      <c r="G20" s="17" t="s">
        <v>155</v>
      </c>
      <c r="H20" s="17" t="s">
        <v>541</v>
      </c>
      <c r="I20" s="17" t="s">
        <v>314</v>
      </c>
      <c r="J20" s="17" t="s">
        <v>777</v>
      </c>
      <c r="K20" s="17">
        <v>1.0</v>
      </c>
      <c r="L20" s="350">
        <v>300000.0</v>
      </c>
      <c r="S20" s="17" t="s">
        <v>3863</v>
      </c>
      <c r="T20" s="133" t="s">
        <v>3864</v>
      </c>
      <c r="U20" s="134" t="str">
        <f>HYPERLINK("https://drive.google.com/file/d/1XtPtlD4ro7ZI2iYf9l_JdN9-FAabUFd7/view?usp=drivesdk","XRF_Aziz Irham Rosyadi_330")</f>
        <v>XRF_Aziz Irham Rosyadi_330</v>
      </c>
      <c r="V20" s="17" t="s">
        <v>3865</v>
      </c>
    </row>
    <row r="21">
      <c r="A21" s="135">
        <v>45820.0</v>
      </c>
      <c r="B21" s="135">
        <v>45820.0</v>
      </c>
      <c r="C21" s="17" t="s">
        <v>3779</v>
      </c>
      <c r="D21" s="168">
        <v>384.0</v>
      </c>
      <c r="E21" s="17" t="s">
        <v>3866</v>
      </c>
      <c r="F21" s="17" t="s">
        <v>3867</v>
      </c>
      <c r="G21" s="17" t="s">
        <v>3809</v>
      </c>
      <c r="H21" s="17" t="s">
        <v>541</v>
      </c>
      <c r="I21" s="17" t="s">
        <v>314</v>
      </c>
      <c r="J21" s="17" t="s">
        <v>777</v>
      </c>
      <c r="K21" s="17">
        <v>1.0</v>
      </c>
      <c r="L21" s="350">
        <v>300000.0</v>
      </c>
      <c r="S21" s="17" t="s">
        <v>3868</v>
      </c>
      <c r="T21" s="133" t="s">
        <v>3869</v>
      </c>
      <c r="U21" s="134" t="str">
        <f>HYPERLINK("https://drive.google.com/file/d/17VlMJjCy5bpxv6Qdemx6VQx-4fPhWkOm/view?usp=drivesdk","XRF_Deaztsani Khairurrijalulhaq_384")</f>
        <v>XRF_Deaztsani Khairurrijalulhaq_384</v>
      </c>
      <c r="V21" s="17" t="s">
        <v>3865</v>
      </c>
    </row>
    <row r="22">
      <c r="A22" s="135">
        <v>45820.0</v>
      </c>
      <c r="B22" s="135">
        <v>45824.0</v>
      </c>
      <c r="C22" s="17" t="s">
        <v>3779</v>
      </c>
      <c r="D22" s="278">
        <v>383.0</v>
      </c>
      <c r="E22" s="136" t="s">
        <v>3870</v>
      </c>
      <c r="F22" s="137" t="s">
        <v>3871</v>
      </c>
      <c r="G22" s="136" t="s">
        <v>1132</v>
      </c>
      <c r="H22" s="17" t="s">
        <v>621</v>
      </c>
      <c r="I22" s="17" t="s">
        <v>314</v>
      </c>
      <c r="J22" s="17" t="s">
        <v>777</v>
      </c>
      <c r="K22" s="17">
        <v>2.0</v>
      </c>
      <c r="L22" s="350">
        <v>300000.0</v>
      </c>
      <c r="S22" s="17" t="s">
        <v>3872</v>
      </c>
      <c r="T22" s="133" t="s">
        <v>3873</v>
      </c>
      <c r="U22" s="134" t="str">
        <f>HYPERLINK("https://drive.google.com/file/d/1gaMDLqsOQ7VlzALhhNYoLua8aOmnCaO8/view?usp=drivesdk","XRF_Dian Rahmawati_383")</f>
        <v>XRF_Dian Rahmawati_383</v>
      </c>
      <c r="V22" s="17" t="s">
        <v>3874</v>
      </c>
    </row>
    <row r="23">
      <c r="A23" s="135">
        <v>45824.0</v>
      </c>
      <c r="B23" s="135">
        <v>45824.0</v>
      </c>
      <c r="C23" s="17" t="s">
        <v>3779</v>
      </c>
      <c r="D23" s="278">
        <v>401.0</v>
      </c>
      <c r="E23" s="136" t="s">
        <v>3796</v>
      </c>
      <c r="F23" s="137" t="s">
        <v>3797</v>
      </c>
      <c r="G23" s="17" t="s">
        <v>1548</v>
      </c>
      <c r="H23" s="17" t="s">
        <v>621</v>
      </c>
      <c r="I23" s="17" t="s">
        <v>314</v>
      </c>
      <c r="J23" s="17" t="s">
        <v>777</v>
      </c>
      <c r="K23" s="17">
        <v>2.0</v>
      </c>
      <c r="L23" s="350">
        <v>300000.0</v>
      </c>
      <c r="S23" s="17" t="s">
        <v>3875</v>
      </c>
      <c r="T23" s="133" t="s">
        <v>3876</v>
      </c>
      <c r="U23" s="134" t="str">
        <f>HYPERLINK("https://drive.google.com/file/d/1vsJP5vQ0uH0cz2mADd4VPoii0YbP5UZq/view?usp=drivesdk","XRF_Camelia Sakinatus Solehah_401")</f>
        <v>XRF_Camelia Sakinatus Solehah_401</v>
      </c>
      <c r="V23" s="17" t="s">
        <v>3874</v>
      </c>
    </row>
    <row r="24">
      <c r="A24" s="135">
        <v>45826.0</v>
      </c>
      <c r="B24" s="135">
        <v>45832.0</v>
      </c>
      <c r="C24" s="17" t="s">
        <v>3779</v>
      </c>
      <c r="D24" s="278">
        <v>421.0</v>
      </c>
      <c r="E24" s="136" t="s">
        <v>2213</v>
      </c>
      <c r="F24" s="17" t="s">
        <v>2214</v>
      </c>
      <c r="G24" s="17" t="s">
        <v>3877</v>
      </c>
      <c r="H24" s="17" t="s">
        <v>541</v>
      </c>
      <c r="I24" s="17" t="s">
        <v>314</v>
      </c>
      <c r="J24" s="17" t="s">
        <v>777</v>
      </c>
      <c r="K24" s="17">
        <v>6.0</v>
      </c>
      <c r="L24" s="350">
        <v>200000.0</v>
      </c>
      <c r="S24" s="17" t="s">
        <v>3878</v>
      </c>
      <c r="T24" s="133" t="s">
        <v>3879</v>
      </c>
      <c r="U24" s="134" t="str">
        <f>HYPERLINK("https://drive.google.com/file/d/1gv1dssz3JBHU7o-8x9YPO1AC_0fJFnyn/view?usp=drivesdk","XRF_Suhendro Trinugroho_421")</f>
        <v>XRF_Suhendro Trinugroho_421</v>
      </c>
      <c r="V24" s="17" t="s">
        <v>3880</v>
      </c>
    </row>
    <row r="25">
      <c r="A25" s="135">
        <v>45831.0</v>
      </c>
      <c r="B25" s="135">
        <v>45832.0</v>
      </c>
      <c r="C25" s="17" t="s">
        <v>3779</v>
      </c>
      <c r="D25" s="278">
        <v>431.0</v>
      </c>
      <c r="E25" s="136" t="s">
        <v>3881</v>
      </c>
      <c r="F25" s="17" t="s">
        <v>3882</v>
      </c>
      <c r="G25" s="17" t="s">
        <v>3883</v>
      </c>
      <c r="H25" s="17" t="s">
        <v>541</v>
      </c>
      <c r="I25" s="17" t="s">
        <v>314</v>
      </c>
      <c r="J25" s="17" t="s">
        <v>777</v>
      </c>
      <c r="K25" s="17">
        <v>1.0</v>
      </c>
      <c r="L25" s="350">
        <v>200000.0</v>
      </c>
      <c r="S25" s="17" t="s">
        <v>3884</v>
      </c>
      <c r="T25" s="133" t="s">
        <v>3885</v>
      </c>
      <c r="U25" s="134" t="str">
        <f>HYPERLINK("https://drive.google.com/file/d/1MvgrysvQnhB85_I0Ga7E96XPVaiAzwk8/view?usp=drivesdk","XRF_Wahyu Agung Widodo_431")</f>
        <v>XRF_Wahyu Agung Widodo_431</v>
      </c>
      <c r="V25" s="17" t="s">
        <v>3880</v>
      </c>
    </row>
    <row r="26">
      <c r="A26" s="135">
        <v>45838.0</v>
      </c>
      <c r="B26" s="135">
        <v>45841.0</v>
      </c>
      <c r="C26" s="17" t="s">
        <v>3779</v>
      </c>
      <c r="D26" s="168">
        <v>448.0</v>
      </c>
      <c r="E26" s="17" t="s">
        <v>3821</v>
      </c>
      <c r="F26" s="17" t="s">
        <v>3886</v>
      </c>
      <c r="G26" s="17" t="s">
        <v>3887</v>
      </c>
      <c r="H26" s="17" t="s">
        <v>541</v>
      </c>
      <c r="I26" s="17" t="s">
        <v>314</v>
      </c>
      <c r="J26" s="17" t="s">
        <v>777</v>
      </c>
      <c r="K26" s="17">
        <v>1.0</v>
      </c>
      <c r="L26" s="350">
        <v>200000.0</v>
      </c>
      <c r="S26" s="17" t="s">
        <v>3888</v>
      </c>
      <c r="T26" s="133" t="s">
        <v>3889</v>
      </c>
      <c r="U26" s="134" t="str">
        <f>HYPERLINK("https://drive.google.com/file/d/1Zcm3HMmX6kthpIMkJlK5xPm-a6VDg46y/view?usp=drivesdk","XRF_Florentina Maria Panda_448")</f>
        <v>XRF_Florentina Maria Panda_448</v>
      </c>
      <c r="V26" s="17" t="s">
        <v>3890</v>
      </c>
    </row>
    <row r="27">
      <c r="A27" s="135">
        <v>45839.0</v>
      </c>
      <c r="B27" s="135">
        <v>45841.0</v>
      </c>
      <c r="C27" s="17" t="s">
        <v>3779</v>
      </c>
      <c r="D27" s="168">
        <v>454.0</v>
      </c>
      <c r="E27" s="17" t="s">
        <v>3891</v>
      </c>
      <c r="F27" s="17" t="s">
        <v>155</v>
      </c>
      <c r="G27" s="17" t="s">
        <v>155</v>
      </c>
      <c r="H27" s="17" t="s">
        <v>541</v>
      </c>
      <c r="I27" s="17" t="s">
        <v>314</v>
      </c>
      <c r="J27" s="17" t="s">
        <v>777</v>
      </c>
      <c r="K27" s="17">
        <v>1.0</v>
      </c>
      <c r="L27" s="350">
        <v>300000.0</v>
      </c>
      <c r="S27" s="17" t="s">
        <v>3892</v>
      </c>
      <c r="T27" s="133" t="s">
        <v>3893</v>
      </c>
      <c r="U27" s="134" t="str">
        <f>HYPERLINK("https://drive.google.com/file/d/1ubKeZ5F7HHl6CMWknyVFAfJ2b8kVmTKx/view?usp=drivesdk","XRF_Kukuh Waskito_454")</f>
        <v>XRF_Kukuh Waskito_454</v>
      </c>
      <c r="V27" s="17" t="s">
        <v>3890</v>
      </c>
    </row>
    <row r="28">
      <c r="A28" s="135">
        <v>45845.0</v>
      </c>
      <c r="B28" s="135">
        <v>45847.0</v>
      </c>
      <c r="C28" s="17" t="s">
        <v>3779</v>
      </c>
      <c r="D28" s="168">
        <v>464.0</v>
      </c>
      <c r="E28" s="17" t="s">
        <v>2213</v>
      </c>
      <c r="F28" s="17" t="s">
        <v>2214</v>
      </c>
      <c r="G28" s="17" t="s">
        <v>3877</v>
      </c>
      <c r="H28" s="17" t="s">
        <v>541</v>
      </c>
      <c r="I28" s="17" t="s">
        <v>314</v>
      </c>
      <c r="J28" s="17" t="s">
        <v>1051</v>
      </c>
      <c r="K28" s="17">
        <v>1.0</v>
      </c>
      <c r="L28" s="350">
        <v>200000.0</v>
      </c>
      <c r="S28" s="17" t="s">
        <v>3894</v>
      </c>
      <c r="T28" s="133" t="s">
        <v>3895</v>
      </c>
      <c r="U28" s="134" t="str">
        <f>HYPERLINK("https://drive.google.com/file/d/1cWC4v_fk2oZZRa1PJkIScYufR2KpB83M/view?usp=drivesdk","XRF_Suhendro Trinugroho_464")</f>
        <v>XRF_Suhendro Trinugroho_464</v>
      </c>
      <c r="V28" s="17" t="s">
        <v>3896</v>
      </c>
    </row>
    <row r="29">
      <c r="A29" s="135">
        <v>45848.0</v>
      </c>
      <c r="B29" s="135">
        <v>45860.0</v>
      </c>
      <c r="C29" s="17" t="s">
        <v>3779</v>
      </c>
      <c r="D29" s="168">
        <v>471.0</v>
      </c>
      <c r="E29" s="17" t="s">
        <v>3897</v>
      </c>
      <c r="F29" s="17" t="s">
        <v>155</v>
      </c>
      <c r="G29" s="17" t="s">
        <v>155</v>
      </c>
      <c r="H29" s="17" t="s">
        <v>541</v>
      </c>
      <c r="I29" s="17" t="s">
        <v>314</v>
      </c>
      <c r="J29" s="17" t="s">
        <v>1051</v>
      </c>
      <c r="K29" s="17">
        <v>1.0</v>
      </c>
      <c r="L29" s="350">
        <v>300000.0</v>
      </c>
      <c r="S29" s="17" t="s">
        <v>3898</v>
      </c>
      <c r="T29" s="133" t="s">
        <v>3899</v>
      </c>
      <c r="U29" s="134" t="str">
        <f>HYPERLINK("https://drive.google.com/file/d/1ZVToNsL91txRA6bCh-Xl7LlOXS-Ip1_-/view?usp=drivesdk","XRF_Rahadian_471")</f>
        <v>XRF_Rahadian_471</v>
      </c>
      <c r="V29" s="17" t="s">
        <v>3900</v>
      </c>
    </row>
    <row r="30">
      <c r="A30" s="135">
        <v>45882.0</v>
      </c>
      <c r="B30" s="135">
        <v>45894.0</v>
      </c>
      <c r="C30" s="17" t="s">
        <v>3779</v>
      </c>
      <c r="D30" s="168">
        <v>539.0</v>
      </c>
      <c r="E30" s="17" t="s">
        <v>2213</v>
      </c>
      <c r="F30" s="17" t="s">
        <v>2214</v>
      </c>
      <c r="G30" s="17" t="s">
        <v>3877</v>
      </c>
      <c r="H30" s="17" t="s">
        <v>541</v>
      </c>
      <c r="I30" s="17" t="s">
        <v>314</v>
      </c>
      <c r="J30" s="17" t="s">
        <v>777</v>
      </c>
      <c r="K30" s="17">
        <v>3.0</v>
      </c>
      <c r="L30" s="350">
        <v>200000.0</v>
      </c>
      <c r="S30" s="17" t="s">
        <v>3901</v>
      </c>
      <c r="T30" s="133" t="s">
        <v>3902</v>
      </c>
      <c r="U30" s="134" t="str">
        <f>HYPERLINK("https://drive.google.com/file/d/1xHOCzQOC77o_KM2ARk1yol4itnfwgHzi/view?usp=drivesdk","XRF_Suhendro Trinugroho_539")</f>
        <v>XRF_Suhendro Trinugroho_539</v>
      </c>
      <c r="V30" s="17" t="s">
        <v>3903</v>
      </c>
    </row>
    <row r="31">
      <c r="A31" s="135">
        <v>45894.0</v>
      </c>
      <c r="B31" s="135">
        <v>45895.0</v>
      </c>
      <c r="C31" s="17" t="s">
        <v>3779</v>
      </c>
      <c r="D31" s="168">
        <v>551.0</v>
      </c>
      <c r="E31" s="178" t="s">
        <v>3904</v>
      </c>
      <c r="F31" s="136" t="s">
        <v>3905</v>
      </c>
      <c r="G31" s="136" t="s">
        <v>3906</v>
      </c>
      <c r="H31" s="17" t="s">
        <v>541</v>
      </c>
      <c r="I31" s="17" t="s">
        <v>314</v>
      </c>
      <c r="J31" s="17" t="s">
        <v>777</v>
      </c>
      <c r="K31" s="17">
        <v>2.0</v>
      </c>
      <c r="L31" s="350">
        <v>200000.0</v>
      </c>
      <c r="S31" s="17" t="s">
        <v>3907</v>
      </c>
      <c r="T31" s="133" t="s">
        <v>3908</v>
      </c>
      <c r="U31" s="134" t="str">
        <f>HYPERLINK("https://drive.google.com/file/d/1gcUxhQvnHA23GfnFHaRFS0eRx5mQ1-GN/view?usp=drivesdk","XRF_Luna Athalia Yunarto_551")</f>
        <v>XRF_Luna Athalia Yunarto_551</v>
      </c>
      <c r="V31" s="17" t="s">
        <v>3909</v>
      </c>
    </row>
    <row r="32">
      <c r="A32" s="135">
        <v>45904.0</v>
      </c>
      <c r="B32" s="135">
        <v>45922.0</v>
      </c>
      <c r="C32" s="17" t="s">
        <v>3779</v>
      </c>
      <c r="D32" s="168">
        <v>573.0</v>
      </c>
      <c r="E32" s="136" t="s">
        <v>3910</v>
      </c>
      <c r="F32" s="136" t="s">
        <v>3905</v>
      </c>
      <c r="G32" s="136" t="s">
        <v>3911</v>
      </c>
      <c r="H32" s="17" t="s">
        <v>541</v>
      </c>
      <c r="I32" s="17" t="s">
        <v>314</v>
      </c>
      <c r="J32" s="17" t="s">
        <v>777</v>
      </c>
      <c r="K32" s="17">
        <v>3.0</v>
      </c>
      <c r="L32" s="350">
        <v>200000.0</v>
      </c>
      <c r="S32" s="17" t="s">
        <v>3912</v>
      </c>
      <c r="T32" s="133" t="s">
        <v>3913</v>
      </c>
      <c r="U32" s="134" t="str">
        <f>HYPERLINK("https://drive.google.com/file/d/10uuN_39mXlKIxghNj0764mlt-lSbHgQD/view?usp=drivesdk","XRF_Luna athalia yunarto_573")</f>
        <v>XRF_Luna athalia yunarto_573</v>
      </c>
      <c r="V32" s="17" t="s">
        <v>3914</v>
      </c>
    </row>
    <row r="33">
      <c r="A33" s="135">
        <v>45916.0</v>
      </c>
      <c r="B33" s="135">
        <v>45922.0</v>
      </c>
      <c r="C33" s="17" t="s">
        <v>3779</v>
      </c>
      <c r="D33" s="280">
        <v>599.0</v>
      </c>
      <c r="E33" s="136" t="s">
        <v>3915</v>
      </c>
      <c r="F33" s="136" t="s">
        <v>155</v>
      </c>
      <c r="G33" s="136" t="s">
        <v>3916</v>
      </c>
      <c r="H33" s="17" t="s">
        <v>541</v>
      </c>
      <c r="I33" s="17" t="s">
        <v>314</v>
      </c>
      <c r="J33" s="17" t="s">
        <v>777</v>
      </c>
      <c r="K33" s="17">
        <v>1.0</v>
      </c>
      <c r="L33" s="350">
        <v>300000.0</v>
      </c>
      <c r="S33" s="17" t="s">
        <v>3917</v>
      </c>
      <c r="T33" s="133" t="s">
        <v>3918</v>
      </c>
      <c r="U33" s="134" t="str">
        <f>HYPERLINK("https://drive.google.com/file/d/1GsSLiUtCw7JFLzZ1dojt29BF_aL-_O8t/view?usp=drivesdk","XRF_PT PUTERA PANGESTU JAYA LESTARI_599")</f>
        <v>XRF_PT PUTERA PANGESTU JAYA LESTARI_599</v>
      </c>
      <c r="V33" s="17" t="s">
        <v>3914</v>
      </c>
    </row>
    <row r="34">
      <c r="A34" s="135">
        <v>45917.0</v>
      </c>
      <c r="B34" s="135">
        <v>45922.0</v>
      </c>
      <c r="C34" s="17" t="s">
        <v>3779</v>
      </c>
      <c r="D34" s="280">
        <v>606.0</v>
      </c>
      <c r="E34" s="136" t="s">
        <v>3919</v>
      </c>
      <c r="F34" s="136" t="s">
        <v>155</v>
      </c>
      <c r="G34" s="136" t="s">
        <v>3920</v>
      </c>
      <c r="H34" s="17" t="s">
        <v>541</v>
      </c>
      <c r="I34" s="17" t="s">
        <v>314</v>
      </c>
      <c r="J34" s="17" t="s">
        <v>777</v>
      </c>
      <c r="K34" s="17">
        <v>1.0</v>
      </c>
      <c r="L34" s="350">
        <v>300000.0</v>
      </c>
      <c r="S34" s="17" t="s">
        <v>3921</v>
      </c>
      <c r="T34" s="133" t="s">
        <v>3922</v>
      </c>
      <c r="U34" s="134" t="str">
        <f>HYPERLINK("https://drive.google.com/file/d/1Qhe87JRI-94hDerbhUQac44ORegtYc7l/view?usp=drivesdk","XRF_Afiatun Nisa_606")</f>
        <v>XRF_Afiatun Nisa_606</v>
      </c>
      <c r="V34" s="17" t="s">
        <v>3914</v>
      </c>
    </row>
    <row r="35">
      <c r="A35" s="135">
        <v>45919.0</v>
      </c>
      <c r="B35" s="135">
        <v>45922.0</v>
      </c>
      <c r="C35" s="17" t="s">
        <v>3779</v>
      </c>
      <c r="D35" s="280">
        <v>614.0</v>
      </c>
      <c r="E35" s="136" t="s">
        <v>3923</v>
      </c>
      <c r="F35" s="136" t="s">
        <v>3924</v>
      </c>
      <c r="G35" s="136" t="s">
        <v>3925</v>
      </c>
      <c r="H35" s="17" t="s">
        <v>541</v>
      </c>
      <c r="I35" s="17" t="s">
        <v>314</v>
      </c>
      <c r="J35" s="17" t="s">
        <v>777</v>
      </c>
      <c r="K35" s="17">
        <v>2.0</v>
      </c>
      <c r="L35" s="350">
        <v>200000.0</v>
      </c>
      <c r="S35" s="17" t="s">
        <v>3926</v>
      </c>
      <c r="T35" s="133" t="s">
        <v>3927</v>
      </c>
      <c r="U35" s="134" t="str">
        <f>HYPERLINK("https://drive.google.com/file/d/19pFnQh3SdLgORFCfFKBc1Od_P0F1Bjtt/view?usp=drivesdk","XRF_Dewi sulistyorini_614")</f>
        <v>XRF_Dewi sulistyorini_614</v>
      </c>
      <c r="V35" s="17" t="s">
        <v>3928</v>
      </c>
    </row>
    <row r="36">
      <c r="A36" s="285">
        <v>45926.0</v>
      </c>
      <c r="B36" s="285">
        <v>45929.0</v>
      </c>
      <c r="C36" s="17" t="s">
        <v>3779</v>
      </c>
      <c r="D36" s="168">
        <v>633.0</v>
      </c>
      <c r="E36" s="136" t="s">
        <v>723</v>
      </c>
      <c r="F36" s="136" t="s">
        <v>724</v>
      </c>
      <c r="G36" s="136" t="s">
        <v>2789</v>
      </c>
      <c r="H36" s="17" t="s">
        <v>541</v>
      </c>
      <c r="I36" s="17" t="s">
        <v>314</v>
      </c>
      <c r="J36" s="17" t="s">
        <v>777</v>
      </c>
      <c r="K36" s="17">
        <v>2.0</v>
      </c>
      <c r="L36" s="350">
        <v>200000.0</v>
      </c>
      <c r="S36" s="17" t="s">
        <v>3929</v>
      </c>
      <c r="T36" s="133" t="s">
        <v>3930</v>
      </c>
      <c r="U36" s="134" t="str">
        <f>HYPERLINK("https://drive.google.com/file/d/1sITMjJgxS7CGBk1I3RTmcHs-T5hyYk1I/view?usp=drivesdk","XRF_Mazlan_633")</f>
        <v>XRF_Mazlan_633</v>
      </c>
      <c r="V36" s="17" t="s">
        <v>3931</v>
      </c>
    </row>
    <row r="37">
      <c r="A37" s="285">
        <v>45936.0</v>
      </c>
      <c r="B37" s="285">
        <v>45943.0</v>
      </c>
      <c r="C37" s="17" t="s">
        <v>3779</v>
      </c>
      <c r="D37" s="280">
        <v>657.0</v>
      </c>
      <c r="E37" s="136" t="s">
        <v>723</v>
      </c>
      <c r="F37" s="136" t="s">
        <v>724</v>
      </c>
      <c r="G37" s="136" t="s">
        <v>3932</v>
      </c>
      <c r="H37" s="17" t="s">
        <v>541</v>
      </c>
      <c r="I37" s="17" t="s">
        <v>314</v>
      </c>
      <c r="J37" s="17" t="s">
        <v>777</v>
      </c>
      <c r="K37" s="17">
        <v>1.0</v>
      </c>
      <c r="L37" s="350">
        <v>200000.0</v>
      </c>
      <c r="S37" s="17" t="s">
        <v>3933</v>
      </c>
      <c r="T37" s="133" t="s">
        <v>3934</v>
      </c>
      <c r="U37" s="134" t="str">
        <f>HYPERLINK("https://drive.google.com/file/d/1PxIFeSKUjeVAbB_gQPqcfhiHgArdJRLl/view?usp=drivesdk","XRF_Mazlan_657")</f>
        <v>XRF_Mazlan_657</v>
      </c>
      <c r="V37" s="17" t="s">
        <v>3935</v>
      </c>
    </row>
    <row r="38">
      <c r="A38" s="285">
        <v>45940.0</v>
      </c>
      <c r="B38" s="285">
        <v>45943.0</v>
      </c>
      <c r="C38" s="17" t="s">
        <v>3779</v>
      </c>
      <c r="D38" s="280">
        <v>668.0</v>
      </c>
      <c r="E38" s="136" t="s">
        <v>3936</v>
      </c>
      <c r="F38" s="136" t="s">
        <v>3937</v>
      </c>
      <c r="G38" s="136" t="s">
        <v>3938</v>
      </c>
      <c r="H38" s="17" t="s">
        <v>541</v>
      </c>
      <c r="I38" s="17" t="s">
        <v>314</v>
      </c>
      <c r="J38" s="17" t="s">
        <v>777</v>
      </c>
      <c r="K38" s="17">
        <v>7.0</v>
      </c>
      <c r="L38" s="350">
        <v>200000.0</v>
      </c>
      <c r="S38" s="17" t="s">
        <v>3939</v>
      </c>
      <c r="T38" s="133" t="s">
        <v>3940</v>
      </c>
      <c r="U38" s="134" t="str">
        <f>HYPERLINK("https://drive.google.com/file/d/1Snjb7n08H-7uuV6Fl8TlN3heXLN5qM3S/view?usp=drivesdk","XRF_Muhammad Irfan Nawawi_668")</f>
        <v>XRF_Muhammad Irfan Nawawi_668</v>
      </c>
      <c r="V38" s="17" t="s">
        <v>3935</v>
      </c>
    </row>
    <row r="39">
      <c r="A39" s="351"/>
      <c r="B39" s="351"/>
      <c r="L39" s="352"/>
    </row>
    <row r="40">
      <c r="A40" s="351"/>
      <c r="B40" s="351"/>
      <c r="L40" s="352"/>
    </row>
    <row r="41">
      <c r="A41" s="351"/>
      <c r="B41" s="351"/>
      <c r="L41" s="352"/>
    </row>
    <row r="42">
      <c r="A42" s="351"/>
      <c r="B42" s="351"/>
      <c r="L42" s="352"/>
    </row>
    <row r="43">
      <c r="A43" s="351"/>
      <c r="B43" s="351"/>
      <c r="L43" s="352"/>
    </row>
    <row r="44">
      <c r="A44" s="351"/>
      <c r="B44" s="351"/>
      <c r="L44" s="352"/>
    </row>
    <row r="45">
      <c r="A45" s="351"/>
      <c r="B45" s="351"/>
      <c r="L45" s="352"/>
    </row>
    <row r="46">
      <c r="A46" s="351"/>
      <c r="B46" s="351"/>
      <c r="L46" s="352"/>
    </row>
    <row r="47">
      <c r="A47" s="351"/>
      <c r="B47" s="351"/>
      <c r="L47" s="352"/>
    </row>
    <row r="48">
      <c r="A48" s="351"/>
      <c r="B48" s="351"/>
      <c r="L48" s="352"/>
    </row>
    <row r="49">
      <c r="A49" s="351"/>
      <c r="B49" s="351"/>
      <c r="L49" s="352"/>
    </row>
    <row r="50">
      <c r="A50" s="351"/>
      <c r="B50" s="351"/>
      <c r="L50" s="352"/>
    </row>
    <row r="51">
      <c r="A51" s="351"/>
      <c r="B51" s="351"/>
      <c r="L51" s="352"/>
    </row>
    <row r="52">
      <c r="A52" s="351"/>
      <c r="B52" s="351"/>
      <c r="L52" s="352"/>
    </row>
    <row r="53">
      <c r="A53" s="351"/>
      <c r="B53" s="351"/>
      <c r="L53" s="352"/>
    </row>
    <row r="54">
      <c r="A54" s="351"/>
      <c r="B54" s="351"/>
      <c r="L54" s="352"/>
    </row>
    <row r="55">
      <c r="A55" s="351"/>
      <c r="B55" s="351"/>
      <c r="L55" s="352"/>
    </row>
    <row r="56">
      <c r="A56" s="351"/>
      <c r="B56" s="351"/>
      <c r="L56" s="352"/>
    </row>
    <row r="57">
      <c r="A57" s="351"/>
      <c r="B57" s="351"/>
      <c r="L57" s="352"/>
    </row>
    <row r="58">
      <c r="A58" s="351"/>
      <c r="B58" s="351"/>
      <c r="L58" s="352"/>
    </row>
    <row r="59">
      <c r="A59" s="351"/>
      <c r="B59" s="351"/>
      <c r="L59" s="352"/>
    </row>
    <row r="60">
      <c r="A60" s="351"/>
      <c r="B60" s="351"/>
      <c r="L60" s="352"/>
    </row>
    <row r="61">
      <c r="A61" s="351"/>
      <c r="B61" s="351"/>
      <c r="L61" s="352"/>
    </row>
    <row r="62">
      <c r="A62" s="351"/>
      <c r="B62" s="351"/>
      <c r="L62" s="352"/>
    </row>
    <row r="63">
      <c r="A63" s="351"/>
      <c r="B63" s="351"/>
      <c r="L63" s="352"/>
    </row>
    <row r="64">
      <c r="A64" s="351"/>
      <c r="B64" s="351"/>
      <c r="L64" s="352"/>
    </row>
    <row r="65">
      <c r="A65" s="351"/>
      <c r="B65" s="351"/>
      <c r="L65" s="352"/>
    </row>
    <row r="66">
      <c r="A66" s="351"/>
      <c r="B66" s="351"/>
      <c r="L66" s="352"/>
    </row>
    <row r="67">
      <c r="A67" s="351"/>
      <c r="B67" s="351"/>
      <c r="L67" s="352"/>
    </row>
    <row r="68">
      <c r="A68" s="351"/>
      <c r="B68" s="351"/>
      <c r="L68" s="352"/>
    </row>
    <row r="69">
      <c r="A69" s="351"/>
      <c r="B69" s="351"/>
      <c r="L69" s="352"/>
    </row>
    <row r="70">
      <c r="A70" s="351"/>
      <c r="B70" s="351"/>
      <c r="L70" s="352"/>
    </row>
    <row r="71">
      <c r="A71" s="351"/>
      <c r="B71" s="351"/>
      <c r="L71" s="352"/>
    </row>
    <row r="72">
      <c r="A72" s="351"/>
      <c r="B72" s="351"/>
      <c r="L72" s="352"/>
    </row>
    <row r="73">
      <c r="A73" s="351"/>
      <c r="B73" s="351"/>
      <c r="L73" s="352"/>
    </row>
    <row r="74">
      <c r="A74" s="351"/>
      <c r="B74" s="351"/>
      <c r="L74" s="352"/>
    </row>
    <row r="75">
      <c r="A75" s="351"/>
      <c r="B75" s="351"/>
      <c r="L75" s="352"/>
    </row>
    <row r="76">
      <c r="A76" s="351"/>
      <c r="B76" s="351"/>
      <c r="L76" s="352"/>
    </row>
    <row r="77">
      <c r="A77" s="351"/>
      <c r="B77" s="351"/>
      <c r="L77" s="352"/>
    </row>
    <row r="78">
      <c r="A78" s="351"/>
      <c r="B78" s="351"/>
      <c r="L78" s="352"/>
    </row>
    <row r="79">
      <c r="A79" s="351"/>
      <c r="B79" s="351"/>
      <c r="L79" s="352"/>
    </row>
    <row r="80">
      <c r="A80" s="351"/>
      <c r="B80" s="351"/>
      <c r="L80" s="352"/>
    </row>
    <row r="81">
      <c r="A81" s="351"/>
      <c r="B81" s="351"/>
      <c r="L81" s="352"/>
    </row>
    <row r="82">
      <c r="A82" s="351"/>
      <c r="B82" s="351"/>
      <c r="L82" s="352"/>
    </row>
    <row r="83">
      <c r="A83" s="351"/>
      <c r="B83" s="351"/>
      <c r="L83" s="352"/>
    </row>
    <row r="84">
      <c r="A84" s="351"/>
      <c r="B84" s="351"/>
      <c r="L84" s="352"/>
    </row>
    <row r="85">
      <c r="A85" s="351"/>
      <c r="B85" s="351"/>
      <c r="L85" s="352"/>
    </row>
    <row r="86">
      <c r="A86" s="351"/>
      <c r="B86" s="351"/>
      <c r="L86" s="352"/>
    </row>
    <row r="87">
      <c r="A87" s="351"/>
      <c r="B87" s="351"/>
      <c r="L87" s="352"/>
    </row>
    <row r="88">
      <c r="A88" s="351"/>
      <c r="B88" s="351"/>
      <c r="L88" s="352"/>
    </row>
    <row r="89">
      <c r="A89" s="351"/>
      <c r="B89" s="351"/>
      <c r="L89" s="352"/>
    </row>
    <row r="90">
      <c r="A90" s="351"/>
      <c r="B90" s="351"/>
      <c r="L90" s="352"/>
    </row>
    <row r="91">
      <c r="A91" s="351"/>
      <c r="B91" s="351"/>
      <c r="L91" s="352"/>
    </row>
    <row r="92">
      <c r="A92" s="351"/>
      <c r="B92" s="351"/>
      <c r="L92" s="352"/>
    </row>
    <row r="93">
      <c r="A93" s="351"/>
      <c r="B93" s="351"/>
      <c r="L93" s="352"/>
    </row>
    <row r="94">
      <c r="A94" s="351"/>
      <c r="B94" s="351"/>
      <c r="L94" s="352"/>
    </row>
    <row r="95">
      <c r="A95" s="351"/>
      <c r="B95" s="351"/>
      <c r="L95" s="352"/>
    </row>
    <row r="96">
      <c r="A96" s="351"/>
      <c r="B96" s="351"/>
      <c r="L96" s="352"/>
    </row>
    <row r="97">
      <c r="A97" s="351"/>
      <c r="B97" s="351"/>
      <c r="L97" s="352"/>
    </row>
    <row r="98">
      <c r="A98" s="351"/>
      <c r="B98" s="351"/>
      <c r="L98" s="352"/>
    </row>
    <row r="99">
      <c r="A99" s="351"/>
      <c r="B99" s="351"/>
      <c r="L99" s="352"/>
    </row>
    <row r="100">
      <c r="A100" s="351"/>
      <c r="B100" s="351"/>
      <c r="L100" s="352"/>
    </row>
    <row r="101">
      <c r="A101" s="351"/>
      <c r="B101" s="351"/>
      <c r="L101" s="352"/>
    </row>
    <row r="102">
      <c r="A102" s="351"/>
      <c r="B102" s="351"/>
      <c r="L102" s="352"/>
    </row>
    <row r="103">
      <c r="A103" s="351"/>
      <c r="B103" s="351"/>
      <c r="L103" s="352"/>
    </row>
    <row r="104">
      <c r="A104" s="351"/>
      <c r="B104" s="351"/>
      <c r="L104" s="352"/>
    </row>
    <row r="105">
      <c r="A105" s="351"/>
      <c r="B105" s="351"/>
      <c r="L105" s="352"/>
    </row>
    <row r="106">
      <c r="A106" s="351"/>
      <c r="B106" s="351"/>
      <c r="L106" s="352"/>
    </row>
    <row r="107">
      <c r="A107" s="351"/>
      <c r="B107" s="351"/>
      <c r="L107" s="352"/>
    </row>
    <row r="108">
      <c r="A108" s="351"/>
      <c r="B108" s="351"/>
      <c r="L108" s="352"/>
    </row>
    <row r="109">
      <c r="A109" s="351"/>
      <c r="B109" s="351"/>
      <c r="L109" s="352"/>
    </row>
    <row r="110">
      <c r="A110" s="351"/>
      <c r="B110" s="351"/>
      <c r="L110" s="352"/>
    </row>
    <row r="111">
      <c r="A111" s="351"/>
      <c r="B111" s="351"/>
      <c r="L111" s="352"/>
    </row>
    <row r="112">
      <c r="A112" s="351"/>
      <c r="B112" s="351"/>
      <c r="L112" s="352"/>
    </row>
    <row r="113">
      <c r="A113" s="351"/>
      <c r="B113" s="351"/>
      <c r="L113" s="352"/>
    </row>
    <row r="114">
      <c r="A114" s="351"/>
      <c r="B114" s="351"/>
      <c r="L114" s="352"/>
    </row>
    <row r="115">
      <c r="A115" s="351"/>
      <c r="B115" s="351"/>
      <c r="L115" s="352"/>
    </row>
    <row r="116">
      <c r="A116" s="351"/>
      <c r="B116" s="351"/>
      <c r="L116" s="352"/>
    </row>
    <row r="117">
      <c r="A117" s="351"/>
      <c r="B117" s="351"/>
      <c r="L117" s="352"/>
    </row>
    <row r="118">
      <c r="A118" s="351"/>
      <c r="B118" s="351"/>
      <c r="L118" s="352"/>
    </row>
    <row r="119">
      <c r="A119" s="351"/>
      <c r="B119" s="351"/>
      <c r="L119" s="352"/>
    </row>
    <row r="120">
      <c r="A120" s="351"/>
      <c r="B120" s="351"/>
      <c r="L120" s="352"/>
    </row>
    <row r="121">
      <c r="A121" s="351"/>
      <c r="B121" s="351"/>
      <c r="L121" s="352"/>
    </row>
    <row r="122">
      <c r="A122" s="351"/>
      <c r="B122" s="351"/>
      <c r="L122" s="352"/>
    </row>
    <row r="123">
      <c r="A123" s="351"/>
      <c r="B123" s="351"/>
      <c r="L123" s="352"/>
    </row>
    <row r="124">
      <c r="A124" s="351"/>
      <c r="B124" s="351"/>
      <c r="L124" s="352"/>
    </row>
    <row r="125">
      <c r="A125" s="351"/>
      <c r="B125" s="351"/>
      <c r="L125" s="352"/>
    </row>
    <row r="126">
      <c r="A126" s="351"/>
      <c r="B126" s="351"/>
      <c r="L126" s="352"/>
    </row>
    <row r="127">
      <c r="A127" s="351"/>
      <c r="B127" s="351"/>
      <c r="L127" s="352"/>
    </row>
    <row r="128">
      <c r="A128" s="351"/>
      <c r="B128" s="351"/>
      <c r="L128" s="352"/>
    </row>
    <row r="129">
      <c r="A129" s="351"/>
      <c r="B129" s="351"/>
      <c r="L129" s="352"/>
    </row>
    <row r="130">
      <c r="A130" s="351"/>
      <c r="B130" s="351"/>
      <c r="L130" s="352"/>
    </row>
    <row r="131">
      <c r="A131" s="351"/>
      <c r="B131" s="351"/>
      <c r="L131" s="352"/>
    </row>
    <row r="132">
      <c r="A132" s="351"/>
      <c r="B132" s="351"/>
      <c r="L132" s="352"/>
    </row>
    <row r="133">
      <c r="A133" s="351"/>
      <c r="B133" s="351"/>
      <c r="L133" s="352"/>
    </row>
    <row r="134">
      <c r="A134" s="351"/>
      <c r="B134" s="351"/>
      <c r="L134" s="352"/>
    </row>
    <row r="135">
      <c r="A135" s="351"/>
      <c r="B135" s="351"/>
      <c r="L135" s="352"/>
    </row>
    <row r="136">
      <c r="A136" s="351"/>
      <c r="B136" s="351"/>
      <c r="L136" s="352"/>
    </row>
    <row r="137">
      <c r="A137" s="351"/>
      <c r="B137" s="351"/>
      <c r="L137" s="352"/>
    </row>
    <row r="138">
      <c r="A138" s="351"/>
      <c r="B138" s="351"/>
      <c r="L138" s="352"/>
    </row>
    <row r="139">
      <c r="A139" s="351"/>
      <c r="B139" s="351"/>
      <c r="L139" s="352"/>
    </row>
    <row r="140">
      <c r="A140" s="351"/>
      <c r="B140" s="351"/>
      <c r="L140" s="352"/>
    </row>
    <row r="141">
      <c r="A141" s="351"/>
      <c r="B141" s="351"/>
      <c r="L141" s="352"/>
    </row>
    <row r="142">
      <c r="A142" s="351"/>
      <c r="B142" s="351"/>
      <c r="L142" s="352"/>
    </row>
    <row r="143">
      <c r="A143" s="351"/>
      <c r="B143" s="351"/>
      <c r="L143" s="352"/>
    </row>
    <row r="144">
      <c r="A144" s="351"/>
      <c r="B144" s="351"/>
      <c r="L144" s="352"/>
    </row>
    <row r="145">
      <c r="A145" s="351"/>
      <c r="B145" s="351"/>
      <c r="L145" s="352"/>
    </row>
    <row r="146">
      <c r="A146" s="351"/>
      <c r="B146" s="351"/>
      <c r="L146" s="352"/>
    </row>
    <row r="147">
      <c r="A147" s="351"/>
      <c r="B147" s="351"/>
      <c r="L147" s="352"/>
    </row>
    <row r="148">
      <c r="A148" s="351"/>
      <c r="B148" s="351"/>
      <c r="L148" s="352"/>
    </row>
    <row r="149">
      <c r="A149" s="351"/>
      <c r="B149" s="351"/>
      <c r="L149" s="352"/>
    </row>
    <row r="150">
      <c r="A150" s="351"/>
      <c r="B150" s="351"/>
      <c r="L150" s="352"/>
    </row>
    <row r="151">
      <c r="A151" s="351"/>
      <c r="B151" s="351"/>
      <c r="L151" s="352"/>
    </row>
    <row r="152">
      <c r="A152" s="351"/>
      <c r="B152" s="351"/>
      <c r="L152" s="352"/>
    </row>
    <row r="153">
      <c r="A153" s="351"/>
      <c r="B153" s="351"/>
      <c r="L153" s="352"/>
    </row>
    <row r="154">
      <c r="A154" s="351"/>
      <c r="B154" s="351"/>
      <c r="L154" s="352"/>
    </row>
    <row r="155">
      <c r="A155" s="351"/>
      <c r="B155" s="351"/>
      <c r="L155" s="352"/>
    </row>
    <row r="156">
      <c r="A156" s="351"/>
      <c r="B156" s="351"/>
      <c r="L156" s="352"/>
    </row>
    <row r="157">
      <c r="A157" s="351"/>
      <c r="B157" s="351"/>
      <c r="L157" s="352"/>
    </row>
    <row r="158">
      <c r="A158" s="351"/>
      <c r="B158" s="351"/>
      <c r="L158" s="352"/>
    </row>
    <row r="159">
      <c r="A159" s="351"/>
      <c r="B159" s="351"/>
      <c r="L159" s="352"/>
    </row>
    <row r="160">
      <c r="A160" s="351"/>
      <c r="B160" s="351"/>
      <c r="L160" s="352"/>
    </row>
    <row r="161">
      <c r="A161" s="351"/>
      <c r="B161" s="351"/>
      <c r="L161" s="352"/>
    </row>
    <row r="162">
      <c r="A162" s="351"/>
      <c r="B162" s="351"/>
      <c r="L162" s="352"/>
    </row>
    <row r="163">
      <c r="A163" s="351"/>
      <c r="B163" s="351"/>
      <c r="L163" s="352"/>
    </row>
    <row r="164">
      <c r="A164" s="351"/>
      <c r="B164" s="351"/>
      <c r="L164" s="352"/>
    </row>
    <row r="165">
      <c r="A165" s="351"/>
      <c r="B165" s="351"/>
      <c r="L165" s="352"/>
    </row>
    <row r="166">
      <c r="A166" s="351"/>
      <c r="B166" s="351"/>
      <c r="L166" s="352"/>
    </row>
    <row r="167">
      <c r="A167" s="351"/>
      <c r="B167" s="351"/>
      <c r="L167" s="352"/>
    </row>
    <row r="168">
      <c r="A168" s="351"/>
      <c r="B168" s="351"/>
      <c r="L168" s="352"/>
    </row>
    <row r="169">
      <c r="A169" s="351"/>
      <c r="B169" s="351"/>
      <c r="L169" s="352"/>
    </row>
    <row r="170">
      <c r="A170" s="351"/>
      <c r="B170" s="351"/>
      <c r="L170" s="352"/>
    </row>
    <row r="171">
      <c r="A171" s="351"/>
      <c r="B171" s="351"/>
      <c r="L171" s="352"/>
    </row>
    <row r="172">
      <c r="A172" s="351"/>
      <c r="B172" s="351"/>
      <c r="L172" s="352"/>
    </row>
    <row r="173">
      <c r="A173" s="351"/>
      <c r="B173" s="351"/>
      <c r="L173" s="352"/>
    </row>
    <row r="174">
      <c r="A174" s="351"/>
      <c r="B174" s="351"/>
      <c r="L174" s="352"/>
    </row>
    <row r="175">
      <c r="A175" s="351"/>
      <c r="B175" s="351"/>
      <c r="L175" s="352"/>
    </row>
    <row r="176">
      <c r="A176" s="351"/>
      <c r="B176" s="351"/>
      <c r="L176" s="352"/>
    </row>
    <row r="177">
      <c r="A177" s="351"/>
      <c r="B177" s="351"/>
      <c r="L177" s="352"/>
    </row>
    <row r="178">
      <c r="A178" s="351"/>
      <c r="B178" s="351"/>
      <c r="L178" s="352"/>
    </row>
    <row r="179">
      <c r="A179" s="351"/>
      <c r="B179" s="351"/>
      <c r="L179" s="352"/>
    </row>
    <row r="180">
      <c r="A180" s="351"/>
      <c r="B180" s="351"/>
      <c r="L180" s="352"/>
    </row>
    <row r="181">
      <c r="A181" s="351"/>
      <c r="B181" s="351"/>
      <c r="L181" s="352"/>
    </row>
    <row r="182">
      <c r="A182" s="351"/>
      <c r="B182" s="351"/>
      <c r="L182" s="352"/>
    </row>
    <row r="183">
      <c r="A183" s="351"/>
      <c r="B183" s="351"/>
      <c r="L183" s="352"/>
    </row>
    <row r="184">
      <c r="A184" s="351"/>
      <c r="B184" s="351"/>
      <c r="L184" s="352"/>
    </row>
    <row r="185">
      <c r="A185" s="351"/>
      <c r="B185" s="351"/>
      <c r="L185" s="352"/>
    </row>
    <row r="186">
      <c r="A186" s="351"/>
      <c r="B186" s="351"/>
      <c r="L186" s="352"/>
    </row>
    <row r="187">
      <c r="A187" s="351"/>
      <c r="B187" s="351"/>
      <c r="L187" s="352"/>
    </row>
    <row r="188">
      <c r="A188" s="351"/>
      <c r="B188" s="351"/>
      <c r="L188" s="352"/>
    </row>
    <row r="189">
      <c r="A189" s="351"/>
      <c r="B189" s="351"/>
      <c r="L189" s="352"/>
    </row>
    <row r="190">
      <c r="A190" s="351"/>
      <c r="B190" s="351"/>
      <c r="L190" s="352"/>
    </row>
    <row r="191">
      <c r="A191" s="351"/>
      <c r="B191" s="351"/>
      <c r="L191" s="352"/>
    </row>
    <row r="192">
      <c r="A192" s="351"/>
      <c r="B192" s="351"/>
      <c r="L192" s="352"/>
    </row>
    <row r="193">
      <c r="A193" s="351"/>
      <c r="B193" s="351"/>
      <c r="L193" s="352"/>
    </row>
    <row r="194">
      <c r="A194" s="351"/>
      <c r="B194" s="351"/>
      <c r="L194" s="352"/>
    </row>
    <row r="195">
      <c r="A195" s="351"/>
      <c r="B195" s="351"/>
      <c r="L195" s="352"/>
    </row>
    <row r="196">
      <c r="A196" s="351"/>
      <c r="B196" s="351"/>
      <c r="L196" s="352"/>
    </row>
    <row r="197">
      <c r="A197" s="351"/>
      <c r="B197" s="351"/>
      <c r="L197" s="352"/>
    </row>
    <row r="198">
      <c r="A198" s="351"/>
      <c r="B198" s="351"/>
      <c r="L198" s="352"/>
    </row>
    <row r="199">
      <c r="A199" s="351"/>
      <c r="B199" s="351"/>
      <c r="L199" s="352"/>
    </row>
    <row r="200">
      <c r="A200" s="351"/>
      <c r="B200" s="351"/>
      <c r="L200" s="352"/>
    </row>
    <row r="201">
      <c r="A201" s="351"/>
      <c r="B201" s="351"/>
      <c r="L201" s="352"/>
    </row>
    <row r="202">
      <c r="A202" s="351"/>
      <c r="B202" s="351"/>
      <c r="L202" s="352"/>
    </row>
    <row r="203">
      <c r="A203" s="351"/>
      <c r="B203" s="351"/>
      <c r="L203" s="352"/>
    </row>
    <row r="204">
      <c r="A204" s="351"/>
      <c r="B204" s="351"/>
      <c r="L204" s="352"/>
    </row>
    <row r="205">
      <c r="A205" s="351"/>
      <c r="B205" s="351"/>
      <c r="L205" s="352"/>
    </row>
    <row r="206">
      <c r="A206" s="351"/>
      <c r="B206" s="351"/>
      <c r="L206" s="352"/>
    </row>
    <row r="207">
      <c r="A207" s="351"/>
      <c r="B207" s="351"/>
      <c r="L207" s="352"/>
    </row>
    <row r="208">
      <c r="A208" s="351"/>
      <c r="B208" s="351"/>
      <c r="L208" s="352"/>
    </row>
    <row r="209">
      <c r="A209" s="351"/>
      <c r="B209" s="351"/>
      <c r="L209" s="352"/>
    </row>
    <row r="210">
      <c r="A210" s="351"/>
      <c r="B210" s="351"/>
      <c r="L210" s="352"/>
    </row>
    <row r="211">
      <c r="A211" s="351"/>
      <c r="B211" s="351"/>
      <c r="L211" s="352"/>
    </row>
    <row r="212">
      <c r="A212" s="351"/>
      <c r="B212" s="351"/>
      <c r="L212" s="352"/>
    </row>
    <row r="213">
      <c r="A213" s="351"/>
      <c r="B213" s="351"/>
      <c r="L213" s="352"/>
    </row>
    <row r="214">
      <c r="A214" s="351"/>
      <c r="B214" s="351"/>
      <c r="L214" s="352"/>
    </row>
    <row r="215">
      <c r="A215" s="351"/>
      <c r="B215" s="351"/>
      <c r="L215" s="352"/>
    </row>
    <row r="216">
      <c r="A216" s="351"/>
      <c r="B216" s="351"/>
      <c r="L216" s="352"/>
    </row>
    <row r="217">
      <c r="A217" s="351"/>
      <c r="B217" s="351"/>
      <c r="L217" s="352"/>
    </row>
    <row r="218">
      <c r="A218" s="351"/>
      <c r="B218" s="351"/>
      <c r="L218" s="352"/>
    </row>
    <row r="219">
      <c r="A219" s="351"/>
      <c r="B219" s="351"/>
      <c r="L219" s="352"/>
    </row>
    <row r="220">
      <c r="A220" s="351"/>
      <c r="B220" s="351"/>
      <c r="L220" s="352"/>
    </row>
    <row r="221">
      <c r="A221" s="351"/>
      <c r="B221" s="351"/>
      <c r="L221" s="352"/>
    </row>
    <row r="222">
      <c r="A222" s="351"/>
      <c r="B222" s="351"/>
      <c r="L222" s="352"/>
    </row>
    <row r="223">
      <c r="A223" s="351"/>
      <c r="B223" s="351"/>
      <c r="L223" s="352"/>
    </row>
    <row r="224">
      <c r="A224" s="351"/>
      <c r="B224" s="351"/>
      <c r="L224" s="352"/>
    </row>
    <row r="225">
      <c r="A225" s="351"/>
      <c r="B225" s="351"/>
      <c r="L225" s="352"/>
    </row>
    <row r="226">
      <c r="A226" s="351"/>
      <c r="B226" s="351"/>
      <c r="L226" s="352"/>
    </row>
    <row r="227">
      <c r="A227" s="351"/>
      <c r="B227" s="351"/>
      <c r="L227" s="352"/>
    </row>
    <row r="228">
      <c r="A228" s="351"/>
      <c r="B228" s="351"/>
      <c r="L228" s="352"/>
    </row>
    <row r="229">
      <c r="A229" s="351"/>
      <c r="B229" s="351"/>
      <c r="L229" s="352"/>
    </row>
    <row r="230">
      <c r="A230" s="351"/>
      <c r="B230" s="351"/>
      <c r="L230" s="352"/>
    </row>
    <row r="231">
      <c r="A231" s="351"/>
      <c r="B231" s="351"/>
      <c r="L231" s="352"/>
    </row>
    <row r="232">
      <c r="A232" s="351"/>
      <c r="B232" s="351"/>
      <c r="L232" s="352"/>
    </row>
    <row r="233">
      <c r="A233" s="351"/>
      <c r="B233" s="351"/>
      <c r="L233" s="352"/>
    </row>
    <row r="234">
      <c r="A234" s="351"/>
      <c r="B234" s="351"/>
      <c r="L234" s="352"/>
    </row>
    <row r="235">
      <c r="A235" s="351"/>
      <c r="B235" s="351"/>
      <c r="L235" s="352"/>
    </row>
    <row r="236">
      <c r="A236" s="351"/>
      <c r="B236" s="351"/>
      <c r="L236" s="352"/>
    </row>
    <row r="237">
      <c r="A237" s="351"/>
      <c r="B237" s="351"/>
      <c r="L237" s="352"/>
    </row>
    <row r="238">
      <c r="A238" s="351"/>
      <c r="B238" s="351"/>
      <c r="L238" s="352"/>
    </row>
    <row r="239">
      <c r="A239" s="351"/>
      <c r="B239" s="351"/>
      <c r="L239" s="352"/>
    </row>
    <row r="240">
      <c r="A240" s="351"/>
      <c r="B240" s="351"/>
      <c r="L240" s="352"/>
    </row>
    <row r="241">
      <c r="A241" s="351"/>
      <c r="B241" s="351"/>
      <c r="L241" s="352"/>
    </row>
    <row r="242">
      <c r="A242" s="351"/>
      <c r="B242" s="351"/>
      <c r="L242" s="352"/>
    </row>
    <row r="243">
      <c r="A243" s="351"/>
      <c r="B243" s="351"/>
      <c r="L243" s="352"/>
    </row>
    <row r="244">
      <c r="A244" s="351"/>
      <c r="B244" s="351"/>
      <c r="L244" s="352"/>
    </row>
    <row r="245">
      <c r="A245" s="351"/>
      <c r="B245" s="351"/>
      <c r="L245" s="352"/>
    </row>
    <row r="246">
      <c r="A246" s="351"/>
      <c r="B246" s="351"/>
      <c r="L246" s="352"/>
    </row>
    <row r="247">
      <c r="A247" s="351"/>
      <c r="B247" s="351"/>
      <c r="L247" s="352"/>
    </row>
    <row r="248">
      <c r="A248" s="351"/>
      <c r="B248" s="351"/>
      <c r="L248" s="352"/>
    </row>
    <row r="249">
      <c r="A249" s="351"/>
      <c r="B249" s="351"/>
      <c r="L249" s="352"/>
    </row>
    <row r="250">
      <c r="A250" s="351"/>
      <c r="B250" s="351"/>
      <c r="L250" s="352"/>
    </row>
    <row r="251">
      <c r="A251" s="351"/>
      <c r="B251" s="351"/>
      <c r="L251" s="352"/>
    </row>
    <row r="252">
      <c r="A252" s="351"/>
      <c r="B252" s="351"/>
      <c r="L252" s="352"/>
    </row>
    <row r="253">
      <c r="A253" s="351"/>
      <c r="B253" s="351"/>
      <c r="L253" s="352"/>
    </row>
    <row r="254">
      <c r="A254" s="351"/>
      <c r="B254" s="351"/>
      <c r="L254" s="352"/>
    </row>
    <row r="255">
      <c r="A255" s="351"/>
      <c r="B255" s="351"/>
      <c r="L255" s="352"/>
    </row>
    <row r="256">
      <c r="A256" s="351"/>
      <c r="B256" s="351"/>
      <c r="L256" s="352"/>
    </row>
    <row r="257">
      <c r="A257" s="351"/>
      <c r="B257" s="351"/>
      <c r="L257" s="352"/>
    </row>
    <row r="258">
      <c r="A258" s="351"/>
      <c r="B258" s="351"/>
      <c r="L258" s="352"/>
    </row>
    <row r="259">
      <c r="A259" s="351"/>
      <c r="B259" s="351"/>
      <c r="L259" s="352"/>
    </row>
    <row r="260">
      <c r="A260" s="351"/>
      <c r="B260" s="351"/>
      <c r="L260" s="352"/>
    </row>
    <row r="261">
      <c r="A261" s="351"/>
      <c r="B261" s="351"/>
      <c r="L261" s="352"/>
    </row>
    <row r="262">
      <c r="A262" s="351"/>
      <c r="B262" s="351"/>
      <c r="L262" s="352"/>
    </row>
    <row r="263">
      <c r="A263" s="351"/>
      <c r="B263" s="351"/>
      <c r="L263" s="352"/>
    </row>
    <row r="264">
      <c r="A264" s="351"/>
      <c r="B264" s="351"/>
      <c r="L264" s="352"/>
    </row>
    <row r="265">
      <c r="A265" s="351"/>
      <c r="B265" s="351"/>
      <c r="L265" s="352"/>
    </row>
    <row r="266">
      <c r="A266" s="351"/>
      <c r="B266" s="351"/>
      <c r="L266" s="352"/>
    </row>
    <row r="267">
      <c r="A267" s="351"/>
      <c r="B267" s="351"/>
      <c r="L267" s="352"/>
    </row>
    <row r="268">
      <c r="A268" s="351"/>
      <c r="B268" s="351"/>
      <c r="L268" s="352"/>
    </row>
    <row r="269">
      <c r="A269" s="351"/>
      <c r="B269" s="351"/>
      <c r="L269" s="352"/>
    </row>
    <row r="270">
      <c r="A270" s="351"/>
      <c r="B270" s="351"/>
      <c r="L270" s="352"/>
    </row>
    <row r="271">
      <c r="A271" s="351"/>
      <c r="B271" s="351"/>
      <c r="L271" s="352"/>
    </row>
    <row r="272">
      <c r="A272" s="351"/>
      <c r="B272" s="351"/>
      <c r="L272" s="352"/>
    </row>
    <row r="273">
      <c r="A273" s="351"/>
      <c r="B273" s="351"/>
      <c r="L273" s="352"/>
    </row>
    <row r="274">
      <c r="A274" s="351"/>
      <c r="B274" s="351"/>
      <c r="L274" s="352"/>
    </row>
    <row r="275">
      <c r="A275" s="351"/>
      <c r="B275" s="351"/>
      <c r="L275" s="352"/>
    </row>
    <row r="276">
      <c r="A276" s="351"/>
      <c r="B276" s="351"/>
      <c r="L276" s="352"/>
    </row>
    <row r="277">
      <c r="A277" s="351"/>
      <c r="B277" s="351"/>
      <c r="L277" s="352"/>
    </row>
    <row r="278">
      <c r="A278" s="351"/>
      <c r="B278" s="351"/>
      <c r="L278" s="352"/>
    </row>
    <row r="279">
      <c r="A279" s="351"/>
      <c r="B279" s="351"/>
      <c r="L279" s="352"/>
    </row>
    <row r="280">
      <c r="A280" s="351"/>
      <c r="B280" s="351"/>
      <c r="L280" s="352"/>
    </row>
    <row r="281">
      <c r="A281" s="351"/>
      <c r="B281" s="351"/>
      <c r="L281" s="352"/>
    </row>
    <row r="282">
      <c r="A282" s="351"/>
      <c r="B282" s="351"/>
      <c r="L282" s="352"/>
    </row>
    <row r="283">
      <c r="A283" s="351"/>
      <c r="B283" s="351"/>
      <c r="L283" s="352"/>
    </row>
    <row r="284">
      <c r="A284" s="351"/>
      <c r="B284" s="351"/>
      <c r="L284" s="352"/>
    </row>
    <row r="285">
      <c r="A285" s="351"/>
      <c r="B285" s="351"/>
      <c r="L285" s="352"/>
    </row>
    <row r="286">
      <c r="A286" s="351"/>
      <c r="B286" s="351"/>
      <c r="L286" s="352"/>
    </row>
    <row r="287">
      <c r="A287" s="351"/>
      <c r="B287" s="351"/>
      <c r="L287" s="352"/>
    </row>
    <row r="288">
      <c r="A288" s="351"/>
      <c r="B288" s="351"/>
      <c r="L288" s="352"/>
    </row>
    <row r="289">
      <c r="A289" s="351"/>
      <c r="B289" s="351"/>
      <c r="L289" s="352"/>
    </row>
    <row r="290">
      <c r="A290" s="351"/>
      <c r="B290" s="351"/>
      <c r="L290" s="352"/>
    </row>
    <row r="291">
      <c r="A291" s="351"/>
      <c r="B291" s="351"/>
      <c r="L291" s="352"/>
    </row>
    <row r="292">
      <c r="A292" s="351"/>
      <c r="B292" s="351"/>
      <c r="L292" s="352"/>
    </row>
    <row r="293">
      <c r="A293" s="351"/>
      <c r="B293" s="351"/>
      <c r="L293" s="352"/>
    </row>
    <row r="294">
      <c r="A294" s="351"/>
      <c r="B294" s="351"/>
      <c r="L294" s="352"/>
    </row>
    <row r="295">
      <c r="A295" s="351"/>
      <c r="B295" s="351"/>
      <c r="L295" s="352"/>
    </row>
    <row r="296">
      <c r="A296" s="351"/>
      <c r="B296" s="351"/>
      <c r="L296" s="352"/>
    </row>
    <row r="297">
      <c r="A297" s="351"/>
      <c r="B297" s="351"/>
      <c r="L297" s="352"/>
    </row>
    <row r="298">
      <c r="A298" s="351"/>
      <c r="B298" s="351"/>
      <c r="L298" s="352"/>
    </row>
    <row r="299">
      <c r="A299" s="351"/>
      <c r="B299" s="351"/>
      <c r="L299" s="352"/>
    </row>
    <row r="300">
      <c r="A300" s="351"/>
      <c r="B300" s="351"/>
      <c r="L300" s="352"/>
    </row>
    <row r="301">
      <c r="A301" s="351"/>
      <c r="B301" s="351"/>
      <c r="L301" s="352"/>
    </row>
    <row r="302">
      <c r="A302" s="351"/>
      <c r="B302" s="351"/>
      <c r="L302" s="352"/>
    </row>
    <row r="303">
      <c r="A303" s="351"/>
      <c r="B303" s="351"/>
      <c r="L303" s="352"/>
    </row>
    <row r="304">
      <c r="A304" s="351"/>
      <c r="B304" s="351"/>
      <c r="L304" s="352"/>
    </row>
    <row r="305">
      <c r="A305" s="351"/>
      <c r="B305" s="351"/>
      <c r="L305" s="352"/>
    </row>
    <row r="306">
      <c r="A306" s="351"/>
      <c r="B306" s="351"/>
      <c r="L306" s="352"/>
    </row>
    <row r="307">
      <c r="A307" s="351"/>
      <c r="B307" s="351"/>
      <c r="L307" s="352"/>
    </row>
    <row r="308">
      <c r="A308" s="351"/>
      <c r="B308" s="351"/>
      <c r="L308" s="352"/>
    </row>
    <row r="309">
      <c r="A309" s="351"/>
      <c r="B309" s="351"/>
      <c r="L309" s="352"/>
    </row>
    <row r="310">
      <c r="A310" s="351"/>
      <c r="B310" s="351"/>
      <c r="L310" s="352"/>
    </row>
    <row r="311">
      <c r="A311" s="351"/>
      <c r="B311" s="351"/>
      <c r="L311" s="352"/>
    </row>
    <row r="312">
      <c r="A312" s="351"/>
      <c r="B312" s="351"/>
      <c r="L312" s="352"/>
    </row>
    <row r="313">
      <c r="A313" s="351"/>
      <c r="B313" s="351"/>
      <c r="L313" s="352"/>
    </row>
    <row r="314">
      <c r="A314" s="351"/>
      <c r="B314" s="351"/>
      <c r="L314" s="352"/>
    </row>
    <row r="315">
      <c r="A315" s="351"/>
      <c r="B315" s="351"/>
      <c r="L315" s="352"/>
    </row>
    <row r="316">
      <c r="A316" s="351"/>
      <c r="B316" s="351"/>
      <c r="L316" s="352"/>
    </row>
    <row r="317">
      <c r="A317" s="351"/>
      <c r="B317" s="351"/>
      <c r="L317" s="352"/>
    </row>
    <row r="318">
      <c r="A318" s="351"/>
      <c r="B318" s="351"/>
      <c r="L318" s="352"/>
    </row>
    <row r="319">
      <c r="A319" s="351"/>
      <c r="B319" s="351"/>
      <c r="L319" s="352"/>
    </row>
    <row r="320">
      <c r="A320" s="351"/>
      <c r="B320" s="351"/>
      <c r="L320" s="352"/>
    </row>
    <row r="321">
      <c r="A321" s="351"/>
      <c r="B321" s="351"/>
      <c r="L321" s="352"/>
    </row>
    <row r="322">
      <c r="A322" s="351"/>
      <c r="B322" s="351"/>
      <c r="L322" s="352"/>
    </row>
    <row r="323">
      <c r="A323" s="351"/>
      <c r="B323" s="351"/>
      <c r="L323" s="352"/>
    </row>
    <row r="324">
      <c r="A324" s="351"/>
      <c r="B324" s="351"/>
      <c r="L324" s="352"/>
    </row>
    <row r="325">
      <c r="A325" s="351"/>
      <c r="B325" s="351"/>
      <c r="L325" s="352"/>
    </row>
    <row r="326">
      <c r="A326" s="351"/>
      <c r="B326" s="351"/>
      <c r="L326" s="352"/>
    </row>
    <row r="327">
      <c r="A327" s="351"/>
      <c r="B327" s="351"/>
      <c r="L327" s="352"/>
    </row>
    <row r="328">
      <c r="A328" s="351"/>
      <c r="B328" s="351"/>
      <c r="L328" s="352"/>
    </row>
    <row r="329">
      <c r="A329" s="351"/>
      <c r="B329" s="351"/>
      <c r="L329" s="352"/>
    </row>
    <row r="330">
      <c r="A330" s="351"/>
      <c r="B330" s="351"/>
      <c r="L330" s="352"/>
    </row>
    <row r="331">
      <c r="A331" s="351"/>
      <c r="B331" s="351"/>
      <c r="L331" s="352"/>
    </row>
    <row r="332">
      <c r="A332" s="351"/>
      <c r="B332" s="351"/>
      <c r="L332" s="352"/>
    </row>
    <row r="333">
      <c r="A333" s="351"/>
      <c r="B333" s="351"/>
      <c r="L333" s="352"/>
    </row>
    <row r="334">
      <c r="A334" s="351"/>
      <c r="B334" s="351"/>
      <c r="L334" s="352"/>
    </row>
    <row r="335">
      <c r="A335" s="351"/>
      <c r="B335" s="351"/>
      <c r="L335" s="352"/>
    </row>
    <row r="336">
      <c r="A336" s="351"/>
      <c r="B336" s="351"/>
      <c r="L336" s="352"/>
    </row>
    <row r="337">
      <c r="A337" s="351"/>
      <c r="B337" s="351"/>
      <c r="L337" s="352"/>
    </row>
    <row r="338">
      <c r="A338" s="351"/>
      <c r="B338" s="351"/>
      <c r="L338" s="352"/>
    </row>
    <row r="339">
      <c r="A339" s="351"/>
      <c r="B339" s="351"/>
      <c r="L339" s="352"/>
    </row>
    <row r="340">
      <c r="A340" s="351"/>
      <c r="B340" s="351"/>
      <c r="L340" s="352"/>
    </row>
    <row r="341">
      <c r="A341" s="351"/>
      <c r="B341" s="351"/>
      <c r="L341" s="352"/>
    </row>
    <row r="342">
      <c r="A342" s="351"/>
      <c r="B342" s="351"/>
      <c r="L342" s="352"/>
    </row>
    <row r="343">
      <c r="A343" s="351"/>
      <c r="B343" s="351"/>
      <c r="L343" s="352"/>
    </row>
    <row r="344">
      <c r="A344" s="351"/>
      <c r="B344" s="351"/>
      <c r="L344" s="352"/>
    </row>
    <row r="345">
      <c r="A345" s="351"/>
      <c r="B345" s="351"/>
      <c r="L345" s="352"/>
    </row>
    <row r="346">
      <c r="A346" s="351"/>
      <c r="B346" s="351"/>
      <c r="L346" s="352"/>
    </row>
    <row r="347">
      <c r="A347" s="351"/>
      <c r="B347" s="351"/>
      <c r="L347" s="352"/>
    </row>
    <row r="348">
      <c r="A348" s="351"/>
      <c r="B348" s="351"/>
      <c r="L348" s="352"/>
    </row>
    <row r="349">
      <c r="A349" s="351"/>
      <c r="B349" s="351"/>
      <c r="L349" s="352"/>
    </row>
    <row r="350">
      <c r="A350" s="351"/>
      <c r="B350" s="351"/>
      <c r="L350" s="352"/>
    </row>
    <row r="351">
      <c r="A351" s="351"/>
      <c r="B351" s="351"/>
      <c r="L351" s="352"/>
    </row>
    <row r="352">
      <c r="A352" s="351"/>
      <c r="B352" s="351"/>
      <c r="L352" s="352"/>
    </row>
    <row r="353">
      <c r="A353" s="351"/>
      <c r="B353" s="351"/>
      <c r="L353" s="352"/>
    </row>
    <row r="354">
      <c r="A354" s="351"/>
      <c r="B354" s="351"/>
      <c r="L354" s="352"/>
    </row>
    <row r="355">
      <c r="A355" s="351"/>
      <c r="B355" s="351"/>
      <c r="L355" s="352"/>
    </row>
    <row r="356">
      <c r="A356" s="351"/>
      <c r="B356" s="351"/>
      <c r="L356" s="352"/>
    </row>
    <row r="357">
      <c r="A357" s="351"/>
      <c r="B357" s="351"/>
      <c r="L357" s="352"/>
    </row>
    <row r="358">
      <c r="A358" s="351"/>
      <c r="B358" s="351"/>
      <c r="L358" s="352"/>
    </row>
    <row r="359">
      <c r="A359" s="351"/>
      <c r="B359" s="351"/>
      <c r="L359" s="352"/>
    </row>
    <row r="360">
      <c r="A360" s="351"/>
      <c r="B360" s="351"/>
      <c r="L360" s="352"/>
    </row>
    <row r="361">
      <c r="A361" s="351"/>
      <c r="B361" s="351"/>
      <c r="L361" s="352"/>
    </row>
    <row r="362">
      <c r="A362" s="351"/>
      <c r="B362" s="351"/>
      <c r="L362" s="352"/>
    </row>
    <row r="363">
      <c r="A363" s="351"/>
      <c r="B363" s="351"/>
      <c r="L363" s="352"/>
    </row>
    <row r="364">
      <c r="A364" s="351"/>
      <c r="B364" s="351"/>
      <c r="L364" s="352"/>
    </row>
    <row r="365">
      <c r="A365" s="351"/>
      <c r="B365" s="351"/>
      <c r="L365" s="352"/>
    </row>
    <row r="366">
      <c r="A366" s="351"/>
      <c r="B366" s="351"/>
      <c r="L366" s="352"/>
    </row>
    <row r="367">
      <c r="A367" s="351"/>
      <c r="B367" s="351"/>
      <c r="L367" s="352"/>
    </row>
    <row r="368">
      <c r="A368" s="351"/>
      <c r="B368" s="351"/>
      <c r="L368" s="352"/>
    </row>
    <row r="369">
      <c r="A369" s="351"/>
      <c r="B369" s="351"/>
      <c r="L369" s="352"/>
    </row>
    <row r="370">
      <c r="A370" s="351"/>
      <c r="B370" s="351"/>
      <c r="L370" s="352"/>
    </row>
    <row r="371">
      <c r="A371" s="351"/>
      <c r="B371" s="351"/>
      <c r="L371" s="352"/>
    </row>
    <row r="372">
      <c r="A372" s="351"/>
      <c r="B372" s="351"/>
      <c r="L372" s="352"/>
    </row>
    <row r="373">
      <c r="A373" s="351"/>
      <c r="B373" s="351"/>
      <c r="L373" s="352"/>
    </row>
    <row r="374">
      <c r="A374" s="351"/>
      <c r="B374" s="351"/>
      <c r="L374" s="352"/>
    </row>
    <row r="375">
      <c r="A375" s="351"/>
      <c r="B375" s="351"/>
      <c r="L375" s="352"/>
    </row>
    <row r="376">
      <c r="A376" s="351"/>
      <c r="B376" s="351"/>
      <c r="L376" s="352"/>
    </row>
    <row r="377">
      <c r="A377" s="351"/>
      <c r="B377" s="351"/>
      <c r="L377" s="352"/>
    </row>
    <row r="378">
      <c r="A378" s="351"/>
      <c r="B378" s="351"/>
      <c r="L378" s="352"/>
    </row>
    <row r="379">
      <c r="A379" s="351"/>
      <c r="B379" s="351"/>
      <c r="L379" s="352"/>
    </row>
    <row r="380">
      <c r="A380" s="351"/>
      <c r="B380" s="351"/>
      <c r="L380" s="352"/>
    </row>
    <row r="381">
      <c r="A381" s="351"/>
      <c r="B381" s="351"/>
      <c r="L381" s="352"/>
    </row>
    <row r="382">
      <c r="A382" s="351"/>
      <c r="B382" s="351"/>
      <c r="L382" s="352"/>
    </row>
    <row r="383">
      <c r="A383" s="351"/>
      <c r="B383" s="351"/>
      <c r="L383" s="352"/>
    </row>
    <row r="384">
      <c r="A384" s="351"/>
      <c r="B384" s="351"/>
      <c r="L384" s="352"/>
    </row>
    <row r="385">
      <c r="A385" s="351"/>
      <c r="B385" s="351"/>
      <c r="L385" s="352"/>
    </row>
    <row r="386">
      <c r="A386" s="351"/>
      <c r="B386" s="351"/>
      <c r="L386" s="352"/>
    </row>
    <row r="387">
      <c r="A387" s="351"/>
      <c r="B387" s="351"/>
      <c r="L387" s="352"/>
    </row>
    <row r="388">
      <c r="A388" s="351"/>
      <c r="B388" s="351"/>
      <c r="L388" s="352"/>
    </row>
    <row r="389">
      <c r="A389" s="351"/>
      <c r="B389" s="351"/>
      <c r="L389" s="352"/>
    </row>
    <row r="390">
      <c r="A390" s="351"/>
      <c r="B390" s="351"/>
      <c r="L390" s="352"/>
    </row>
    <row r="391">
      <c r="A391" s="351"/>
      <c r="B391" s="351"/>
      <c r="L391" s="352"/>
    </row>
    <row r="392">
      <c r="A392" s="351"/>
      <c r="B392" s="351"/>
      <c r="L392" s="352"/>
    </row>
    <row r="393">
      <c r="A393" s="351"/>
      <c r="B393" s="351"/>
      <c r="L393" s="352"/>
    </row>
    <row r="394">
      <c r="A394" s="351"/>
      <c r="B394" s="351"/>
      <c r="L394" s="352"/>
    </row>
    <row r="395">
      <c r="A395" s="351"/>
      <c r="B395" s="351"/>
      <c r="L395" s="352"/>
    </row>
    <row r="396">
      <c r="A396" s="351"/>
      <c r="B396" s="351"/>
      <c r="L396" s="352"/>
    </row>
    <row r="397">
      <c r="A397" s="351"/>
      <c r="B397" s="351"/>
      <c r="L397" s="352"/>
    </row>
    <row r="398">
      <c r="A398" s="351"/>
      <c r="B398" s="351"/>
      <c r="L398" s="352"/>
    </row>
    <row r="399">
      <c r="A399" s="351"/>
      <c r="B399" s="351"/>
      <c r="L399" s="352"/>
    </row>
    <row r="400">
      <c r="A400" s="351"/>
      <c r="B400" s="351"/>
      <c r="L400" s="352"/>
    </row>
    <row r="401">
      <c r="A401" s="351"/>
      <c r="B401" s="351"/>
      <c r="L401" s="352"/>
    </row>
    <row r="402">
      <c r="A402" s="351"/>
      <c r="B402" s="351"/>
      <c r="L402" s="352"/>
    </row>
    <row r="403">
      <c r="A403" s="351"/>
      <c r="B403" s="351"/>
      <c r="L403" s="352"/>
    </row>
    <row r="404">
      <c r="A404" s="351"/>
      <c r="B404" s="351"/>
      <c r="L404" s="352"/>
    </row>
    <row r="405">
      <c r="A405" s="351"/>
      <c r="B405" s="351"/>
      <c r="L405" s="352"/>
    </row>
    <row r="406">
      <c r="A406" s="351"/>
      <c r="B406" s="351"/>
      <c r="L406" s="352"/>
    </row>
    <row r="407">
      <c r="A407" s="351"/>
      <c r="B407" s="351"/>
      <c r="L407" s="352"/>
    </row>
    <row r="408">
      <c r="A408" s="351"/>
      <c r="B408" s="351"/>
      <c r="L408" s="352"/>
    </row>
    <row r="409">
      <c r="A409" s="351"/>
      <c r="B409" s="351"/>
      <c r="L409" s="352"/>
    </row>
    <row r="410">
      <c r="A410" s="351"/>
      <c r="B410" s="351"/>
      <c r="L410" s="352"/>
    </row>
    <row r="411">
      <c r="A411" s="351"/>
      <c r="B411" s="351"/>
      <c r="L411" s="352"/>
    </row>
    <row r="412">
      <c r="A412" s="351"/>
      <c r="B412" s="351"/>
      <c r="L412" s="352"/>
    </row>
    <row r="413">
      <c r="A413" s="351"/>
      <c r="B413" s="351"/>
      <c r="L413" s="352"/>
    </row>
    <row r="414">
      <c r="A414" s="351"/>
      <c r="B414" s="351"/>
      <c r="L414" s="352"/>
    </row>
    <row r="415">
      <c r="A415" s="351"/>
      <c r="B415" s="351"/>
      <c r="L415" s="352"/>
    </row>
    <row r="416">
      <c r="A416" s="351"/>
      <c r="B416" s="351"/>
      <c r="L416" s="352"/>
    </row>
    <row r="417">
      <c r="A417" s="351"/>
      <c r="B417" s="351"/>
      <c r="L417" s="352"/>
    </row>
    <row r="418">
      <c r="A418" s="351"/>
      <c r="B418" s="351"/>
      <c r="L418" s="352"/>
    </row>
    <row r="419">
      <c r="A419" s="351"/>
      <c r="B419" s="351"/>
      <c r="L419" s="352"/>
    </row>
    <row r="420">
      <c r="A420" s="351"/>
      <c r="B420" s="351"/>
      <c r="L420" s="352"/>
    </row>
    <row r="421">
      <c r="A421" s="351"/>
      <c r="B421" s="351"/>
      <c r="L421" s="352"/>
    </row>
    <row r="422">
      <c r="A422" s="351"/>
      <c r="B422" s="351"/>
      <c r="L422" s="352"/>
    </row>
    <row r="423">
      <c r="A423" s="351"/>
      <c r="B423" s="351"/>
      <c r="L423" s="352"/>
    </row>
    <row r="424">
      <c r="A424" s="351"/>
      <c r="B424" s="351"/>
      <c r="L424" s="352"/>
    </row>
    <row r="425">
      <c r="A425" s="351"/>
      <c r="B425" s="351"/>
      <c r="L425" s="352"/>
    </row>
    <row r="426">
      <c r="A426" s="351"/>
      <c r="B426" s="351"/>
      <c r="L426" s="352"/>
    </row>
    <row r="427">
      <c r="A427" s="351"/>
      <c r="B427" s="351"/>
      <c r="L427" s="352"/>
    </row>
    <row r="428">
      <c r="A428" s="351"/>
      <c r="B428" s="351"/>
      <c r="L428" s="352"/>
    </row>
    <row r="429">
      <c r="A429" s="351"/>
      <c r="B429" s="351"/>
      <c r="L429" s="352"/>
    </row>
    <row r="430">
      <c r="A430" s="351"/>
      <c r="B430" s="351"/>
      <c r="L430" s="352"/>
    </row>
    <row r="431">
      <c r="A431" s="351"/>
      <c r="B431" s="351"/>
      <c r="L431" s="352"/>
    </row>
    <row r="432">
      <c r="A432" s="351"/>
      <c r="B432" s="351"/>
      <c r="L432" s="352"/>
    </row>
    <row r="433">
      <c r="A433" s="351"/>
      <c r="B433" s="351"/>
      <c r="L433" s="352"/>
    </row>
    <row r="434">
      <c r="A434" s="351"/>
      <c r="B434" s="351"/>
      <c r="L434" s="352"/>
    </row>
    <row r="435">
      <c r="A435" s="351"/>
      <c r="B435" s="351"/>
      <c r="L435" s="352"/>
    </row>
    <row r="436">
      <c r="A436" s="351"/>
      <c r="B436" s="351"/>
      <c r="L436" s="352"/>
    </row>
    <row r="437">
      <c r="A437" s="351"/>
      <c r="B437" s="351"/>
      <c r="L437" s="352"/>
    </row>
    <row r="438">
      <c r="A438" s="351"/>
      <c r="B438" s="351"/>
      <c r="L438" s="352"/>
    </row>
    <row r="439">
      <c r="A439" s="351"/>
      <c r="B439" s="351"/>
      <c r="L439" s="352"/>
    </row>
    <row r="440">
      <c r="A440" s="351"/>
      <c r="B440" s="351"/>
      <c r="L440" s="352"/>
    </row>
    <row r="441">
      <c r="A441" s="351"/>
      <c r="B441" s="351"/>
      <c r="L441" s="352"/>
    </row>
    <row r="442">
      <c r="A442" s="351"/>
      <c r="B442" s="351"/>
      <c r="L442" s="352"/>
    </row>
    <row r="443">
      <c r="A443" s="351"/>
      <c r="B443" s="351"/>
      <c r="L443" s="352"/>
    </row>
    <row r="444">
      <c r="A444" s="351"/>
      <c r="B444" s="351"/>
      <c r="L444" s="352"/>
    </row>
    <row r="445">
      <c r="A445" s="351"/>
      <c r="B445" s="351"/>
      <c r="L445" s="352"/>
    </row>
    <row r="446">
      <c r="A446" s="351"/>
      <c r="B446" s="351"/>
      <c r="L446" s="352"/>
    </row>
    <row r="447">
      <c r="A447" s="351"/>
      <c r="B447" s="351"/>
      <c r="L447" s="352"/>
    </row>
    <row r="448">
      <c r="A448" s="351"/>
      <c r="B448" s="351"/>
      <c r="L448" s="352"/>
    </row>
    <row r="449">
      <c r="A449" s="351"/>
      <c r="B449" s="351"/>
      <c r="L449" s="352"/>
    </row>
    <row r="450">
      <c r="A450" s="351"/>
      <c r="B450" s="351"/>
      <c r="L450" s="352"/>
    </row>
    <row r="451">
      <c r="A451" s="351"/>
      <c r="B451" s="351"/>
      <c r="L451" s="352"/>
    </row>
    <row r="452">
      <c r="A452" s="351"/>
      <c r="B452" s="351"/>
      <c r="L452" s="352"/>
    </row>
    <row r="453">
      <c r="A453" s="351"/>
      <c r="B453" s="351"/>
      <c r="L453" s="352"/>
    </row>
    <row r="454">
      <c r="A454" s="351"/>
      <c r="B454" s="351"/>
      <c r="L454" s="352"/>
    </row>
    <row r="455">
      <c r="A455" s="351"/>
      <c r="B455" s="351"/>
      <c r="L455" s="352"/>
    </row>
    <row r="456">
      <c r="A456" s="351"/>
      <c r="B456" s="351"/>
      <c r="L456" s="352"/>
    </row>
    <row r="457">
      <c r="A457" s="351"/>
      <c r="B457" s="351"/>
      <c r="L457" s="352"/>
    </row>
    <row r="458">
      <c r="A458" s="351"/>
      <c r="B458" s="351"/>
      <c r="L458" s="352"/>
    </row>
    <row r="459">
      <c r="A459" s="351"/>
      <c r="B459" s="351"/>
      <c r="L459" s="352"/>
    </row>
    <row r="460">
      <c r="A460" s="351"/>
      <c r="B460" s="351"/>
      <c r="L460" s="352"/>
    </row>
    <row r="461">
      <c r="A461" s="351"/>
      <c r="B461" s="351"/>
      <c r="L461" s="352"/>
    </row>
    <row r="462">
      <c r="A462" s="351"/>
      <c r="B462" s="351"/>
      <c r="L462" s="352"/>
    </row>
    <row r="463">
      <c r="A463" s="351"/>
      <c r="B463" s="351"/>
      <c r="L463" s="352"/>
    </row>
    <row r="464">
      <c r="A464" s="351"/>
      <c r="B464" s="351"/>
      <c r="L464" s="352"/>
    </row>
    <row r="465">
      <c r="A465" s="351"/>
      <c r="B465" s="351"/>
      <c r="L465" s="352"/>
    </row>
    <row r="466">
      <c r="A466" s="351"/>
      <c r="B466" s="351"/>
      <c r="L466" s="352"/>
    </row>
    <row r="467">
      <c r="A467" s="351"/>
      <c r="B467" s="351"/>
      <c r="L467" s="352"/>
    </row>
    <row r="468">
      <c r="A468" s="351"/>
      <c r="B468" s="351"/>
      <c r="L468" s="352"/>
    </row>
    <row r="469">
      <c r="A469" s="351"/>
      <c r="B469" s="351"/>
      <c r="L469" s="352"/>
    </row>
    <row r="470">
      <c r="A470" s="351"/>
      <c r="B470" s="351"/>
      <c r="L470" s="352"/>
    </row>
    <row r="471">
      <c r="A471" s="351"/>
      <c r="B471" s="351"/>
      <c r="L471" s="352"/>
    </row>
    <row r="472">
      <c r="A472" s="351"/>
      <c r="B472" s="351"/>
      <c r="L472" s="352"/>
    </row>
    <row r="473">
      <c r="A473" s="351"/>
      <c r="B473" s="351"/>
      <c r="L473" s="352"/>
    </row>
    <row r="474">
      <c r="A474" s="351"/>
      <c r="B474" s="351"/>
      <c r="L474" s="352"/>
    </row>
    <row r="475">
      <c r="A475" s="351"/>
      <c r="B475" s="351"/>
      <c r="L475" s="352"/>
    </row>
    <row r="476">
      <c r="A476" s="351"/>
      <c r="B476" s="351"/>
      <c r="L476" s="352"/>
    </row>
    <row r="477">
      <c r="A477" s="351"/>
      <c r="B477" s="351"/>
      <c r="L477" s="352"/>
    </row>
    <row r="478">
      <c r="A478" s="351"/>
      <c r="B478" s="351"/>
      <c r="L478" s="352"/>
    </row>
    <row r="479">
      <c r="A479" s="351"/>
      <c r="B479" s="351"/>
      <c r="L479" s="352"/>
    </row>
    <row r="480">
      <c r="A480" s="351"/>
      <c r="B480" s="351"/>
      <c r="L480" s="352"/>
    </row>
    <row r="481">
      <c r="A481" s="351"/>
      <c r="B481" s="351"/>
      <c r="L481" s="352"/>
    </row>
    <row r="482">
      <c r="A482" s="351"/>
      <c r="B482" s="351"/>
      <c r="L482" s="352"/>
    </row>
    <row r="483">
      <c r="A483" s="351"/>
      <c r="B483" s="351"/>
      <c r="L483" s="352"/>
    </row>
    <row r="484">
      <c r="A484" s="351"/>
      <c r="B484" s="351"/>
      <c r="L484" s="352"/>
    </row>
    <row r="485">
      <c r="A485" s="351"/>
      <c r="B485" s="351"/>
      <c r="L485" s="352"/>
    </row>
    <row r="486">
      <c r="A486" s="351"/>
      <c r="B486" s="351"/>
      <c r="L486" s="352"/>
    </row>
    <row r="487">
      <c r="A487" s="351"/>
      <c r="B487" s="351"/>
      <c r="L487" s="352"/>
    </row>
    <row r="488">
      <c r="A488" s="351"/>
      <c r="B488" s="351"/>
      <c r="L488" s="352"/>
    </row>
    <row r="489">
      <c r="A489" s="351"/>
      <c r="B489" s="351"/>
      <c r="L489" s="352"/>
    </row>
    <row r="490">
      <c r="A490" s="351"/>
      <c r="B490" s="351"/>
      <c r="L490" s="352"/>
    </row>
    <row r="491">
      <c r="A491" s="351"/>
      <c r="B491" s="351"/>
      <c r="L491" s="352"/>
    </row>
    <row r="492">
      <c r="A492" s="351"/>
      <c r="B492" s="351"/>
      <c r="L492" s="352"/>
    </row>
    <row r="493">
      <c r="A493" s="351"/>
      <c r="B493" s="351"/>
      <c r="L493" s="352"/>
    </row>
    <row r="494">
      <c r="A494" s="351"/>
      <c r="B494" s="351"/>
      <c r="L494" s="352"/>
    </row>
    <row r="495">
      <c r="A495" s="351"/>
      <c r="B495" s="351"/>
      <c r="L495" s="352"/>
    </row>
    <row r="496">
      <c r="A496" s="351"/>
      <c r="B496" s="351"/>
      <c r="L496" s="352"/>
    </row>
    <row r="497">
      <c r="A497" s="351"/>
      <c r="B497" s="351"/>
      <c r="L497" s="352"/>
    </row>
    <row r="498">
      <c r="A498" s="351"/>
      <c r="B498" s="351"/>
      <c r="L498" s="352"/>
    </row>
    <row r="499">
      <c r="A499" s="351"/>
      <c r="B499" s="351"/>
      <c r="L499" s="352"/>
    </row>
    <row r="500">
      <c r="A500" s="351"/>
      <c r="B500" s="351"/>
      <c r="L500" s="352"/>
    </row>
    <row r="501">
      <c r="A501" s="351"/>
      <c r="B501" s="351"/>
      <c r="L501" s="352"/>
    </row>
    <row r="502">
      <c r="A502" s="351"/>
      <c r="B502" s="351"/>
      <c r="L502" s="352"/>
    </row>
    <row r="503">
      <c r="A503" s="351"/>
      <c r="B503" s="351"/>
      <c r="L503" s="352"/>
    </row>
    <row r="504">
      <c r="A504" s="351"/>
      <c r="B504" s="351"/>
      <c r="L504" s="352"/>
    </row>
    <row r="505">
      <c r="A505" s="351"/>
      <c r="B505" s="351"/>
      <c r="L505" s="352"/>
    </row>
    <row r="506">
      <c r="A506" s="351"/>
      <c r="B506" s="351"/>
      <c r="L506" s="352"/>
    </row>
    <row r="507">
      <c r="A507" s="351"/>
      <c r="B507" s="351"/>
      <c r="L507" s="352"/>
    </row>
    <row r="508">
      <c r="A508" s="351"/>
      <c r="B508" s="351"/>
      <c r="L508" s="352"/>
    </row>
    <row r="509">
      <c r="A509" s="351"/>
      <c r="B509" s="351"/>
      <c r="L509" s="352"/>
    </row>
    <row r="510">
      <c r="A510" s="351"/>
      <c r="B510" s="351"/>
      <c r="L510" s="352"/>
    </row>
    <row r="511">
      <c r="A511" s="351"/>
      <c r="B511" s="351"/>
      <c r="L511" s="352"/>
    </row>
    <row r="512">
      <c r="A512" s="351"/>
      <c r="B512" s="351"/>
      <c r="L512" s="352"/>
    </row>
    <row r="513">
      <c r="A513" s="351"/>
      <c r="B513" s="351"/>
      <c r="L513" s="352"/>
    </row>
    <row r="514">
      <c r="A514" s="351"/>
      <c r="B514" s="351"/>
      <c r="L514" s="352"/>
    </row>
    <row r="515">
      <c r="A515" s="351"/>
      <c r="B515" s="351"/>
      <c r="L515" s="352"/>
    </row>
    <row r="516">
      <c r="A516" s="351"/>
      <c r="B516" s="351"/>
      <c r="L516" s="352"/>
    </row>
    <row r="517">
      <c r="A517" s="351"/>
      <c r="B517" s="351"/>
      <c r="L517" s="352"/>
    </row>
    <row r="518">
      <c r="A518" s="351"/>
      <c r="B518" s="351"/>
      <c r="L518" s="352"/>
    </row>
    <row r="519">
      <c r="A519" s="351"/>
      <c r="B519" s="351"/>
      <c r="L519" s="352"/>
    </row>
    <row r="520">
      <c r="A520" s="351"/>
      <c r="B520" s="351"/>
      <c r="L520" s="352"/>
    </row>
    <row r="521">
      <c r="A521" s="351"/>
      <c r="B521" s="351"/>
      <c r="L521" s="352"/>
    </row>
    <row r="522">
      <c r="A522" s="351"/>
      <c r="B522" s="351"/>
      <c r="L522" s="352"/>
    </row>
    <row r="523">
      <c r="A523" s="351"/>
      <c r="B523" s="351"/>
      <c r="L523" s="352"/>
    </row>
    <row r="524">
      <c r="A524" s="351"/>
      <c r="B524" s="351"/>
      <c r="L524" s="352"/>
    </row>
    <row r="525">
      <c r="A525" s="351"/>
      <c r="B525" s="351"/>
      <c r="L525" s="352"/>
    </row>
    <row r="526">
      <c r="A526" s="351"/>
      <c r="B526" s="351"/>
      <c r="L526" s="352"/>
    </row>
    <row r="527">
      <c r="A527" s="351"/>
      <c r="B527" s="351"/>
      <c r="L527" s="352"/>
    </row>
    <row r="528">
      <c r="A528" s="351"/>
      <c r="B528" s="351"/>
      <c r="L528" s="352"/>
    </row>
    <row r="529">
      <c r="A529" s="351"/>
      <c r="B529" s="351"/>
      <c r="L529" s="352"/>
    </row>
    <row r="530">
      <c r="A530" s="351"/>
      <c r="B530" s="351"/>
      <c r="L530" s="352"/>
    </row>
    <row r="531">
      <c r="A531" s="351"/>
      <c r="B531" s="351"/>
      <c r="L531" s="352"/>
    </row>
    <row r="532">
      <c r="A532" s="351"/>
      <c r="B532" s="351"/>
      <c r="L532" s="352"/>
    </row>
    <row r="533">
      <c r="A533" s="351"/>
      <c r="B533" s="351"/>
      <c r="L533" s="352"/>
    </row>
    <row r="534">
      <c r="A534" s="351"/>
      <c r="B534" s="351"/>
      <c r="L534" s="352"/>
    </row>
    <row r="535">
      <c r="A535" s="351"/>
      <c r="B535" s="351"/>
      <c r="L535" s="352"/>
    </row>
    <row r="536">
      <c r="A536" s="351"/>
      <c r="B536" s="351"/>
      <c r="L536" s="352"/>
    </row>
    <row r="537">
      <c r="A537" s="351"/>
      <c r="B537" s="351"/>
      <c r="L537" s="352"/>
    </row>
    <row r="538">
      <c r="A538" s="351"/>
      <c r="B538" s="351"/>
      <c r="L538" s="352"/>
    </row>
    <row r="539">
      <c r="A539" s="351"/>
      <c r="B539" s="351"/>
      <c r="L539" s="352"/>
    </row>
    <row r="540">
      <c r="A540" s="351"/>
      <c r="B540" s="351"/>
      <c r="L540" s="352"/>
    </row>
    <row r="541">
      <c r="A541" s="351"/>
      <c r="B541" s="351"/>
      <c r="L541" s="352"/>
    </row>
    <row r="542">
      <c r="A542" s="351"/>
      <c r="B542" s="351"/>
      <c r="L542" s="352"/>
    </row>
    <row r="543">
      <c r="A543" s="351"/>
      <c r="B543" s="351"/>
      <c r="L543" s="352"/>
    </row>
    <row r="544">
      <c r="A544" s="351"/>
      <c r="B544" s="351"/>
      <c r="L544" s="352"/>
    </row>
    <row r="545">
      <c r="A545" s="351"/>
      <c r="B545" s="351"/>
      <c r="L545" s="352"/>
    </row>
    <row r="546">
      <c r="A546" s="351"/>
      <c r="B546" s="351"/>
      <c r="L546" s="352"/>
    </row>
    <row r="547">
      <c r="A547" s="351"/>
      <c r="B547" s="351"/>
      <c r="L547" s="352"/>
    </row>
    <row r="548">
      <c r="A548" s="351"/>
      <c r="B548" s="351"/>
      <c r="L548" s="352"/>
    </row>
    <row r="549">
      <c r="A549" s="351"/>
      <c r="B549" s="351"/>
      <c r="L549" s="352"/>
    </row>
    <row r="550">
      <c r="A550" s="351"/>
      <c r="B550" s="351"/>
      <c r="L550" s="352"/>
    </row>
    <row r="551">
      <c r="A551" s="351"/>
      <c r="B551" s="351"/>
      <c r="L551" s="352"/>
    </row>
    <row r="552">
      <c r="A552" s="351"/>
      <c r="B552" s="351"/>
      <c r="L552" s="352"/>
    </row>
    <row r="553">
      <c r="A553" s="351"/>
      <c r="B553" s="351"/>
      <c r="L553" s="352"/>
    </row>
    <row r="554">
      <c r="A554" s="351"/>
      <c r="B554" s="351"/>
      <c r="L554" s="352"/>
    </row>
    <row r="555">
      <c r="A555" s="351"/>
      <c r="B555" s="351"/>
      <c r="L555" s="352"/>
    </row>
    <row r="556">
      <c r="A556" s="351"/>
      <c r="B556" s="351"/>
      <c r="L556" s="352"/>
    </row>
    <row r="557">
      <c r="A557" s="351"/>
      <c r="B557" s="351"/>
      <c r="L557" s="352"/>
    </row>
    <row r="558">
      <c r="A558" s="351"/>
      <c r="B558" s="351"/>
      <c r="L558" s="352"/>
    </row>
    <row r="559">
      <c r="A559" s="351"/>
      <c r="B559" s="351"/>
      <c r="L559" s="352"/>
    </row>
    <row r="560">
      <c r="A560" s="351"/>
      <c r="B560" s="351"/>
      <c r="L560" s="352"/>
    </row>
    <row r="561">
      <c r="A561" s="351"/>
      <c r="B561" s="351"/>
      <c r="L561" s="352"/>
    </row>
    <row r="562">
      <c r="A562" s="351"/>
      <c r="B562" s="351"/>
      <c r="L562" s="352"/>
    </row>
    <row r="563">
      <c r="A563" s="351"/>
      <c r="B563" s="351"/>
      <c r="L563" s="352"/>
    </row>
    <row r="564">
      <c r="A564" s="351"/>
      <c r="B564" s="351"/>
      <c r="L564" s="352"/>
    </row>
    <row r="565">
      <c r="A565" s="351"/>
      <c r="B565" s="351"/>
      <c r="L565" s="352"/>
    </row>
    <row r="566">
      <c r="A566" s="351"/>
      <c r="B566" s="351"/>
      <c r="L566" s="352"/>
    </row>
    <row r="567">
      <c r="A567" s="351"/>
      <c r="B567" s="351"/>
      <c r="L567" s="352"/>
    </row>
    <row r="568">
      <c r="A568" s="351"/>
      <c r="B568" s="351"/>
      <c r="L568" s="352"/>
    </row>
    <row r="569">
      <c r="A569" s="351"/>
      <c r="B569" s="351"/>
      <c r="L569" s="352"/>
    </row>
    <row r="570">
      <c r="A570" s="351"/>
      <c r="B570" s="351"/>
      <c r="L570" s="352"/>
    </row>
    <row r="571">
      <c r="A571" s="351"/>
      <c r="B571" s="351"/>
      <c r="L571" s="352"/>
    </row>
    <row r="572">
      <c r="A572" s="351"/>
      <c r="B572" s="351"/>
      <c r="L572" s="352"/>
    </row>
    <row r="573">
      <c r="A573" s="351"/>
      <c r="B573" s="351"/>
      <c r="L573" s="352"/>
    </row>
    <row r="574">
      <c r="A574" s="351"/>
      <c r="B574" s="351"/>
      <c r="L574" s="352"/>
    </row>
    <row r="575">
      <c r="A575" s="351"/>
      <c r="B575" s="351"/>
      <c r="L575" s="352"/>
    </row>
    <row r="576">
      <c r="A576" s="351"/>
      <c r="B576" s="351"/>
      <c r="L576" s="352"/>
    </row>
    <row r="577">
      <c r="A577" s="351"/>
      <c r="B577" s="351"/>
      <c r="L577" s="352"/>
    </row>
    <row r="578">
      <c r="A578" s="351"/>
      <c r="B578" s="351"/>
      <c r="L578" s="352"/>
    </row>
    <row r="579">
      <c r="A579" s="351"/>
      <c r="B579" s="351"/>
      <c r="L579" s="352"/>
    </row>
    <row r="580">
      <c r="A580" s="351"/>
      <c r="B580" s="351"/>
      <c r="L580" s="352"/>
    </row>
    <row r="581">
      <c r="A581" s="351"/>
      <c r="B581" s="351"/>
      <c r="L581" s="352"/>
    </row>
    <row r="582">
      <c r="A582" s="351"/>
      <c r="B582" s="351"/>
      <c r="L582" s="352"/>
    </row>
    <row r="583">
      <c r="A583" s="351"/>
      <c r="B583" s="351"/>
      <c r="L583" s="352"/>
    </row>
    <row r="584">
      <c r="A584" s="351"/>
      <c r="B584" s="351"/>
      <c r="L584" s="352"/>
    </row>
    <row r="585">
      <c r="A585" s="351"/>
      <c r="B585" s="351"/>
      <c r="L585" s="352"/>
    </row>
    <row r="586">
      <c r="A586" s="351"/>
      <c r="B586" s="351"/>
      <c r="L586" s="352"/>
    </row>
    <row r="587">
      <c r="A587" s="351"/>
      <c r="B587" s="351"/>
      <c r="L587" s="352"/>
    </row>
    <row r="588">
      <c r="A588" s="351"/>
      <c r="B588" s="351"/>
      <c r="L588" s="352"/>
    </row>
    <row r="589">
      <c r="A589" s="351"/>
      <c r="B589" s="351"/>
      <c r="L589" s="352"/>
    </row>
    <row r="590">
      <c r="A590" s="351"/>
      <c r="B590" s="351"/>
      <c r="L590" s="352"/>
    </row>
    <row r="591">
      <c r="A591" s="351"/>
      <c r="B591" s="351"/>
      <c r="L591" s="352"/>
    </row>
    <row r="592">
      <c r="A592" s="351"/>
      <c r="B592" s="351"/>
      <c r="L592" s="352"/>
    </row>
    <row r="593">
      <c r="A593" s="351"/>
      <c r="B593" s="351"/>
      <c r="L593" s="352"/>
    </row>
    <row r="594">
      <c r="A594" s="351"/>
      <c r="B594" s="351"/>
      <c r="L594" s="352"/>
    </row>
    <row r="595">
      <c r="A595" s="351"/>
      <c r="B595" s="351"/>
      <c r="L595" s="352"/>
    </row>
    <row r="596">
      <c r="A596" s="351"/>
      <c r="B596" s="351"/>
      <c r="L596" s="352"/>
    </row>
    <row r="597">
      <c r="A597" s="351"/>
      <c r="B597" s="351"/>
      <c r="L597" s="352"/>
    </row>
    <row r="598">
      <c r="A598" s="351"/>
      <c r="B598" s="351"/>
      <c r="L598" s="352"/>
    </row>
    <row r="599">
      <c r="A599" s="351"/>
      <c r="B599" s="351"/>
      <c r="L599" s="352"/>
    </row>
    <row r="600">
      <c r="A600" s="351"/>
      <c r="B600" s="351"/>
      <c r="L600" s="352"/>
    </row>
    <row r="601">
      <c r="A601" s="351"/>
      <c r="B601" s="351"/>
      <c r="L601" s="352"/>
    </row>
    <row r="602">
      <c r="A602" s="351"/>
      <c r="B602" s="351"/>
      <c r="L602" s="352"/>
    </row>
    <row r="603">
      <c r="A603" s="351"/>
      <c r="B603" s="351"/>
      <c r="L603" s="352"/>
    </row>
    <row r="604">
      <c r="A604" s="351"/>
      <c r="B604" s="351"/>
      <c r="L604" s="352"/>
    </row>
    <row r="605">
      <c r="A605" s="351"/>
      <c r="B605" s="351"/>
      <c r="L605" s="352"/>
    </row>
    <row r="606">
      <c r="A606" s="351"/>
      <c r="B606" s="351"/>
      <c r="L606" s="352"/>
    </row>
    <row r="607">
      <c r="A607" s="351"/>
      <c r="B607" s="351"/>
      <c r="L607" s="352"/>
    </row>
    <row r="608">
      <c r="A608" s="351"/>
      <c r="B608" s="351"/>
      <c r="L608" s="352"/>
    </row>
    <row r="609">
      <c r="A609" s="351"/>
      <c r="B609" s="351"/>
      <c r="L609" s="352"/>
    </row>
    <row r="610">
      <c r="A610" s="351"/>
      <c r="B610" s="351"/>
      <c r="L610" s="352"/>
    </row>
    <row r="611">
      <c r="A611" s="351"/>
      <c r="B611" s="351"/>
      <c r="L611" s="352"/>
    </row>
    <row r="612">
      <c r="A612" s="351"/>
      <c r="B612" s="351"/>
      <c r="L612" s="352"/>
    </row>
    <row r="613">
      <c r="A613" s="351"/>
      <c r="B613" s="351"/>
      <c r="L613" s="352"/>
    </row>
    <row r="614">
      <c r="A614" s="351"/>
      <c r="B614" s="351"/>
      <c r="L614" s="352"/>
    </row>
    <row r="615">
      <c r="A615" s="351"/>
      <c r="B615" s="351"/>
      <c r="L615" s="352"/>
    </row>
    <row r="616">
      <c r="A616" s="351"/>
      <c r="B616" s="351"/>
      <c r="L616" s="352"/>
    </row>
    <row r="617">
      <c r="A617" s="351"/>
      <c r="B617" s="351"/>
      <c r="L617" s="352"/>
    </row>
    <row r="618">
      <c r="A618" s="351"/>
      <c r="B618" s="351"/>
      <c r="L618" s="352"/>
    </row>
    <row r="619">
      <c r="A619" s="351"/>
      <c r="B619" s="351"/>
      <c r="L619" s="352"/>
    </row>
    <row r="620">
      <c r="A620" s="351"/>
      <c r="B620" s="351"/>
      <c r="L620" s="352"/>
    </row>
    <row r="621">
      <c r="A621" s="351"/>
      <c r="B621" s="351"/>
      <c r="L621" s="352"/>
    </row>
    <row r="622">
      <c r="A622" s="351"/>
      <c r="B622" s="351"/>
      <c r="L622" s="352"/>
    </row>
    <row r="623">
      <c r="A623" s="351"/>
      <c r="B623" s="351"/>
      <c r="L623" s="352"/>
    </row>
    <row r="624">
      <c r="A624" s="351"/>
      <c r="B624" s="351"/>
      <c r="L624" s="352"/>
    </row>
    <row r="625">
      <c r="A625" s="351"/>
      <c r="B625" s="351"/>
      <c r="L625" s="352"/>
    </row>
    <row r="626">
      <c r="A626" s="351"/>
      <c r="B626" s="351"/>
      <c r="L626" s="352"/>
    </row>
    <row r="627">
      <c r="A627" s="351"/>
      <c r="B627" s="351"/>
      <c r="L627" s="352"/>
    </row>
    <row r="628">
      <c r="A628" s="351"/>
      <c r="B628" s="351"/>
      <c r="L628" s="352"/>
    </row>
    <row r="629">
      <c r="A629" s="351"/>
      <c r="B629" s="351"/>
      <c r="L629" s="352"/>
    </row>
    <row r="630">
      <c r="A630" s="351"/>
      <c r="B630" s="351"/>
      <c r="L630" s="352"/>
    </row>
    <row r="631">
      <c r="A631" s="351"/>
      <c r="B631" s="351"/>
      <c r="L631" s="352"/>
    </row>
    <row r="632">
      <c r="A632" s="351"/>
      <c r="B632" s="351"/>
      <c r="L632" s="352"/>
    </row>
    <row r="633">
      <c r="A633" s="351"/>
      <c r="B633" s="351"/>
      <c r="L633" s="352"/>
    </row>
    <row r="634">
      <c r="A634" s="351"/>
      <c r="B634" s="351"/>
      <c r="L634" s="352"/>
    </row>
    <row r="635">
      <c r="A635" s="351"/>
      <c r="B635" s="351"/>
      <c r="L635" s="352"/>
    </row>
    <row r="636">
      <c r="A636" s="351"/>
      <c r="B636" s="351"/>
      <c r="L636" s="352"/>
    </row>
    <row r="637">
      <c r="A637" s="351"/>
      <c r="B637" s="351"/>
      <c r="L637" s="352"/>
    </row>
    <row r="638">
      <c r="A638" s="351"/>
      <c r="B638" s="351"/>
      <c r="L638" s="352"/>
    </row>
    <row r="639">
      <c r="A639" s="351"/>
      <c r="B639" s="351"/>
      <c r="L639" s="352"/>
    </row>
    <row r="640">
      <c r="A640" s="351"/>
      <c r="B640" s="351"/>
      <c r="L640" s="352"/>
    </row>
    <row r="641">
      <c r="A641" s="351"/>
      <c r="B641" s="351"/>
      <c r="L641" s="352"/>
    </row>
    <row r="642">
      <c r="A642" s="351"/>
      <c r="B642" s="351"/>
      <c r="L642" s="352"/>
    </row>
    <row r="643">
      <c r="A643" s="351"/>
      <c r="B643" s="351"/>
      <c r="L643" s="352"/>
    </row>
    <row r="644">
      <c r="A644" s="351"/>
      <c r="B644" s="351"/>
      <c r="L644" s="352"/>
    </row>
    <row r="645">
      <c r="A645" s="351"/>
      <c r="B645" s="351"/>
      <c r="L645" s="352"/>
    </row>
    <row r="646">
      <c r="A646" s="351"/>
      <c r="B646" s="351"/>
      <c r="L646" s="352"/>
    </row>
    <row r="647">
      <c r="A647" s="351"/>
      <c r="B647" s="351"/>
      <c r="L647" s="352"/>
    </row>
    <row r="648">
      <c r="A648" s="351"/>
      <c r="B648" s="351"/>
      <c r="L648" s="352"/>
    </row>
    <row r="649">
      <c r="A649" s="351"/>
      <c r="B649" s="351"/>
      <c r="L649" s="352"/>
    </row>
    <row r="650">
      <c r="A650" s="351"/>
      <c r="B650" s="351"/>
      <c r="L650" s="352"/>
    </row>
    <row r="651">
      <c r="A651" s="351"/>
      <c r="B651" s="351"/>
      <c r="L651" s="352"/>
    </row>
    <row r="652">
      <c r="A652" s="351"/>
      <c r="B652" s="351"/>
      <c r="L652" s="352"/>
    </row>
    <row r="653">
      <c r="A653" s="351"/>
      <c r="B653" s="351"/>
      <c r="L653" s="352"/>
    </row>
    <row r="654">
      <c r="A654" s="351"/>
      <c r="B654" s="351"/>
      <c r="L654" s="352"/>
    </row>
    <row r="655">
      <c r="A655" s="351"/>
      <c r="B655" s="351"/>
      <c r="L655" s="352"/>
    </row>
    <row r="656">
      <c r="A656" s="351"/>
      <c r="B656" s="351"/>
      <c r="L656" s="352"/>
    </row>
    <row r="657">
      <c r="A657" s="351"/>
      <c r="B657" s="351"/>
      <c r="L657" s="352"/>
    </row>
    <row r="658">
      <c r="A658" s="351"/>
      <c r="B658" s="351"/>
      <c r="L658" s="352"/>
    </row>
    <row r="659">
      <c r="A659" s="351"/>
      <c r="B659" s="351"/>
      <c r="L659" s="352"/>
    </row>
    <row r="660">
      <c r="A660" s="351"/>
      <c r="B660" s="351"/>
      <c r="L660" s="352"/>
    </row>
    <row r="661">
      <c r="A661" s="351"/>
      <c r="B661" s="351"/>
      <c r="L661" s="352"/>
    </row>
    <row r="662">
      <c r="A662" s="351"/>
      <c r="B662" s="351"/>
      <c r="L662" s="352"/>
    </row>
    <row r="663">
      <c r="A663" s="351"/>
      <c r="B663" s="351"/>
      <c r="L663" s="352"/>
    </row>
    <row r="664">
      <c r="A664" s="351"/>
      <c r="B664" s="351"/>
      <c r="L664" s="352"/>
    </row>
    <row r="665">
      <c r="A665" s="351"/>
      <c r="B665" s="351"/>
      <c r="L665" s="352"/>
    </row>
    <row r="666">
      <c r="A666" s="351"/>
      <c r="B666" s="351"/>
      <c r="L666" s="352"/>
    </row>
    <row r="667">
      <c r="A667" s="351"/>
      <c r="B667" s="351"/>
      <c r="L667" s="352"/>
    </row>
    <row r="668">
      <c r="A668" s="351"/>
      <c r="B668" s="351"/>
      <c r="L668" s="352"/>
    </row>
    <row r="669">
      <c r="A669" s="351"/>
      <c r="B669" s="351"/>
      <c r="L669" s="352"/>
    </row>
    <row r="670">
      <c r="A670" s="351"/>
      <c r="B670" s="351"/>
      <c r="L670" s="352"/>
    </row>
    <row r="671">
      <c r="A671" s="351"/>
      <c r="B671" s="351"/>
      <c r="L671" s="352"/>
    </row>
    <row r="672">
      <c r="A672" s="351"/>
      <c r="B672" s="351"/>
      <c r="L672" s="352"/>
    </row>
    <row r="673">
      <c r="A673" s="351"/>
      <c r="B673" s="351"/>
      <c r="L673" s="352"/>
    </row>
    <row r="674">
      <c r="A674" s="351"/>
      <c r="B674" s="351"/>
      <c r="L674" s="352"/>
    </row>
    <row r="675">
      <c r="A675" s="351"/>
      <c r="B675" s="351"/>
      <c r="L675" s="352"/>
    </row>
    <row r="676">
      <c r="A676" s="351"/>
      <c r="B676" s="351"/>
      <c r="L676" s="352"/>
    </row>
    <row r="677">
      <c r="A677" s="351"/>
      <c r="B677" s="351"/>
      <c r="L677" s="352"/>
    </row>
    <row r="678">
      <c r="A678" s="351"/>
      <c r="B678" s="351"/>
      <c r="L678" s="352"/>
    </row>
    <row r="679">
      <c r="A679" s="351"/>
      <c r="B679" s="351"/>
      <c r="L679" s="352"/>
    </row>
    <row r="680">
      <c r="A680" s="351"/>
      <c r="B680" s="351"/>
      <c r="L680" s="352"/>
    </row>
    <row r="681">
      <c r="A681" s="351"/>
      <c r="B681" s="351"/>
      <c r="L681" s="352"/>
    </row>
    <row r="682">
      <c r="A682" s="351"/>
      <c r="B682" s="351"/>
      <c r="L682" s="352"/>
    </row>
    <row r="683">
      <c r="A683" s="351"/>
      <c r="B683" s="351"/>
      <c r="L683" s="352"/>
    </row>
    <row r="684">
      <c r="A684" s="351"/>
      <c r="B684" s="351"/>
      <c r="L684" s="352"/>
    </row>
    <row r="685">
      <c r="A685" s="351"/>
      <c r="B685" s="351"/>
      <c r="L685" s="352"/>
    </row>
    <row r="686">
      <c r="A686" s="351"/>
      <c r="B686" s="351"/>
      <c r="L686" s="352"/>
    </row>
    <row r="687">
      <c r="A687" s="351"/>
      <c r="B687" s="351"/>
      <c r="L687" s="352"/>
    </row>
    <row r="688">
      <c r="A688" s="351"/>
      <c r="B688" s="351"/>
      <c r="L688" s="352"/>
    </row>
    <row r="689">
      <c r="A689" s="351"/>
      <c r="B689" s="351"/>
      <c r="L689" s="352"/>
    </row>
    <row r="690">
      <c r="A690" s="351"/>
      <c r="B690" s="351"/>
      <c r="L690" s="352"/>
    </row>
    <row r="691">
      <c r="A691" s="351"/>
      <c r="B691" s="351"/>
      <c r="L691" s="352"/>
    </row>
    <row r="692">
      <c r="A692" s="351"/>
      <c r="B692" s="351"/>
      <c r="L692" s="352"/>
    </row>
    <row r="693">
      <c r="A693" s="351"/>
      <c r="B693" s="351"/>
      <c r="L693" s="352"/>
    </row>
    <row r="694">
      <c r="A694" s="351"/>
      <c r="B694" s="351"/>
      <c r="L694" s="352"/>
    </row>
    <row r="695">
      <c r="A695" s="351"/>
      <c r="B695" s="351"/>
      <c r="L695" s="352"/>
    </row>
    <row r="696">
      <c r="A696" s="351"/>
      <c r="B696" s="351"/>
      <c r="L696" s="352"/>
    </row>
    <row r="697">
      <c r="A697" s="351"/>
      <c r="B697" s="351"/>
      <c r="L697" s="352"/>
    </row>
    <row r="698">
      <c r="A698" s="351"/>
      <c r="B698" s="351"/>
      <c r="L698" s="352"/>
    </row>
    <row r="699">
      <c r="A699" s="351"/>
      <c r="B699" s="351"/>
      <c r="L699" s="352"/>
    </row>
    <row r="700">
      <c r="A700" s="351"/>
      <c r="B700" s="351"/>
      <c r="L700" s="352"/>
    </row>
    <row r="701">
      <c r="A701" s="351"/>
      <c r="B701" s="351"/>
      <c r="L701" s="352"/>
    </row>
    <row r="702">
      <c r="A702" s="351"/>
      <c r="B702" s="351"/>
      <c r="L702" s="352"/>
    </row>
    <row r="703">
      <c r="A703" s="351"/>
      <c r="B703" s="351"/>
      <c r="L703" s="352"/>
    </row>
    <row r="704">
      <c r="A704" s="351"/>
      <c r="B704" s="351"/>
      <c r="L704" s="352"/>
    </row>
    <row r="705">
      <c r="A705" s="351"/>
      <c r="B705" s="351"/>
      <c r="L705" s="352"/>
    </row>
    <row r="706">
      <c r="A706" s="351"/>
      <c r="B706" s="351"/>
      <c r="L706" s="352"/>
    </row>
    <row r="707">
      <c r="A707" s="351"/>
      <c r="B707" s="351"/>
      <c r="L707" s="352"/>
    </row>
    <row r="708">
      <c r="A708" s="351"/>
      <c r="B708" s="351"/>
      <c r="L708" s="352"/>
    </row>
    <row r="709">
      <c r="A709" s="351"/>
      <c r="B709" s="351"/>
      <c r="L709" s="352"/>
    </row>
    <row r="710">
      <c r="A710" s="351"/>
      <c r="B710" s="351"/>
      <c r="L710" s="352"/>
    </row>
    <row r="711">
      <c r="A711" s="351"/>
      <c r="B711" s="351"/>
      <c r="L711" s="352"/>
    </row>
    <row r="712">
      <c r="A712" s="351"/>
      <c r="B712" s="351"/>
      <c r="L712" s="352"/>
    </row>
    <row r="713">
      <c r="A713" s="351"/>
      <c r="B713" s="351"/>
      <c r="L713" s="352"/>
    </row>
    <row r="714">
      <c r="A714" s="351"/>
      <c r="B714" s="351"/>
      <c r="L714" s="352"/>
    </row>
    <row r="715">
      <c r="A715" s="351"/>
      <c r="B715" s="351"/>
      <c r="L715" s="352"/>
    </row>
    <row r="716">
      <c r="A716" s="351"/>
      <c r="B716" s="351"/>
      <c r="L716" s="352"/>
    </row>
    <row r="717">
      <c r="A717" s="351"/>
      <c r="B717" s="351"/>
      <c r="L717" s="352"/>
    </row>
    <row r="718">
      <c r="A718" s="351"/>
      <c r="B718" s="351"/>
      <c r="L718" s="352"/>
    </row>
    <row r="719">
      <c r="A719" s="351"/>
      <c r="B719" s="351"/>
      <c r="L719" s="352"/>
    </row>
    <row r="720">
      <c r="A720" s="351"/>
      <c r="B720" s="351"/>
      <c r="L720" s="352"/>
    </row>
    <row r="721">
      <c r="A721" s="351"/>
      <c r="B721" s="351"/>
      <c r="L721" s="352"/>
    </row>
    <row r="722">
      <c r="A722" s="351"/>
      <c r="B722" s="351"/>
      <c r="L722" s="352"/>
    </row>
    <row r="723">
      <c r="A723" s="351"/>
      <c r="B723" s="351"/>
      <c r="L723" s="352"/>
    </row>
    <row r="724">
      <c r="A724" s="351"/>
      <c r="B724" s="351"/>
      <c r="L724" s="352"/>
    </row>
    <row r="725">
      <c r="A725" s="351"/>
      <c r="B725" s="351"/>
      <c r="L725" s="352"/>
    </row>
    <row r="726">
      <c r="A726" s="351"/>
      <c r="B726" s="351"/>
      <c r="L726" s="352"/>
    </row>
    <row r="727">
      <c r="A727" s="351"/>
      <c r="B727" s="351"/>
      <c r="L727" s="352"/>
    </row>
    <row r="728">
      <c r="A728" s="351"/>
      <c r="B728" s="351"/>
      <c r="L728" s="352"/>
    </row>
    <row r="729">
      <c r="A729" s="351"/>
      <c r="B729" s="351"/>
      <c r="L729" s="352"/>
    </row>
    <row r="730">
      <c r="A730" s="351"/>
      <c r="B730" s="351"/>
      <c r="L730" s="352"/>
    </row>
    <row r="731">
      <c r="A731" s="351"/>
      <c r="B731" s="351"/>
      <c r="L731" s="352"/>
    </row>
    <row r="732">
      <c r="A732" s="351"/>
      <c r="B732" s="351"/>
      <c r="L732" s="352"/>
    </row>
    <row r="733">
      <c r="A733" s="351"/>
      <c r="B733" s="351"/>
      <c r="L733" s="352"/>
    </row>
    <row r="734">
      <c r="A734" s="351"/>
      <c r="B734" s="351"/>
      <c r="L734" s="352"/>
    </row>
    <row r="735">
      <c r="A735" s="351"/>
      <c r="B735" s="351"/>
      <c r="L735" s="352"/>
    </row>
    <row r="736">
      <c r="A736" s="351"/>
      <c r="B736" s="351"/>
      <c r="L736" s="352"/>
    </row>
    <row r="737">
      <c r="A737" s="351"/>
      <c r="B737" s="351"/>
      <c r="L737" s="352"/>
    </row>
    <row r="738">
      <c r="A738" s="351"/>
      <c r="B738" s="351"/>
      <c r="L738" s="352"/>
    </row>
    <row r="739">
      <c r="A739" s="351"/>
      <c r="B739" s="351"/>
      <c r="L739" s="352"/>
    </row>
    <row r="740">
      <c r="A740" s="351"/>
      <c r="B740" s="351"/>
      <c r="L740" s="352"/>
    </row>
    <row r="741">
      <c r="A741" s="351"/>
      <c r="B741" s="351"/>
      <c r="L741" s="352"/>
    </row>
    <row r="742">
      <c r="A742" s="351"/>
      <c r="B742" s="351"/>
      <c r="L742" s="352"/>
    </row>
    <row r="743">
      <c r="A743" s="351"/>
      <c r="B743" s="351"/>
      <c r="L743" s="352"/>
    </row>
    <row r="744">
      <c r="A744" s="351"/>
      <c r="B744" s="351"/>
      <c r="L744" s="352"/>
    </row>
    <row r="745">
      <c r="A745" s="351"/>
      <c r="B745" s="351"/>
      <c r="L745" s="352"/>
    </row>
    <row r="746">
      <c r="A746" s="351"/>
      <c r="B746" s="351"/>
      <c r="L746" s="352"/>
    </row>
    <row r="747">
      <c r="A747" s="351"/>
      <c r="B747" s="351"/>
      <c r="L747" s="352"/>
    </row>
    <row r="748">
      <c r="A748" s="351"/>
      <c r="B748" s="351"/>
      <c r="L748" s="352"/>
    </row>
    <row r="749">
      <c r="A749" s="351"/>
      <c r="B749" s="351"/>
      <c r="L749" s="352"/>
    </row>
    <row r="750">
      <c r="A750" s="351"/>
      <c r="B750" s="351"/>
      <c r="L750" s="352"/>
    </row>
    <row r="751">
      <c r="A751" s="351"/>
      <c r="B751" s="351"/>
      <c r="L751" s="352"/>
    </row>
    <row r="752">
      <c r="A752" s="351"/>
      <c r="B752" s="351"/>
      <c r="L752" s="352"/>
    </row>
    <row r="753">
      <c r="A753" s="351"/>
      <c r="B753" s="351"/>
      <c r="L753" s="352"/>
    </row>
    <row r="754">
      <c r="A754" s="351"/>
      <c r="B754" s="351"/>
      <c r="L754" s="352"/>
    </row>
    <row r="755">
      <c r="A755" s="351"/>
      <c r="B755" s="351"/>
      <c r="L755" s="352"/>
    </row>
    <row r="756">
      <c r="A756" s="351"/>
      <c r="B756" s="351"/>
      <c r="L756" s="352"/>
    </row>
    <row r="757">
      <c r="A757" s="351"/>
      <c r="B757" s="351"/>
      <c r="L757" s="352"/>
    </row>
    <row r="758">
      <c r="A758" s="351"/>
      <c r="B758" s="351"/>
      <c r="L758" s="352"/>
    </row>
    <row r="759">
      <c r="A759" s="351"/>
      <c r="B759" s="351"/>
      <c r="L759" s="352"/>
    </row>
    <row r="760">
      <c r="A760" s="351"/>
      <c r="B760" s="351"/>
      <c r="L760" s="352"/>
    </row>
    <row r="761">
      <c r="A761" s="351"/>
      <c r="B761" s="351"/>
      <c r="L761" s="352"/>
    </row>
    <row r="762">
      <c r="A762" s="351"/>
      <c r="B762" s="351"/>
      <c r="L762" s="352"/>
    </row>
    <row r="763">
      <c r="A763" s="351"/>
      <c r="B763" s="351"/>
      <c r="L763" s="352"/>
    </row>
    <row r="764">
      <c r="A764" s="351"/>
      <c r="B764" s="351"/>
      <c r="L764" s="352"/>
    </row>
    <row r="765">
      <c r="A765" s="351"/>
      <c r="B765" s="351"/>
      <c r="L765" s="352"/>
    </row>
    <row r="766">
      <c r="A766" s="351"/>
      <c r="B766" s="351"/>
      <c r="L766" s="352"/>
    </row>
    <row r="767">
      <c r="A767" s="351"/>
      <c r="B767" s="351"/>
      <c r="L767" s="352"/>
    </row>
    <row r="768">
      <c r="A768" s="351"/>
      <c r="B768" s="351"/>
      <c r="L768" s="352"/>
    </row>
    <row r="769">
      <c r="A769" s="351"/>
      <c r="B769" s="351"/>
      <c r="L769" s="352"/>
    </row>
    <row r="770">
      <c r="A770" s="351"/>
      <c r="B770" s="351"/>
      <c r="L770" s="352"/>
    </row>
    <row r="771">
      <c r="A771" s="351"/>
      <c r="B771" s="351"/>
      <c r="L771" s="352"/>
    </row>
    <row r="772">
      <c r="A772" s="351"/>
      <c r="B772" s="351"/>
      <c r="L772" s="352"/>
    </row>
    <row r="773">
      <c r="A773" s="351"/>
      <c r="B773" s="351"/>
      <c r="L773" s="352"/>
    </row>
    <row r="774">
      <c r="A774" s="351"/>
      <c r="B774" s="351"/>
      <c r="L774" s="352"/>
    </row>
    <row r="775">
      <c r="A775" s="351"/>
      <c r="B775" s="351"/>
      <c r="L775" s="352"/>
    </row>
    <row r="776">
      <c r="A776" s="351"/>
      <c r="B776" s="351"/>
      <c r="L776" s="352"/>
    </row>
    <row r="777">
      <c r="A777" s="351"/>
      <c r="B777" s="351"/>
      <c r="L777" s="352"/>
    </row>
    <row r="778">
      <c r="A778" s="351"/>
      <c r="B778" s="351"/>
      <c r="L778" s="352"/>
    </row>
    <row r="779">
      <c r="A779" s="351"/>
      <c r="B779" s="351"/>
      <c r="L779" s="352"/>
    </row>
    <row r="780">
      <c r="A780" s="351"/>
      <c r="B780" s="351"/>
      <c r="L780" s="352"/>
    </row>
    <row r="781">
      <c r="A781" s="351"/>
      <c r="B781" s="351"/>
      <c r="L781" s="352"/>
    </row>
    <row r="782">
      <c r="A782" s="351"/>
      <c r="B782" s="351"/>
      <c r="L782" s="352"/>
    </row>
    <row r="783">
      <c r="A783" s="351"/>
      <c r="B783" s="351"/>
      <c r="L783" s="352"/>
    </row>
    <row r="784">
      <c r="A784" s="351"/>
      <c r="B784" s="351"/>
      <c r="L784" s="352"/>
    </row>
    <row r="785">
      <c r="A785" s="351"/>
      <c r="B785" s="351"/>
      <c r="L785" s="352"/>
    </row>
    <row r="786">
      <c r="A786" s="351"/>
      <c r="B786" s="351"/>
      <c r="L786" s="352"/>
    </row>
    <row r="787">
      <c r="A787" s="351"/>
      <c r="B787" s="351"/>
      <c r="L787" s="352"/>
    </row>
    <row r="788">
      <c r="A788" s="351"/>
      <c r="B788" s="351"/>
      <c r="L788" s="352"/>
    </row>
    <row r="789">
      <c r="A789" s="351"/>
      <c r="B789" s="351"/>
      <c r="L789" s="352"/>
    </row>
    <row r="790">
      <c r="A790" s="351"/>
      <c r="B790" s="351"/>
      <c r="L790" s="352"/>
    </row>
    <row r="791">
      <c r="A791" s="351"/>
      <c r="B791" s="351"/>
      <c r="L791" s="352"/>
    </row>
    <row r="792">
      <c r="A792" s="351"/>
      <c r="B792" s="351"/>
      <c r="L792" s="352"/>
    </row>
    <row r="793">
      <c r="A793" s="351"/>
      <c r="B793" s="351"/>
      <c r="L793" s="352"/>
    </row>
    <row r="794">
      <c r="A794" s="351"/>
      <c r="B794" s="351"/>
      <c r="L794" s="352"/>
    </row>
    <row r="795">
      <c r="A795" s="351"/>
      <c r="B795" s="351"/>
      <c r="L795" s="352"/>
    </row>
    <row r="796">
      <c r="A796" s="351"/>
      <c r="B796" s="351"/>
      <c r="L796" s="352"/>
    </row>
    <row r="797">
      <c r="A797" s="351"/>
      <c r="B797" s="351"/>
      <c r="L797" s="352"/>
    </row>
    <row r="798">
      <c r="A798" s="351"/>
      <c r="B798" s="351"/>
      <c r="L798" s="352"/>
    </row>
    <row r="799">
      <c r="A799" s="351"/>
      <c r="B799" s="351"/>
      <c r="L799" s="352"/>
    </row>
    <row r="800">
      <c r="A800" s="351"/>
      <c r="B800" s="351"/>
      <c r="L800" s="352"/>
    </row>
    <row r="801">
      <c r="A801" s="351"/>
      <c r="B801" s="351"/>
      <c r="L801" s="352"/>
    </row>
    <row r="802">
      <c r="A802" s="351"/>
      <c r="B802" s="351"/>
      <c r="L802" s="352"/>
    </row>
    <row r="803">
      <c r="A803" s="351"/>
      <c r="B803" s="351"/>
      <c r="L803" s="352"/>
    </row>
    <row r="804">
      <c r="A804" s="351"/>
      <c r="B804" s="351"/>
      <c r="L804" s="352"/>
    </row>
    <row r="805">
      <c r="A805" s="351"/>
      <c r="B805" s="351"/>
      <c r="L805" s="352"/>
    </row>
    <row r="806">
      <c r="A806" s="351"/>
      <c r="B806" s="351"/>
      <c r="L806" s="352"/>
    </row>
    <row r="807">
      <c r="A807" s="351"/>
      <c r="B807" s="351"/>
      <c r="L807" s="352"/>
    </row>
    <row r="808">
      <c r="A808" s="351"/>
      <c r="B808" s="351"/>
      <c r="L808" s="352"/>
    </row>
    <row r="809">
      <c r="A809" s="351"/>
      <c r="B809" s="351"/>
      <c r="L809" s="352"/>
    </row>
    <row r="810">
      <c r="A810" s="351"/>
      <c r="B810" s="351"/>
      <c r="L810" s="352"/>
    </row>
    <row r="811">
      <c r="A811" s="351"/>
      <c r="B811" s="351"/>
      <c r="L811" s="352"/>
    </row>
    <row r="812">
      <c r="A812" s="351"/>
      <c r="B812" s="351"/>
      <c r="L812" s="352"/>
    </row>
    <row r="813">
      <c r="A813" s="351"/>
      <c r="B813" s="351"/>
      <c r="L813" s="352"/>
    </row>
    <row r="814">
      <c r="A814" s="351"/>
      <c r="B814" s="351"/>
      <c r="L814" s="352"/>
    </row>
    <row r="815">
      <c r="A815" s="351"/>
      <c r="B815" s="351"/>
      <c r="L815" s="352"/>
    </row>
    <row r="816">
      <c r="A816" s="351"/>
      <c r="B816" s="351"/>
      <c r="L816" s="352"/>
    </row>
    <row r="817">
      <c r="A817" s="351"/>
      <c r="B817" s="351"/>
      <c r="L817" s="352"/>
    </row>
    <row r="818">
      <c r="A818" s="351"/>
      <c r="B818" s="351"/>
      <c r="L818" s="352"/>
    </row>
    <row r="819">
      <c r="A819" s="351"/>
      <c r="B819" s="351"/>
      <c r="L819" s="352"/>
    </row>
    <row r="820">
      <c r="A820" s="351"/>
      <c r="B820" s="351"/>
      <c r="L820" s="352"/>
    </row>
    <row r="821">
      <c r="A821" s="351"/>
      <c r="B821" s="351"/>
      <c r="L821" s="352"/>
    </row>
    <row r="822">
      <c r="A822" s="351"/>
      <c r="B822" s="351"/>
      <c r="L822" s="352"/>
    </row>
    <row r="823">
      <c r="A823" s="351"/>
      <c r="B823" s="351"/>
      <c r="L823" s="352"/>
    </row>
    <row r="824">
      <c r="A824" s="351"/>
      <c r="B824" s="351"/>
      <c r="L824" s="352"/>
    </row>
    <row r="825">
      <c r="A825" s="351"/>
      <c r="B825" s="351"/>
      <c r="L825" s="352"/>
    </row>
    <row r="826">
      <c r="A826" s="351"/>
      <c r="B826" s="351"/>
      <c r="L826" s="352"/>
    </row>
    <row r="827">
      <c r="A827" s="351"/>
      <c r="B827" s="351"/>
      <c r="L827" s="352"/>
    </row>
    <row r="828">
      <c r="A828" s="351"/>
      <c r="B828" s="351"/>
      <c r="L828" s="352"/>
    </row>
    <row r="829">
      <c r="A829" s="351"/>
      <c r="B829" s="351"/>
      <c r="L829" s="352"/>
    </row>
    <row r="830">
      <c r="A830" s="351"/>
      <c r="B830" s="351"/>
      <c r="L830" s="352"/>
    </row>
    <row r="831">
      <c r="A831" s="351"/>
      <c r="B831" s="351"/>
      <c r="L831" s="352"/>
    </row>
    <row r="832">
      <c r="A832" s="351"/>
      <c r="B832" s="351"/>
      <c r="L832" s="352"/>
    </row>
    <row r="833">
      <c r="A833" s="351"/>
      <c r="B833" s="351"/>
      <c r="L833" s="352"/>
    </row>
    <row r="834">
      <c r="A834" s="351"/>
      <c r="B834" s="351"/>
      <c r="L834" s="352"/>
    </row>
    <row r="835">
      <c r="A835" s="351"/>
      <c r="B835" s="351"/>
      <c r="L835" s="352"/>
    </row>
    <row r="836">
      <c r="A836" s="351"/>
      <c r="B836" s="351"/>
      <c r="L836" s="352"/>
    </row>
    <row r="837">
      <c r="A837" s="351"/>
      <c r="B837" s="351"/>
      <c r="L837" s="352"/>
    </row>
    <row r="838">
      <c r="A838" s="351"/>
      <c r="B838" s="351"/>
      <c r="L838" s="352"/>
    </row>
    <row r="839">
      <c r="A839" s="351"/>
      <c r="B839" s="351"/>
      <c r="L839" s="352"/>
    </row>
    <row r="840">
      <c r="A840" s="351"/>
      <c r="B840" s="351"/>
      <c r="L840" s="352"/>
    </row>
    <row r="841">
      <c r="A841" s="351"/>
      <c r="B841" s="351"/>
      <c r="L841" s="352"/>
    </row>
    <row r="842">
      <c r="A842" s="351"/>
      <c r="B842" s="351"/>
      <c r="L842" s="352"/>
    </row>
    <row r="843">
      <c r="A843" s="351"/>
      <c r="B843" s="351"/>
      <c r="L843" s="352"/>
    </row>
    <row r="844">
      <c r="A844" s="351"/>
      <c r="B844" s="351"/>
      <c r="L844" s="352"/>
    </row>
    <row r="845">
      <c r="A845" s="351"/>
      <c r="B845" s="351"/>
      <c r="L845" s="352"/>
    </row>
    <row r="846">
      <c r="A846" s="351"/>
      <c r="B846" s="351"/>
      <c r="L846" s="352"/>
    </row>
    <row r="847">
      <c r="A847" s="351"/>
      <c r="B847" s="351"/>
      <c r="L847" s="352"/>
    </row>
    <row r="848">
      <c r="A848" s="351"/>
      <c r="B848" s="351"/>
      <c r="L848" s="352"/>
    </row>
    <row r="849">
      <c r="A849" s="351"/>
      <c r="B849" s="351"/>
      <c r="L849" s="352"/>
    </row>
    <row r="850">
      <c r="A850" s="351"/>
      <c r="B850" s="351"/>
      <c r="L850" s="352"/>
    </row>
    <row r="851">
      <c r="A851" s="351"/>
      <c r="B851" s="351"/>
      <c r="L851" s="352"/>
    </row>
    <row r="852">
      <c r="A852" s="351"/>
      <c r="B852" s="351"/>
      <c r="L852" s="352"/>
    </row>
    <row r="853">
      <c r="A853" s="351"/>
      <c r="B853" s="351"/>
      <c r="L853" s="352"/>
    </row>
    <row r="854">
      <c r="A854" s="351"/>
      <c r="B854" s="351"/>
      <c r="L854" s="352"/>
    </row>
    <row r="855">
      <c r="A855" s="351"/>
      <c r="B855" s="351"/>
      <c r="L855" s="352"/>
    </row>
    <row r="856">
      <c r="A856" s="351"/>
      <c r="B856" s="351"/>
      <c r="L856" s="352"/>
    </row>
    <row r="857">
      <c r="A857" s="351"/>
      <c r="B857" s="351"/>
      <c r="L857" s="352"/>
    </row>
    <row r="858">
      <c r="A858" s="351"/>
      <c r="B858" s="351"/>
      <c r="L858" s="352"/>
    </row>
    <row r="859">
      <c r="A859" s="351"/>
      <c r="B859" s="351"/>
      <c r="L859" s="352"/>
    </row>
    <row r="860">
      <c r="A860" s="351"/>
      <c r="B860" s="351"/>
      <c r="L860" s="352"/>
    </row>
    <row r="861">
      <c r="A861" s="351"/>
      <c r="B861" s="351"/>
      <c r="L861" s="352"/>
    </row>
    <row r="862">
      <c r="A862" s="351"/>
      <c r="B862" s="351"/>
      <c r="L862" s="352"/>
    </row>
    <row r="863">
      <c r="A863" s="351"/>
      <c r="B863" s="351"/>
      <c r="L863" s="352"/>
    </row>
    <row r="864">
      <c r="A864" s="351"/>
      <c r="B864" s="351"/>
      <c r="L864" s="352"/>
    </row>
    <row r="865">
      <c r="A865" s="351"/>
      <c r="B865" s="351"/>
      <c r="L865" s="352"/>
    </row>
    <row r="866">
      <c r="A866" s="351"/>
      <c r="B866" s="351"/>
      <c r="L866" s="352"/>
    </row>
    <row r="867">
      <c r="A867" s="351"/>
      <c r="B867" s="351"/>
      <c r="L867" s="352"/>
    </row>
    <row r="868">
      <c r="A868" s="351"/>
      <c r="B868" s="351"/>
      <c r="L868" s="352"/>
    </row>
    <row r="869">
      <c r="A869" s="351"/>
      <c r="B869" s="351"/>
      <c r="L869" s="352"/>
    </row>
    <row r="870">
      <c r="A870" s="351"/>
      <c r="B870" s="351"/>
      <c r="L870" s="352"/>
    </row>
    <row r="871">
      <c r="A871" s="351"/>
      <c r="B871" s="351"/>
      <c r="L871" s="352"/>
    </row>
    <row r="872">
      <c r="A872" s="351"/>
      <c r="B872" s="351"/>
      <c r="L872" s="352"/>
    </row>
    <row r="873">
      <c r="A873" s="351"/>
      <c r="B873" s="351"/>
      <c r="L873" s="352"/>
    </row>
    <row r="874">
      <c r="A874" s="351"/>
      <c r="B874" s="351"/>
      <c r="L874" s="352"/>
    </row>
    <row r="875">
      <c r="A875" s="351"/>
      <c r="B875" s="351"/>
      <c r="L875" s="352"/>
    </row>
    <row r="876">
      <c r="A876" s="351"/>
      <c r="B876" s="351"/>
      <c r="L876" s="352"/>
    </row>
    <row r="877">
      <c r="A877" s="351"/>
      <c r="B877" s="351"/>
      <c r="L877" s="352"/>
    </row>
    <row r="878">
      <c r="A878" s="351"/>
      <c r="B878" s="351"/>
      <c r="L878" s="352"/>
    </row>
    <row r="879">
      <c r="A879" s="351"/>
      <c r="B879" s="351"/>
      <c r="L879" s="352"/>
    </row>
    <row r="880">
      <c r="A880" s="351"/>
      <c r="B880" s="351"/>
      <c r="L880" s="352"/>
    </row>
    <row r="881">
      <c r="A881" s="351"/>
      <c r="B881" s="351"/>
      <c r="L881" s="352"/>
    </row>
    <row r="882">
      <c r="A882" s="351"/>
      <c r="B882" s="351"/>
      <c r="L882" s="352"/>
    </row>
    <row r="883">
      <c r="A883" s="351"/>
      <c r="B883" s="351"/>
      <c r="L883" s="352"/>
    </row>
    <row r="884">
      <c r="A884" s="351"/>
      <c r="B884" s="351"/>
      <c r="L884" s="352"/>
    </row>
    <row r="885">
      <c r="A885" s="351"/>
      <c r="B885" s="351"/>
      <c r="L885" s="352"/>
    </row>
    <row r="886">
      <c r="A886" s="351"/>
      <c r="B886" s="351"/>
      <c r="L886" s="352"/>
    </row>
    <row r="887">
      <c r="A887" s="351"/>
      <c r="B887" s="351"/>
      <c r="L887" s="352"/>
    </row>
    <row r="888">
      <c r="A888" s="351"/>
      <c r="B888" s="351"/>
      <c r="L888" s="352"/>
    </row>
    <row r="889">
      <c r="A889" s="351"/>
      <c r="B889" s="351"/>
      <c r="L889" s="352"/>
    </row>
    <row r="890">
      <c r="A890" s="351"/>
      <c r="B890" s="351"/>
      <c r="L890" s="352"/>
    </row>
    <row r="891">
      <c r="A891" s="351"/>
      <c r="B891" s="351"/>
      <c r="L891" s="352"/>
    </row>
    <row r="892">
      <c r="A892" s="351"/>
      <c r="B892" s="351"/>
      <c r="L892" s="352"/>
    </row>
    <row r="893">
      <c r="A893" s="351"/>
      <c r="B893" s="351"/>
      <c r="L893" s="352"/>
    </row>
    <row r="894">
      <c r="A894" s="351"/>
      <c r="B894" s="351"/>
      <c r="L894" s="352"/>
    </row>
    <row r="895">
      <c r="A895" s="351"/>
      <c r="B895" s="351"/>
      <c r="L895" s="352"/>
    </row>
    <row r="896">
      <c r="A896" s="351"/>
      <c r="B896" s="351"/>
      <c r="L896" s="352"/>
    </row>
    <row r="897">
      <c r="A897" s="351"/>
      <c r="B897" s="351"/>
      <c r="L897" s="352"/>
    </row>
    <row r="898">
      <c r="A898" s="351"/>
      <c r="B898" s="351"/>
      <c r="L898" s="352"/>
    </row>
    <row r="899">
      <c r="A899" s="351"/>
      <c r="B899" s="351"/>
      <c r="L899" s="352"/>
    </row>
    <row r="900">
      <c r="A900" s="351"/>
      <c r="B900" s="351"/>
      <c r="L900" s="352"/>
    </row>
    <row r="901">
      <c r="A901" s="351"/>
      <c r="B901" s="351"/>
      <c r="L901" s="352"/>
    </row>
    <row r="902">
      <c r="A902" s="351"/>
      <c r="B902" s="351"/>
      <c r="L902" s="352"/>
    </row>
    <row r="903">
      <c r="A903" s="351"/>
      <c r="B903" s="351"/>
      <c r="L903" s="352"/>
    </row>
    <row r="904">
      <c r="A904" s="351"/>
      <c r="B904" s="351"/>
      <c r="L904" s="352"/>
    </row>
    <row r="905">
      <c r="A905" s="351"/>
      <c r="B905" s="351"/>
      <c r="L905" s="352"/>
    </row>
    <row r="906">
      <c r="A906" s="351"/>
      <c r="B906" s="351"/>
      <c r="L906" s="352"/>
    </row>
    <row r="907">
      <c r="A907" s="351"/>
      <c r="B907" s="351"/>
      <c r="L907" s="352"/>
    </row>
    <row r="908">
      <c r="A908" s="351"/>
      <c r="B908" s="351"/>
      <c r="L908" s="352"/>
    </row>
    <row r="909">
      <c r="A909" s="351"/>
      <c r="B909" s="351"/>
      <c r="L909" s="352"/>
    </row>
    <row r="910">
      <c r="A910" s="351"/>
      <c r="B910" s="351"/>
      <c r="L910" s="352"/>
    </row>
    <row r="911">
      <c r="A911" s="351"/>
      <c r="B911" s="351"/>
      <c r="L911" s="352"/>
    </row>
    <row r="912">
      <c r="A912" s="351"/>
      <c r="B912" s="351"/>
      <c r="L912" s="352"/>
    </row>
    <row r="913">
      <c r="A913" s="351"/>
      <c r="B913" s="351"/>
      <c r="L913" s="352"/>
    </row>
    <row r="914">
      <c r="A914" s="351"/>
      <c r="B914" s="351"/>
      <c r="L914" s="352"/>
    </row>
    <row r="915">
      <c r="A915" s="351"/>
      <c r="B915" s="351"/>
      <c r="L915" s="352"/>
    </row>
    <row r="916">
      <c r="A916" s="351"/>
      <c r="B916" s="351"/>
      <c r="L916" s="352"/>
    </row>
    <row r="917">
      <c r="A917" s="351"/>
      <c r="B917" s="351"/>
      <c r="L917" s="352"/>
    </row>
    <row r="918">
      <c r="A918" s="351"/>
      <c r="B918" s="351"/>
      <c r="L918" s="352"/>
    </row>
    <row r="919">
      <c r="A919" s="351"/>
      <c r="B919" s="351"/>
      <c r="L919" s="352"/>
    </row>
    <row r="920">
      <c r="A920" s="351"/>
      <c r="B920" s="351"/>
      <c r="L920" s="352"/>
    </row>
    <row r="921">
      <c r="A921" s="351"/>
      <c r="B921" s="351"/>
      <c r="L921" s="352"/>
    </row>
    <row r="922">
      <c r="A922" s="351"/>
      <c r="B922" s="351"/>
      <c r="L922" s="352"/>
    </row>
    <row r="923">
      <c r="A923" s="351"/>
      <c r="B923" s="351"/>
      <c r="L923" s="352"/>
    </row>
    <row r="924">
      <c r="A924" s="351"/>
      <c r="B924" s="351"/>
      <c r="L924" s="352"/>
    </row>
    <row r="925">
      <c r="A925" s="351"/>
      <c r="B925" s="351"/>
      <c r="L925" s="352"/>
    </row>
    <row r="926">
      <c r="A926" s="351"/>
      <c r="B926" s="351"/>
      <c r="L926" s="352"/>
    </row>
    <row r="927">
      <c r="A927" s="351"/>
      <c r="B927" s="351"/>
      <c r="L927" s="352"/>
    </row>
    <row r="928">
      <c r="A928" s="351"/>
      <c r="B928" s="351"/>
      <c r="L928" s="352"/>
    </row>
    <row r="929">
      <c r="A929" s="351"/>
      <c r="B929" s="351"/>
      <c r="L929" s="352"/>
    </row>
    <row r="930">
      <c r="A930" s="351"/>
      <c r="B930" s="351"/>
      <c r="L930" s="352"/>
    </row>
    <row r="931">
      <c r="A931" s="351"/>
      <c r="B931" s="351"/>
      <c r="L931" s="352"/>
    </row>
    <row r="932">
      <c r="A932" s="351"/>
      <c r="B932" s="351"/>
      <c r="L932" s="352"/>
    </row>
    <row r="933">
      <c r="A933" s="351"/>
      <c r="B933" s="351"/>
      <c r="L933" s="352"/>
    </row>
    <row r="934">
      <c r="A934" s="351"/>
      <c r="B934" s="351"/>
      <c r="L934" s="352"/>
    </row>
    <row r="935">
      <c r="A935" s="351"/>
      <c r="B935" s="351"/>
      <c r="L935" s="352"/>
    </row>
    <row r="936">
      <c r="A936" s="351"/>
      <c r="B936" s="351"/>
      <c r="L936" s="352"/>
    </row>
    <row r="937">
      <c r="A937" s="351"/>
      <c r="B937" s="351"/>
      <c r="L937" s="352"/>
    </row>
    <row r="938">
      <c r="A938" s="351"/>
      <c r="B938" s="351"/>
      <c r="L938" s="352"/>
    </row>
    <row r="939">
      <c r="A939" s="351"/>
      <c r="B939" s="351"/>
      <c r="L939" s="352"/>
    </row>
    <row r="940">
      <c r="A940" s="351"/>
      <c r="B940" s="351"/>
      <c r="L940" s="352"/>
    </row>
    <row r="941">
      <c r="A941" s="351"/>
      <c r="B941" s="351"/>
      <c r="L941" s="352"/>
    </row>
    <row r="942">
      <c r="A942" s="351"/>
      <c r="B942" s="351"/>
      <c r="L942" s="352"/>
    </row>
    <row r="943">
      <c r="A943" s="351"/>
      <c r="B943" s="351"/>
      <c r="L943" s="352"/>
    </row>
    <row r="944">
      <c r="A944" s="351"/>
      <c r="B944" s="351"/>
      <c r="L944" s="352"/>
    </row>
    <row r="945">
      <c r="A945" s="351"/>
      <c r="B945" s="351"/>
      <c r="L945" s="352"/>
    </row>
    <row r="946">
      <c r="A946" s="351"/>
      <c r="B946" s="351"/>
      <c r="L946" s="352"/>
    </row>
    <row r="947">
      <c r="A947" s="351"/>
      <c r="B947" s="351"/>
      <c r="L947" s="352"/>
    </row>
    <row r="948">
      <c r="A948" s="351"/>
      <c r="B948" s="351"/>
      <c r="L948" s="352"/>
    </row>
    <row r="949">
      <c r="A949" s="351"/>
      <c r="B949" s="351"/>
      <c r="L949" s="352"/>
    </row>
    <row r="950">
      <c r="A950" s="351"/>
      <c r="B950" s="351"/>
      <c r="L950" s="352"/>
    </row>
    <row r="951">
      <c r="A951" s="351"/>
      <c r="B951" s="351"/>
      <c r="L951" s="352"/>
    </row>
    <row r="952">
      <c r="A952" s="351"/>
      <c r="B952" s="351"/>
      <c r="L952" s="352"/>
    </row>
    <row r="953">
      <c r="A953" s="351"/>
      <c r="B953" s="351"/>
      <c r="L953" s="352"/>
    </row>
    <row r="954">
      <c r="A954" s="351"/>
      <c r="B954" s="351"/>
      <c r="L954" s="352"/>
    </row>
    <row r="955">
      <c r="A955" s="351"/>
      <c r="B955" s="351"/>
      <c r="L955" s="352"/>
    </row>
    <row r="956">
      <c r="A956" s="351"/>
      <c r="B956" s="351"/>
      <c r="L956" s="352"/>
    </row>
    <row r="957">
      <c r="A957" s="351"/>
      <c r="B957" s="351"/>
      <c r="L957" s="352"/>
    </row>
    <row r="958">
      <c r="A958" s="351"/>
      <c r="B958" s="351"/>
      <c r="L958" s="352"/>
    </row>
    <row r="959">
      <c r="A959" s="351"/>
      <c r="B959" s="351"/>
      <c r="L959" s="352"/>
    </row>
    <row r="960">
      <c r="A960" s="351"/>
      <c r="B960" s="351"/>
      <c r="L960" s="352"/>
    </row>
    <row r="961">
      <c r="A961" s="351"/>
      <c r="B961" s="351"/>
      <c r="L961" s="352"/>
    </row>
    <row r="962">
      <c r="A962" s="351"/>
      <c r="B962" s="351"/>
      <c r="L962" s="352"/>
    </row>
    <row r="963">
      <c r="A963" s="351"/>
      <c r="B963" s="351"/>
      <c r="L963" s="352"/>
    </row>
    <row r="964">
      <c r="A964" s="351"/>
      <c r="B964" s="351"/>
      <c r="L964" s="352"/>
    </row>
    <row r="965">
      <c r="A965" s="351"/>
      <c r="B965" s="351"/>
      <c r="L965" s="352"/>
    </row>
    <row r="966">
      <c r="A966" s="351"/>
      <c r="B966" s="351"/>
      <c r="L966" s="352"/>
    </row>
    <row r="967">
      <c r="A967" s="351"/>
      <c r="B967" s="351"/>
      <c r="L967" s="352"/>
    </row>
    <row r="968">
      <c r="A968" s="351"/>
      <c r="B968" s="351"/>
      <c r="L968" s="352"/>
    </row>
    <row r="969">
      <c r="A969" s="351"/>
      <c r="B969" s="351"/>
      <c r="L969" s="352"/>
    </row>
    <row r="970">
      <c r="A970" s="351"/>
      <c r="B970" s="351"/>
      <c r="L970" s="352"/>
    </row>
    <row r="971">
      <c r="A971" s="351"/>
      <c r="B971" s="351"/>
      <c r="L971" s="352"/>
    </row>
    <row r="972">
      <c r="A972" s="351"/>
      <c r="B972" s="351"/>
      <c r="L972" s="352"/>
    </row>
    <row r="973">
      <c r="A973" s="351"/>
      <c r="B973" s="351"/>
      <c r="L973" s="352"/>
    </row>
    <row r="974">
      <c r="A974" s="351"/>
      <c r="B974" s="351"/>
      <c r="L974" s="352"/>
    </row>
    <row r="975">
      <c r="A975" s="351"/>
      <c r="B975" s="351"/>
      <c r="L975" s="352"/>
    </row>
    <row r="976">
      <c r="A976" s="351"/>
      <c r="B976" s="351"/>
      <c r="L976" s="352"/>
    </row>
    <row r="977">
      <c r="A977" s="351"/>
      <c r="B977" s="351"/>
      <c r="L977" s="352"/>
    </row>
    <row r="978">
      <c r="A978" s="351"/>
      <c r="B978" s="351"/>
      <c r="L978" s="352"/>
    </row>
    <row r="979">
      <c r="A979" s="351"/>
      <c r="B979" s="351"/>
      <c r="L979" s="352"/>
    </row>
    <row r="980">
      <c r="A980" s="351"/>
      <c r="B980" s="351"/>
      <c r="L980" s="352"/>
    </row>
    <row r="981">
      <c r="A981" s="351"/>
      <c r="B981" s="351"/>
      <c r="L981" s="352"/>
    </row>
    <row r="982">
      <c r="A982" s="351"/>
      <c r="B982" s="351"/>
      <c r="L982" s="352"/>
    </row>
    <row r="983">
      <c r="A983" s="351"/>
      <c r="B983" s="351"/>
      <c r="L983" s="352"/>
    </row>
    <row r="984">
      <c r="A984" s="351"/>
      <c r="B984" s="351"/>
      <c r="L984" s="352"/>
    </row>
    <row r="985">
      <c r="A985" s="351"/>
      <c r="B985" s="351"/>
      <c r="L985" s="352"/>
    </row>
    <row r="986">
      <c r="A986" s="351"/>
      <c r="B986" s="351"/>
      <c r="L986" s="352"/>
    </row>
    <row r="987">
      <c r="A987" s="351"/>
      <c r="B987" s="351"/>
      <c r="L987" s="352"/>
    </row>
    <row r="988">
      <c r="A988" s="351"/>
      <c r="B988" s="351"/>
      <c r="L988" s="352"/>
    </row>
    <row r="989">
      <c r="A989" s="351"/>
      <c r="B989" s="351"/>
      <c r="L989" s="352"/>
    </row>
    <row r="990">
      <c r="A990" s="351"/>
      <c r="B990" s="351"/>
      <c r="L990" s="352"/>
    </row>
    <row r="991">
      <c r="A991" s="351"/>
      <c r="B991" s="351"/>
      <c r="L991" s="352"/>
    </row>
    <row r="992">
      <c r="A992" s="351"/>
      <c r="B992" s="351"/>
      <c r="L992" s="352"/>
    </row>
    <row r="993">
      <c r="A993" s="351"/>
      <c r="B993" s="351"/>
      <c r="L993" s="352"/>
    </row>
    <row r="994">
      <c r="A994" s="351"/>
      <c r="B994" s="351"/>
      <c r="L994" s="352"/>
    </row>
    <row r="995">
      <c r="A995" s="351"/>
      <c r="B995" s="351"/>
      <c r="L995" s="352"/>
    </row>
    <row r="996">
      <c r="A996" s="351"/>
      <c r="B996" s="351"/>
      <c r="L996" s="352"/>
    </row>
    <row r="997">
      <c r="A997" s="351"/>
      <c r="B997" s="351"/>
      <c r="L997" s="352"/>
    </row>
    <row r="998">
      <c r="A998" s="351"/>
      <c r="B998" s="351"/>
      <c r="L998" s="352"/>
    </row>
    <row r="999">
      <c r="A999" s="351"/>
      <c r="B999" s="351"/>
      <c r="L999" s="352"/>
    </row>
    <row r="1000">
      <c r="A1000" s="351"/>
      <c r="B1000" s="351"/>
      <c r="L1000" s="352"/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</hyperlinks>
  <drawing r:id="rId3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3941</v>
      </c>
      <c r="B1" s="17" t="s">
        <v>3942</v>
      </c>
      <c r="C1" s="17" t="s">
        <v>3943</v>
      </c>
      <c r="D1" s="17" t="s">
        <v>3944</v>
      </c>
      <c r="E1" s="17" t="s">
        <v>3945</v>
      </c>
      <c r="F1" s="17" t="s">
        <v>3946</v>
      </c>
      <c r="G1" s="17" t="s">
        <v>3947</v>
      </c>
      <c r="H1" s="17" t="s">
        <v>3948</v>
      </c>
      <c r="I1" s="17" t="s">
        <v>3949</v>
      </c>
      <c r="J1" s="17" t="s">
        <v>3950</v>
      </c>
      <c r="K1" s="17" t="s">
        <v>3951</v>
      </c>
      <c r="L1" s="17" t="s">
        <v>3952</v>
      </c>
      <c r="M1" s="17" t="s">
        <v>3953</v>
      </c>
      <c r="N1" s="17" t="s">
        <v>3954</v>
      </c>
      <c r="O1" s="17" t="s">
        <v>3955</v>
      </c>
      <c r="P1" s="17" t="s">
        <v>3956</v>
      </c>
      <c r="Q1" s="17" t="s">
        <v>3957</v>
      </c>
      <c r="R1" s="17" t="s">
        <v>3958</v>
      </c>
      <c r="S1" s="17" t="s">
        <v>3959</v>
      </c>
      <c r="T1" s="17" t="s">
        <v>3960</v>
      </c>
      <c r="U1" s="17" t="s">
        <v>3961</v>
      </c>
      <c r="V1" s="17" t="s">
        <v>3962</v>
      </c>
      <c r="W1" s="17" t="s">
        <v>3963</v>
      </c>
      <c r="X1" s="17" t="s">
        <v>3964</v>
      </c>
      <c r="Y1" s="17" t="s">
        <v>3965</v>
      </c>
      <c r="Z1" s="17" t="s">
        <v>3966</v>
      </c>
      <c r="AA1" s="17" t="s">
        <v>3967</v>
      </c>
      <c r="AB1" s="17" t="s">
        <v>3968</v>
      </c>
      <c r="AC1" s="17" t="s">
        <v>3969</v>
      </c>
    </row>
    <row r="2">
      <c r="A2" s="17" t="s">
        <v>3970</v>
      </c>
      <c r="B2" s="17" t="s">
        <v>3971</v>
      </c>
      <c r="C2" s="17" t="s">
        <v>3972</v>
      </c>
      <c r="D2" s="353">
        <v>9.04473021E8</v>
      </c>
      <c r="E2" s="353">
        <v>1.0</v>
      </c>
      <c r="F2" s="353">
        <v>2.0</v>
      </c>
      <c r="G2" s="17" t="s">
        <v>3973</v>
      </c>
      <c r="H2" s="17" t="s">
        <v>3974</v>
      </c>
      <c r="I2" s="17" t="s">
        <v>3974</v>
      </c>
      <c r="J2" s="17" t="s">
        <v>3975</v>
      </c>
      <c r="K2" s="17" t="s">
        <v>3976</v>
      </c>
      <c r="L2" s="17" t="s">
        <v>3976</v>
      </c>
      <c r="M2" s="17" t="s">
        <v>3977</v>
      </c>
      <c r="N2" s="17" t="b">
        <v>1</v>
      </c>
      <c r="O2" s="17" t="s">
        <v>3978</v>
      </c>
      <c r="P2" s="17" t="b">
        <v>0</v>
      </c>
      <c r="R2" s="17" t="b">
        <v>0</v>
      </c>
      <c r="S2" s="17" t="b">
        <v>0</v>
      </c>
      <c r="X2" s="17" t="b">
        <v>0</v>
      </c>
      <c r="AA2" s="17" t="b">
        <v>0</v>
      </c>
    </row>
    <row r="3">
      <c r="A3" s="17" t="s">
        <v>3979</v>
      </c>
      <c r="B3" s="17" t="s">
        <v>3980</v>
      </c>
      <c r="C3" s="17" t="s">
        <v>3981</v>
      </c>
      <c r="D3" s="353">
        <v>1.154498123E9</v>
      </c>
      <c r="E3" s="353">
        <v>1.0</v>
      </c>
      <c r="F3" s="353">
        <v>2.0</v>
      </c>
      <c r="G3" s="17" t="s">
        <v>3982</v>
      </c>
      <c r="H3" s="17" t="s">
        <v>3974</v>
      </c>
      <c r="I3" s="17" t="s">
        <v>3974</v>
      </c>
      <c r="J3" s="17" t="s">
        <v>3975</v>
      </c>
      <c r="K3" s="17" t="s">
        <v>3976</v>
      </c>
      <c r="L3" s="17" t="s">
        <v>3976</v>
      </c>
      <c r="M3" s="17" t="s">
        <v>3977</v>
      </c>
      <c r="N3" s="17" t="b">
        <v>1</v>
      </c>
      <c r="O3" s="17" t="s">
        <v>3983</v>
      </c>
      <c r="P3" s="17" t="b">
        <v>0</v>
      </c>
      <c r="R3" s="17" t="b">
        <v>0</v>
      </c>
      <c r="S3" s="17" t="b">
        <v>0</v>
      </c>
      <c r="X3" s="17" t="b">
        <v>0</v>
      </c>
      <c r="AA3" s="17" t="b">
        <v>0</v>
      </c>
    </row>
    <row r="4">
      <c r="A4" s="17" t="s">
        <v>3984</v>
      </c>
      <c r="B4" s="17" t="s">
        <v>3985</v>
      </c>
      <c r="C4" s="17" t="s">
        <v>3986</v>
      </c>
      <c r="D4" s="353">
        <v>4.42291346E8</v>
      </c>
      <c r="E4" s="353">
        <v>1.0</v>
      </c>
      <c r="F4" s="353">
        <v>2.0</v>
      </c>
      <c r="G4" s="17" t="s">
        <v>3987</v>
      </c>
      <c r="H4" s="17" t="s">
        <v>3974</v>
      </c>
      <c r="I4" s="17" t="s">
        <v>3974</v>
      </c>
      <c r="J4" s="17" t="s">
        <v>3975</v>
      </c>
      <c r="K4" s="17" t="s">
        <v>3976</v>
      </c>
      <c r="L4" s="17" t="s">
        <v>3976</v>
      </c>
      <c r="M4" s="17" t="s">
        <v>3977</v>
      </c>
      <c r="N4" s="17" t="b">
        <v>1</v>
      </c>
      <c r="O4" s="17" t="s">
        <v>3988</v>
      </c>
      <c r="P4" s="17" t="b">
        <v>0</v>
      </c>
      <c r="R4" s="17" t="b">
        <v>0</v>
      </c>
      <c r="S4" s="17" t="b">
        <v>0</v>
      </c>
      <c r="X4" s="17" t="b">
        <v>0</v>
      </c>
      <c r="AA4" s="17" t="b">
        <v>0</v>
      </c>
    </row>
    <row r="5">
      <c r="A5" s="17" t="s">
        <v>3989</v>
      </c>
      <c r="B5" s="17" t="s">
        <v>3990</v>
      </c>
      <c r="C5" s="17" t="s">
        <v>3991</v>
      </c>
      <c r="D5" s="353">
        <v>3.83081365E8</v>
      </c>
      <c r="E5" s="353">
        <v>1.0</v>
      </c>
      <c r="F5" s="353">
        <v>2.0</v>
      </c>
      <c r="G5" s="17" t="s">
        <v>3992</v>
      </c>
      <c r="H5" s="17" t="s">
        <v>3974</v>
      </c>
      <c r="I5" s="17" t="s">
        <v>3974</v>
      </c>
      <c r="J5" s="17" t="s">
        <v>3975</v>
      </c>
      <c r="K5" s="17" t="s">
        <v>3976</v>
      </c>
      <c r="L5" s="17" t="s">
        <v>3976</v>
      </c>
      <c r="M5" s="17" t="s">
        <v>3977</v>
      </c>
      <c r="N5" s="17" t="b">
        <v>1</v>
      </c>
      <c r="O5" s="17" t="s">
        <v>3993</v>
      </c>
      <c r="P5" s="17" t="b">
        <v>0</v>
      </c>
      <c r="R5" s="17" t="b">
        <v>0</v>
      </c>
      <c r="S5" s="17" t="b">
        <v>0</v>
      </c>
      <c r="X5" s="17" t="b">
        <v>0</v>
      </c>
      <c r="AA5" s="17" t="b">
        <v>0</v>
      </c>
    </row>
    <row r="6">
      <c r="A6" s="17" t="s">
        <v>3994</v>
      </c>
      <c r="B6" s="17" t="s">
        <v>3995</v>
      </c>
      <c r="C6" s="17" t="s">
        <v>3996</v>
      </c>
      <c r="D6" s="353">
        <v>3.9192874E8</v>
      </c>
      <c r="E6" s="353">
        <v>1.0</v>
      </c>
      <c r="F6" s="353">
        <v>2.0</v>
      </c>
      <c r="G6" s="17" t="s">
        <v>3997</v>
      </c>
      <c r="H6" s="17" t="s">
        <v>3974</v>
      </c>
      <c r="I6" s="17" t="s">
        <v>3974</v>
      </c>
      <c r="J6" s="17" t="s">
        <v>3975</v>
      </c>
      <c r="K6" s="17" t="s">
        <v>3976</v>
      </c>
      <c r="L6" s="17" t="s">
        <v>3976</v>
      </c>
      <c r="M6" s="17" t="s">
        <v>3977</v>
      </c>
      <c r="N6" s="17" t="b">
        <v>1</v>
      </c>
      <c r="O6" s="17" t="s">
        <v>3998</v>
      </c>
      <c r="P6" s="17" t="b">
        <v>0</v>
      </c>
      <c r="R6" s="17" t="b">
        <v>0</v>
      </c>
      <c r="S6" s="17" t="b">
        <v>0</v>
      </c>
      <c r="X6" s="17" t="b">
        <v>0</v>
      </c>
      <c r="AA6" s="17" t="b">
        <v>0</v>
      </c>
    </row>
    <row r="7">
      <c r="A7" s="17" t="s">
        <v>3999</v>
      </c>
      <c r="B7" s="17" t="s">
        <v>4000</v>
      </c>
      <c r="C7" s="17" t="s">
        <v>4001</v>
      </c>
      <c r="D7" s="353">
        <v>1.238040874E9</v>
      </c>
      <c r="E7" s="353">
        <v>1.0</v>
      </c>
      <c r="F7" s="353">
        <v>2.0</v>
      </c>
      <c r="G7" s="17" t="s">
        <v>4002</v>
      </c>
      <c r="H7" s="17" t="s">
        <v>3974</v>
      </c>
      <c r="I7" s="17" t="s">
        <v>3974</v>
      </c>
      <c r="J7" s="17" t="s">
        <v>3975</v>
      </c>
      <c r="K7" s="17" t="s">
        <v>3976</v>
      </c>
      <c r="L7" s="17" t="s">
        <v>3976</v>
      </c>
      <c r="M7" s="17" t="s">
        <v>3977</v>
      </c>
      <c r="N7" s="17" t="b">
        <v>1</v>
      </c>
      <c r="O7" s="17" t="s">
        <v>4003</v>
      </c>
      <c r="P7" s="17" t="b">
        <v>0</v>
      </c>
      <c r="R7" s="17" t="b">
        <v>0</v>
      </c>
      <c r="S7" s="17" t="b">
        <v>0</v>
      </c>
      <c r="X7" s="17" t="b">
        <v>0</v>
      </c>
      <c r="AA7" s="17" t="b">
        <v>0</v>
      </c>
    </row>
    <row r="8">
      <c r="A8" s="17" t="s">
        <v>4004</v>
      </c>
      <c r="B8" s="17" t="s">
        <v>4005</v>
      </c>
      <c r="C8" s="17" t="s">
        <v>4006</v>
      </c>
      <c r="D8" s="353">
        <v>2.099163794E9</v>
      </c>
      <c r="E8" s="353">
        <v>1.0</v>
      </c>
      <c r="F8" s="353">
        <v>2.0</v>
      </c>
      <c r="G8" s="17" t="s">
        <v>4007</v>
      </c>
      <c r="H8" s="17" t="s">
        <v>3974</v>
      </c>
      <c r="I8" s="17" t="s">
        <v>3974</v>
      </c>
      <c r="J8" s="17" t="s">
        <v>3975</v>
      </c>
      <c r="K8" s="17" t="s">
        <v>3976</v>
      </c>
      <c r="L8" s="17" t="s">
        <v>3976</v>
      </c>
      <c r="M8" s="17" t="s">
        <v>3977</v>
      </c>
      <c r="N8" s="17" t="b">
        <v>1</v>
      </c>
      <c r="O8" s="17" t="s">
        <v>4008</v>
      </c>
      <c r="P8" s="17" t="b">
        <v>0</v>
      </c>
      <c r="R8" s="17" t="b">
        <v>0</v>
      </c>
      <c r="S8" s="17" t="b">
        <v>0</v>
      </c>
      <c r="X8" s="17" t="b">
        <v>0</v>
      </c>
      <c r="AA8" s="17" t="b">
        <v>0</v>
      </c>
    </row>
    <row r="9">
      <c r="A9" s="17" t="s">
        <v>4009</v>
      </c>
      <c r="B9" s="17" t="s">
        <v>4010</v>
      </c>
      <c r="C9" s="17" t="s">
        <v>4011</v>
      </c>
      <c r="D9" s="353">
        <v>2.082313584E9</v>
      </c>
      <c r="E9" s="353">
        <v>1.0</v>
      </c>
      <c r="F9" s="353">
        <v>2.0</v>
      </c>
      <c r="G9" s="17" t="s">
        <v>4012</v>
      </c>
      <c r="H9" s="17" t="s">
        <v>3974</v>
      </c>
      <c r="I9" s="17" t="s">
        <v>3974</v>
      </c>
      <c r="J9" s="17" t="s">
        <v>3975</v>
      </c>
      <c r="K9" s="17" t="s">
        <v>3976</v>
      </c>
      <c r="L9" s="17" t="s">
        <v>3976</v>
      </c>
      <c r="M9" s="17" t="s">
        <v>3977</v>
      </c>
      <c r="N9" s="17" t="b">
        <v>1</v>
      </c>
      <c r="O9" s="17" t="s">
        <v>4013</v>
      </c>
      <c r="P9" s="17" t="b">
        <v>0</v>
      </c>
      <c r="R9" s="17" t="b">
        <v>0</v>
      </c>
      <c r="S9" s="17" t="b">
        <v>0</v>
      </c>
      <c r="X9" s="17" t="b">
        <v>0</v>
      </c>
      <c r="AA9" s="17" t="b">
        <v>0</v>
      </c>
    </row>
    <row r="10">
      <c r="A10" s="17" t="s">
        <v>4014</v>
      </c>
      <c r="B10" s="17" t="s">
        <v>4015</v>
      </c>
      <c r="C10" s="17" t="s">
        <v>4016</v>
      </c>
      <c r="D10" s="353">
        <v>1.983301741E9</v>
      </c>
      <c r="E10" s="353">
        <v>1.0</v>
      </c>
      <c r="F10" s="353">
        <v>2.0</v>
      </c>
      <c r="G10" s="17" t="s">
        <v>4017</v>
      </c>
      <c r="H10" s="17" t="s">
        <v>3974</v>
      </c>
      <c r="I10" s="17" t="s">
        <v>3974</v>
      </c>
      <c r="J10" s="17" t="s">
        <v>3975</v>
      </c>
      <c r="K10" s="17" t="s">
        <v>3976</v>
      </c>
      <c r="L10" s="17" t="s">
        <v>3976</v>
      </c>
      <c r="M10" s="17" t="s">
        <v>3977</v>
      </c>
      <c r="N10" s="17" t="b">
        <v>1</v>
      </c>
      <c r="O10" s="17" t="s">
        <v>4018</v>
      </c>
      <c r="P10" s="17" t="b">
        <v>0</v>
      </c>
      <c r="R10" s="17" t="b">
        <v>0</v>
      </c>
      <c r="S10" s="17" t="b">
        <v>0</v>
      </c>
      <c r="X10" s="17" t="b">
        <v>0</v>
      </c>
      <c r="AA10" s="17" t="b">
        <v>0</v>
      </c>
    </row>
    <row r="11">
      <c r="A11" s="17" t="s">
        <v>4019</v>
      </c>
      <c r="B11" s="17" t="s">
        <v>4020</v>
      </c>
      <c r="C11" s="17" t="s">
        <v>4021</v>
      </c>
      <c r="D11" s="353">
        <v>1.124039995E9</v>
      </c>
      <c r="E11" s="353">
        <v>1.0</v>
      </c>
      <c r="F11" s="353">
        <v>2.0</v>
      </c>
      <c r="G11" s="17" t="s">
        <v>4022</v>
      </c>
      <c r="H11" s="17" t="s">
        <v>3974</v>
      </c>
      <c r="I11" s="17" t="s">
        <v>3974</v>
      </c>
      <c r="J11" s="17" t="s">
        <v>3975</v>
      </c>
      <c r="K11" s="17" t="s">
        <v>3976</v>
      </c>
      <c r="L11" s="17" t="s">
        <v>3976</v>
      </c>
      <c r="M11" s="17" t="s">
        <v>3977</v>
      </c>
      <c r="N11" s="17" t="b">
        <v>1</v>
      </c>
      <c r="O11" s="17" t="s">
        <v>4023</v>
      </c>
      <c r="P11" s="17" t="b">
        <v>0</v>
      </c>
      <c r="R11" s="17" t="b">
        <v>0</v>
      </c>
      <c r="S11" s="17" t="b">
        <v>0</v>
      </c>
      <c r="X11" s="17" t="b">
        <v>0</v>
      </c>
      <c r="AA11" s="17" t="b">
        <v>0</v>
      </c>
    </row>
    <row r="12">
      <c r="A12" s="17" t="s">
        <v>4024</v>
      </c>
      <c r="B12" s="17" t="s">
        <v>4025</v>
      </c>
      <c r="C12" s="17" t="s">
        <v>4026</v>
      </c>
      <c r="D12" s="353">
        <v>1.077586424E9</v>
      </c>
      <c r="E12" s="353">
        <v>1.0</v>
      </c>
      <c r="F12" s="353">
        <v>2.0</v>
      </c>
      <c r="G12" s="17" t="s">
        <v>4027</v>
      </c>
      <c r="H12" s="17" t="s">
        <v>3974</v>
      </c>
      <c r="I12" s="17" t="s">
        <v>3974</v>
      </c>
      <c r="J12" s="17" t="s">
        <v>3975</v>
      </c>
      <c r="K12" s="17" t="s">
        <v>3976</v>
      </c>
      <c r="L12" s="17" t="s">
        <v>3976</v>
      </c>
      <c r="M12" s="17" t="s">
        <v>3977</v>
      </c>
      <c r="N12" s="17" t="b">
        <v>1</v>
      </c>
      <c r="O12" s="17" t="s">
        <v>4028</v>
      </c>
      <c r="P12" s="17" t="b">
        <v>0</v>
      </c>
      <c r="R12" s="17" t="b">
        <v>0</v>
      </c>
      <c r="S12" s="17" t="b">
        <v>0</v>
      </c>
      <c r="X12" s="17" t="b">
        <v>0</v>
      </c>
      <c r="AA12" s="17" t="b">
        <v>0</v>
      </c>
    </row>
    <row r="13">
      <c r="A13" s="17" t="s">
        <v>4029</v>
      </c>
      <c r="B13" s="17" t="s">
        <v>287</v>
      </c>
      <c r="C13" s="17" t="s">
        <v>4030</v>
      </c>
      <c r="D13" s="353">
        <v>8.61574564E8</v>
      </c>
      <c r="E13" s="353">
        <v>1.0</v>
      </c>
      <c r="F13" s="353">
        <v>2.0</v>
      </c>
      <c r="G13" s="17" t="s">
        <v>4031</v>
      </c>
      <c r="H13" s="17" t="s">
        <v>3974</v>
      </c>
      <c r="I13" s="17" t="s">
        <v>3974</v>
      </c>
      <c r="J13" s="17" t="s">
        <v>3975</v>
      </c>
      <c r="K13" s="17" t="s">
        <v>3976</v>
      </c>
      <c r="L13" s="17" t="s">
        <v>3976</v>
      </c>
      <c r="M13" s="17" t="s">
        <v>3977</v>
      </c>
      <c r="N13" s="17" t="b">
        <v>1</v>
      </c>
      <c r="O13" s="17" t="s">
        <v>4032</v>
      </c>
      <c r="P13" s="17" t="b">
        <v>0</v>
      </c>
      <c r="R13" s="17" t="b">
        <v>0</v>
      </c>
      <c r="S13" s="17" t="b">
        <v>0</v>
      </c>
      <c r="X13" s="17" t="b">
        <v>0</v>
      </c>
      <c r="AA13" s="17" t="b">
        <v>0</v>
      </c>
    </row>
    <row r="14">
      <c r="A14" s="17" t="s">
        <v>4033</v>
      </c>
      <c r="B14" s="17" t="s">
        <v>3728</v>
      </c>
      <c r="C14" s="17" t="s">
        <v>4034</v>
      </c>
      <c r="D14" s="353">
        <v>6.53606996E8</v>
      </c>
      <c r="E14" s="353">
        <v>1.0</v>
      </c>
      <c r="F14" s="353">
        <v>2.0</v>
      </c>
      <c r="G14" s="17" t="s">
        <v>4035</v>
      </c>
      <c r="H14" s="17" t="s">
        <v>3974</v>
      </c>
      <c r="I14" s="17" t="s">
        <v>3974</v>
      </c>
      <c r="J14" s="17" t="s">
        <v>3975</v>
      </c>
      <c r="K14" s="17" t="s">
        <v>3976</v>
      </c>
      <c r="L14" s="17" t="s">
        <v>3976</v>
      </c>
      <c r="M14" s="17" t="s">
        <v>3977</v>
      </c>
      <c r="N14" s="17" t="b">
        <v>1</v>
      </c>
      <c r="O14" s="17" t="s">
        <v>4036</v>
      </c>
      <c r="P14" s="17" t="b">
        <v>0</v>
      </c>
      <c r="R14" s="17" t="b">
        <v>0</v>
      </c>
      <c r="S14" s="17" t="b">
        <v>0</v>
      </c>
      <c r="X14" s="17" t="b">
        <v>0</v>
      </c>
      <c r="AA14" s="17" t="b">
        <v>0</v>
      </c>
    </row>
    <row r="15">
      <c r="A15" s="17" t="s">
        <v>4037</v>
      </c>
      <c r="B15" s="17" t="s">
        <v>915</v>
      </c>
      <c r="C15" s="17" t="s">
        <v>4038</v>
      </c>
      <c r="D15" s="353">
        <v>1.10493642E8</v>
      </c>
      <c r="E15" s="353">
        <v>1.0</v>
      </c>
      <c r="F15" s="353">
        <v>2.0</v>
      </c>
      <c r="G15" s="17" t="s">
        <v>4039</v>
      </c>
      <c r="H15" s="17" t="s">
        <v>3974</v>
      </c>
      <c r="I15" s="17" t="s">
        <v>3974</v>
      </c>
      <c r="J15" s="17" t="s">
        <v>4040</v>
      </c>
      <c r="K15" s="17" t="s">
        <v>3976</v>
      </c>
      <c r="L15" s="17" t="s">
        <v>3976</v>
      </c>
      <c r="M15" s="17" t="s">
        <v>3977</v>
      </c>
      <c r="N15" s="17" t="b">
        <v>1</v>
      </c>
      <c r="O15" s="17" t="s">
        <v>4041</v>
      </c>
      <c r="P15" s="17" t="b">
        <v>0</v>
      </c>
      <c r="R15" s="17" t="b">
        <v>0</v>
      </c>
      <c r="S15" s="17" t="b">
        <v>0</v>
      </c>
      <c r="X15" s="17" t="b">
        <v>0</v>
      </c>
      <c r="AA15" s="17" t="b">
        <v>0</v>
      </c>
    </row>
    <row r="16">
      <c r="A16" s="17" t="s">
        <v>4042</v>
      </c>
      <c r="B16" s="17" t="s">
        <v>4043</v>
      </c>
      <c r="C16" s="17" t="s">
        <v>4044</v>
      </c>
      <c r="D16" s="353">
        <v>1.76256956E9</v>
      </c>
      <c r="E16" s="353">
        <v>1.0</v>
      </c>
      <c r="F16" s="353">
        <v>2.0</v>
      </c>
      <c r="G16" s="17" t="s">
        <v>4045</v>
      </c>
      <c r="H16" s="17" t="s">
        <v>3974</v>
      </c>
      <c r="I16" s="17" t="s">
        <v>3974</v>
      </c>
      <c r="J16" s="17" t="s">
        <v>3975</v>
      </c>
      <c r="K16" s="17" t="s">
        <v>3976</v>
      </c>
      <c r="L16" s="17" t="s">
        <v>3976</v>
      </c>
      <c r="M16" s="17" t="s">
        <v>3977</v>
      </c>
      <c r="N16" s="17" t="b">
        <v>1</v>
      </c>
      <c r="O16" s="17" t="s">
        <v>4046</v>
      </c>
      <c r="P16" s="17" t="b">
        <v>0</v>
      </c>
      <c r="R16" s="17" t="b">
        <v>0</v>
      </c>
      <c r="S16" s="17" t="b">
        <v>0</v>
      </c>
      <c r="X16" s="17" t="b">
        <v>0</v>
      </c>
      <c r="AA16" s="17" t="b">
        <v>0</v>
      </c>
    </row>
    <row r="17">
      <c r="A17" s="17" t="s">
        <v>4047</v>
      </c>
      <c r="B17" s="17" t="s">
        <v>4048</v>
      </c>
      <c r="C17" s="17" t="s">
        <v>4049</v>
      </c>
      <c r="D17" s="353">
        <v>0.0</v>
      </c>
      <c r="E17" s="353">
        <v>1.0</v>
      </c>
      <c r="F17" s="353">
        <v>2.0</v>
      </c>
      <c r="G17" s="17" t="s">
        <v>4050</v>
      </c>
      <c r="H17" s="17" t="s">
        <v>3974</v>
      </c>
      <c r="I17" s="17" t="s">
        <v>3974</v>
      </c>
      <c r="J17" s="17" t="s">
        <v>4040</v>
      </c>
      <c r="K17" s="17" t="s">
        <v>3976</v>
      </c>
      <c r="L17" s="17" t="s">
        <v>3976</v>
      </c>
      <c r="M17" s="17" t="s">
        <v>3977</v>
      </c>
      <c r="N17" s="17" t="b">
        <v>1</v>
      </c>
      <c r="O17" s="17" t="s">
        <v>4051</v>
      </c>
      <c r="P17" s="17" t="b">
        <v>0</v>
      </c>
      <c r="R17" s="17" t="b">
        <v>0</v>
      </c>
      <c r="S17" s="17" t="b">
        <v>0</v>
      </c>
      <c r="X17" s="17" t="b">
        <v>0</v>
      </c>
      <c r="AA17" s="17" t="b">
        <v>0</v>
      </c>
    </row>
    <row r="18">
      <c r="A18" s="17" t="s">
        <v>4052</v>
      </c>
      <c r="B18" s="17" t="s">
        <v>4053</v>
      </c>
      <c r="C18" s="17" t="s">
        <v>4054</v>
      </c>
      <c r="D18" s="353">
        <v>1.172829307E9</v>
      </c>
      <c r="E18" s="353">
        <v>1.0</v>
      </c>
      <c r="F18" s="353">
        <v>2.0</v>
      </c>
      <c r="G18" s="17" t="s">
        <v>4055</v>
      </c>
      <c r="H18" s="17" t="s">
        <v>3974</v>
      </c>
      <c r="I18" s="17" t="s">
        <v>3974</v>
      </c>
      <c r="J18" s="17" t="s">
        <v>4040</v>
      </c>
      <c r="K18" s="17" t="s">
        <v>3976</v>
      </c>
      <c r="L18" s="17" t="s">
        <v>3976</v>
      </c>
      <c r="M18" s="17" t="s">
        <v>3977</v>
      </c>
      <c r="N18" s="17" t="b">
        <v>1</v>
      </c>
      <c r="O18" s="17" t="s">
        <v>4056</v>
      </c>
      <c r="P18" s="17" t="b">
        <v>0</v>
      </c>
      <c r="R18" s="17" t="b">
        <v>0</v>
      </c>
      <c r="S18" s="17" t="b">
        <v>0</v>
      </c>
      <c r="X18" s="17" t="b">
        <v>0</v>
      </c>
      <c r="AA18" s="17" t="b">
        <v>0</v>
      </c>
    </row>
    <row r="19">
      <c r="A19" s="17" t="s">
        <v>4057</v>
      </c>
      <c r="B19" s="17" t="s">
        <v>3745</v>
      </c>
      <c r="C19" s="17" t="s">
        <v>4058</v>
      </c>
      <c r="D19" s="353">
        <v>1.637692879E9</v>
      </c>
      <c r="E19" s="353">
        <v>1.0</v>
      </c>
      <c r="F19" s="353">
        <v>2.0</v>
      </c>
      <c r="G19" s="17" t="s">
        <v>4059</v>
      </c>
      <c r="H19" s="17" t="s">
        <v>3974</v>
      </c>
      <c r="I19" s="17" t="s">
        <v>3974</v>
      </c>
      <c r="J19" s="17" t="s">
        <v>4060</v>
      </c>
      <c r="K19" s="17" t="s">
        <v>3976</v>
      </c>
      <c r="L19" s="17" t="s">
        <v>3976</v>
      </c>
      <c r="M19" s="17" t="s">
        <v>3977</v>
      </c>
      <c r="N19" s="17" t="b">
        <v>1</v>
      </c>
      <c r="O19" s="17" t="s">
        <v>4061</v>
      </c>
      <c r="P19" s="17" t="b">
        <v>0</v>
      </c>
      <c r="R19" s="17" t="b">
        <v>0</v>
      </c>
      <c r="S19" s="17" t="b">
        <v>0</v>
      </c>
      <c r="X19" s="17" t="b">
        <v>0</v>
      </c>
      <c r="AA19" s="17" t="b">
        <v>0</v>
      </c>
    </row>
    <row r="20">
      <c r="A20" s="17" t="s">
        <v>4062</v>
      </c>
      <c r="B20" s="17" t="s">
        <v>3376</v>
      </c>
      <c r="C20" s="17" t="s">
        <v>4063</v>
      </c>
      <c r="D20" s="353">
        <v>1.49235519E9</v>
      </c>
      <c r="E20" s="353">
        <v>1.0</v>
      </c>
      <c r="F20" s="353">
        <v>2.0</v>
      </c>
      <c r="G20" s="17" t="s">
        <v>4064</v>
      </c>
      <c r="H20" s="17" t="s">
        <v>3974</v>
      </c>
      <c r="I20" s="17" t="s">
        <v>3974</v>
      </c>
      <c r="J20" s="17" t="s">
        <v>4040</v>
      </c>
      <c r="K20" s="17" t="s">
        <v>3976</v>
      </c>
      <c r="L20" s="17" t="s">
        <v>3976</v>
      </c>
      <c r="M20" s="17" t="s">
        <v>3977</v>
      </c>
      <c r="N20" s="17" t="b">
        <v>1</v>
      </c>
      <c r="O20" s="17" t="s">
        <v>4065</v>
      </c>
      <c r="P20" s="17" t="b">
        <v>0</v>
      </c>
      <c r="R20" s="17" t="b">
        <v>0</v>
      </c>
      <c r="S20" s="17" t="b">
        <v>0</v>
      </c>
      <c r="X20" s="17" t="b">
        <v>0</v>
      </c>
      <c r="AA20" s="17" t="b">
        <v>0</v>
      </c>
    </row>
    <row r="21">
      <c r="A21" s="17" t="s">
        <v>4066</v>
      </c>
      <c r="B21" s="17" t="s">
        <v>3460</v>
      </c>
      <c r="C21" s="17" t="s">
        <v>4067</v>
      </c>
      <c r="D21" s="353">
        <v>1.471258041E9</v>
      </c>
      <c r="E21" s="353">
        <v>1.0</v>
      </c>
      <c r="F21" s="353">
        <v>2.0</v>
      </c>
      <c r="G21" s="17" t="s">
        <v>4068</v>
      </c>
      <c r="H21" s="17" t="s">
        <v>3974</v>
      </c>
      <c r="I21" s="17" t="s">
        <v>3974</v>
      </c>
      <c r="J21" s="17" t="s">
        <v>4040</v>
      </c>
      <c r="K21" s="17" t="s">
        <v>3976</v>
      </c>
      <c r="L21" s="17" t="s">
        <v>3976</v>
      </c>
      <c r="M21" s="17" t="s">
        <v>3977</v>
      </c>
      <c r="N21" s="17" t="b">
        <v>1</v>
      </c>
      <c r="O21" s="17" t="s">
        <v>4065</v>
      </c>
      <c r="P21" s="17" t="b">
        <v>0</v>
      </c>
      <c r="R21" s="17" t="b">
        <v>0</v>
      </c>
      <c r="S21" s="17" t="b">
        <v>0</v>
      </c>
      <c r="X21" s="17" t="b">
        <v>0</v>
      </c>
      <c r="AA21" s="17" t="b">
        <v>0</v>
      </c>
    </row>
    <row r="22">
      <c r="A22" s="17" t="s">
        <v>4069</v>
      </c>
      <c r="B22" s="17" t="s">
        <v>4070</v>
      </c>
      <c r="C22" s="17" t="s">
        <v>4071</v>
      </c>
      <c r="D22" s="353">
        <v>2.19512644E8</v>
      </c>
      <c r="E22" s="353">
        <v>1.0</v>
      </c>
      <c r="F22" s="353">
        <v>2.0</v>
      </c>
      <c r="G22" s="17" t="s">
        <v>4072</v>
      </c>
      <c r="H22" s="17" t="s">
        <v>3974</v>
      </c>
      <c r="I22" s="17" t="s">
        <v>3974</v>
      </c>
      <c r="J22" s="17" t="s">
        <v>4040</v>
      </c>
      <c r="K22" s="17" t="s">
        <v>3976</v>
      </c>
      <c r="L22" s="17" t="s">
        <v>3976</v>
      </c>
      <c r="M22" s="17" t="s">
        <v>3977</v>
      </c>
      <c r="N22" s="17" t="b">
        <v>1</v>
      </c>
      <c r="O22" s="17" t="s">
        <v>4073</v>
      </c>
      <c r="P22" s="17" t="b">
        <v>0</v>
      </c>
      <c r="R22" s="17" t="b">
        <v>0</v>
      </c>
      <c r="S22" s="17" t="b">
        <v>0</v>
      </c>
      <c r="X22" s="17" t="b">
        <v>0</v>
      </c>
      <c r="AA22" s="17" t="b">
        <v>0</v>
      </c>
    </row>
    <row r="23">
      <c r="A23" s="17" t="s">
        <v>4074</v>
      </c>
      <c r="B23" s="17" t="s">
        <v>4075</v>
      </c>
      <c r="C23" s="17" t="s">
        <v>4076</v>
      </c>
      <c r="D23" s="353">
        <v>2.29096569E8</v>
      </c>
      <c r="E23" s="353">
        <v>1.0</v>
      </c>
      <c r="F23" s="353">
        <v>2.0</v>
      </c>
      <c r="G23" s="17" t="s">
        <v>4077</v>
      </c>
      <c r="H23" s="17" t="s">
        <v>3974</v>
      </c>
      <c r="I23" s="17" t="s">
        <v>3974</v>
      </c>
      <c r="J23" s="17" t="s">
        <v>4040</v>
      </c>
      <c r="K23" s="17" t="s">
        <v>3976</v>
      </c>
      <c r="L23" s="17" t="s">
        <v>3976</v>
      </c>
      <c r="M23" s="17" t="s">
        <v>3977</v>
      </c>
      <c r="N23" s="17" t="b">
        <v>1</v>
      </c>
      <c r="O23" s="17" t="s">
        <v>4078</v>
      </c>
      <c r="P23" s="17" t="b">
        <v>0</v>
      </c>
      <c r="R23" s="17" t="b">
        <v>0</v>
      </c>
      <c r="S23" s="17" t="b">
        <v>0</v>
      </c>
      <c r="X23" s="17" t="b">
        <v>0</v>
      </c>
      <c r="AA23" s="17" t="b">
        <v>0</v>
      </c>
    </row>
    <row r="24">
      <c r="A24" s="17" t="s">
        <v>4079</v>
      </c>
      <c r="B24" s="17" t="s">
        <v>48</v>
      </c>
      <c r="C24" s="17" t="s">
        <v>4080</v>
      </c>
      <c r="D24" s="353">
        <v>1.690385918E9</v>
      </c>
      <c r="E24" s="353">
        <v>1.0</v>
      </c>
      <c r="F24" s="353">
        <v>2.0</v>
      </c>
      <c r="G24" s="17" t="s">
        <v>4081</v>
      </c>
      <c r="H24" s="17" t="s">
        <v>3974</v>
      </c>
      <c r="I24" s="17" t="s">
        <v>3974</v>
      </c>
      <c r="J24" s="17" t="s">
        <v>4040</v>
      </c>
      <c r="K24" s="17" t="s">
        <v>3976</v>
      </c>
      <c r="L24" s="17" t="s">
        <v>3976</v>
      </c>
      <c r="M24" s="17" t="s">
        <v>3977</v>
      </c>
      <c r="N24" s="17" t="b">
        <v>1</v>
      </c>
      <c r="O24" s="17" t="s">
        <v>4082</v>
      </c>
      <c r="P24" s="17" t="b">
        <v>0</v>
      </c>
      <c r="R24" s="17" t="b">
        <v>0</v>
      </c>
      <c r="S24" s="17" t="b">
        <v>0</v>
      </c>
      <c r="X24" s="17" t="b">
        <v>0</v>
      </c>
      <c r="AA24" s="17" t="b">
        <v>0</v>
      </c>
    </row>
    <row r="25">
      <c r="A25" s="17" t="s">
        <v>4083</v>
      </c>
      <c r="B25" s="17" t="s">
        <v>3490</v>
      </c>
      <c r="C25" s="17" t="s">
        <v>4084</v>
      </c>
      <c r="D25" s="353">
        <v>1.739813869E9</v>
      </c>
      <c r="E25" s="353">
        <v>1.0</v>
      </c>
      <c r="F25" s="353">
        <v>2.0</v>
      </c>
      <c r="G25" s="17" t="s">
        <v>4085</v>
      </c>
      <c r="H25" s="17" t="s">
        <v>3974</v>
      </c>
      <c r="I25" s="17" t="s">
        <v>3974</v>
      </c>
      <c r="J25" s="17" t="s">
        <v>4040</v>
      </c>
      <c r="K25" s="17" t="s">
        <v>3976</v>
      </c>
      <c r="L25" s="17" t="s">
        <v>3976</v>
      </c>
      <c r="M25" s="17" t="s">
        <v>3977</v>
      </c>
      <c r="N25" s="17" t="b">
        <v>1</v>
      </c>
      <c r="O25" s="17" t="s">
        <v>4082</v>
      </c>
      <c r="P25" s="17" t="b">
        <v>0</v>
      </c>
      <c r="R25" s="17" t="b">
        <v>0</v>
      </c>
      <c r="S25" s="17" t="b">
        <v>0</v>
      </c>
      <c r="X25" s="17" t="b">
        <v>0</v>
      </c>
      <c r="AA25" s="17" t="b">
        <v>0</v>
      </c>
    </row>
    <row r="26">
      <c r="A26" s="17" t="s">
        <v>4086</v>
      </c>
      <c r="B26" s="17" t="s">
        <v>542</v>
      </c>
      <c r="C26" s="17" t="s">
        <v>4087</v>
      </c>
      <c r="D26" s="353">
        <v>2.92789409E8</v>
      </c>
      <c r="E26" s="353">
        <v>1.0</v>
      </c>
      <c r="F26" s="353">
        <v>2.0</v>
      </c>
      <c r="G26" s="17" t="s">
        <v>4088</v>
      </c>
      <c r="H26" s="17" t="s">
        <v>3974</v>
      </c>
      <c r="I26" s="17" t="s">
        <v>3974</v>
      </c>
      <c r="J26" s="17" t="s">
        <v>4040</v>
      </c>
      <c r="K26" s="17" t="s">
        <v>3976</v>
      </c>
      <c r="L26" s="17" t="s">
        <v>3976</v>
      </c>
      <c r="M26" s="17" t="s">
        <v>3977</v>
      </c>
      <c r="N26" s="17" t="b">
        <v>1</v>
      </c>
      <c r="O26" s="17" t="s">
        <v>4089</v>
      </c>
      <c r="P26" s="17" t="b">
        <v>0</v>
      </c>
      <c r="R26" s="17" t="b">
        <v>0</v>
      </c>
      <c r="S26" s="17" t="b">
        <v>0</v>
      </c>
      <c r="X26" s="17" t="b">
        <v>0</v>
      </c>
      <c r="AA26" s="17" t="b">
        <v>0</v>
      </c>
    </row>
    <row r="27">
      <c r="A27" s="17" t="s">
        <v>4090</v>
      </c>
      <c r="B27" s="17" t="s">
        <v>4091</v>
      </c>
      <c r="C27" s="17" t="s">
        <v>4092</v>
      </c>
      <c r="D27" s="353">
        <v>1.264007327E9</v>
      </c>
      <c r="E27" s="353">
        <v>1.0</v>
      </c>
      <c r="F27" s="353">
        <v>2.0</v>
      </c>
      <c r="G27" s="17" t="s">
        <v>4093</v>
      </c>
      <c r="H27" s="17" t="s">
        <v>3974</v>
      </c>
      <c r="I27" s="17" t="s">
        <v>3974</v>
      </c>
      <c r="J27" s="17" t="s">
        <v>4040</v>
      </c>
      <c r="K27" s="17" t="s">
        <v>3976</v>
      </c>
      <c r="L27" s="17" t="s">
        <v>3976</v>
      </c>
      <c r="M27" s="17" t="s">
        <v>3977</v>
      </c>
      <c r="N27" s="17" t="b">
        <v>1</v>
      </c>
      <c r="O27" s="17" t="s">
        <v>4094</v>
      </c>
      <c r="P27" s="17" t="b">
        <v>0</v>
      </c>
      <c r="R27" s="17" t="b">
        <v>0</v>
      </c>
      <c r="S27" s="17" t="b">
        <v>0</v>
      </c>
      <c r="X27" s="17" t="b">
        <v>0</v>
      </c>
      <c r="AA27" s="17" t="b">
        <v>0</v>
      </c>
    </row>
    <row r="28">
      <c r="A28" s="17" t="s">
        <v>4095</v>
      </c>
      <c r="B28" s="17" t="s">
        <v>4096</v>
      </c>
      <c r="C28" s="17" t="s">
        <v>4097</v>
      </c>
      <c r="D28" s="353">
        <v>1.52630473E8</v>
      </c>
      <c r="E28" s="353">
        <v>1.0</v>
      </c>
      <c r="F28" s="353">
        <v>2.0</v>
      </c>
      <c r="G28" s="17" t="s">
        <v>4098</v>
      </c>
      <c r="H28" s="17" t="s">
        <v>3974</v>
      </c>
      <c r="I28" s="17" t="s">
        <v>3974</v>
      </c>
      <c r="J28" s="17" t="s">
        <v>4040</v>
      </c>
      <c r="K28" s="17" t="s">
        <v>3976</v>
      </c>
      <c r="L28" s="17" t="s">
        <v>3976</v>
      </c>
      <c r="M28" s="17" t="s">
        <v>3977</v>
      </c>
      <c r="N28" s="17" t="b">
        <v>1</v>
      </c>
      <c r="O28" s="17" t="s">
        <v>4094</v>
      </c>
      <c r="P28" s="17" t="b">
        <v>0</v>
      </c>
      <c r="R28" s="17" t="b">
        <v>0</v>
      </c>
      <c r="S28" s="17" t="b">
        <v>0</v>
      </c>
      <c r="X28" s="17" t="b">
        <v>0</v>
      </c>
      <c r="AA28" s="17" t="b">
        <v>0</v>
      </c>
    </row>
    <row r="29">
      <c r="A29" s="17" t="s">
        <v>4099</v>
      </c>
      <c r="B29" s="17" t="s">
        <v>4100</v>
      </c>
      <c r="C29" s="17" t="s">
        <v>4101</v>
      </c>
      <c r="D29" s="353">
        <v>8.40466557E8</v>
      </c>
      <c r="E29" s="353">
        <v>1.0</v>
      </c>
      <c r="F29" s="353">
        <v>2.0</v>
      </c>
      <c r="G29" s="17" t="s">
        <v>4102</v>
      </c>
      <c r="H29" s="17" t="s">
        <v>3974</v>
      </c>
      <c r="I29" s="17" t="s">
        <v>3974</v>
      </c>
      <c r="J29" s="17" t="s">
        <v>4040</v>
      </c>
      <c r="K29" s="17" t="s">
        <v>3976</v>
      </c>
      <c r="L29" s="17" t="s">
        <v>3976</v>
      </c>
      <c r="M29" s="17" t="s">
        <v>3977</v>
      </c>
      <c r="N29" s="17" t="b">
        <v>1</v>
      </c>
      <c r="O29" s="17" t="s">
        <v>4103</v>
      </c>
      <c r="P29" s="17" t="b">
        <v>0</v>
      </c>
      <c r="R29" s="17" t="b">
        <v>0</v>
      </c>
      <c r="S29" s="17" t="b">
        <v>0</v>
      </c>
      <c r="X29" s="17" t="b">
        <v>0</v>
      </c>
      <c r="AA29" s="17" t="b">
        <v>0</v>
      </c>
    </row>
    <row r="30">
      <c r="A30" s="17" t="s">
        <v>4104</v>
      </c>
      <c r="B30" s="17" t="s">
        <v>4105</v>
      </c>
      <c r="C30" s="17" t="s">
        <v>4106</v>
      </c>
      <c r="D30" s="353">
        <v>2.110955622E9</v>
      </c>
      <c r="E30" s="353">
        <v>1.0</v>
      </c>
      <c r="F30" s="353">
        <v>2.0</v>
      </c>
      <c r="G30" s="17" t="s">
        <v>4107</v>
      </c>
      <c r="H30" s="17" t="s">
        <v>3974</v>
      </c>
      <c r="I30" s="17" t="s">
        <v>3974</v>
      </c>
      <c r="J30" s="17" t="s">
        <v>4040</v>
      </c>
      <c r="K30" s="17" t="s">
        <v>3976</v>
      </c>
      <c r="L30" s="17" t="s">
        <v>3976</v>
      </c>
      <c r="M30" s="17" t="s">
        <v>3977</v>
      </c>
      <c r="N30" s="17" t="b">
        <v>1</v>
      </c>
      <c r="O30" s="17" t="s">
        <v>4108</v>
      </c>
      <c r="P30" s="17" t="b">
        <v>0</v>
      </c>
      <c r="R30" s="17" t="b">
        <v>0</v>
      </c>
      <c r="S30" s="17" t="b">
        <v>0</v>
      </c>
      <c r="X30" s="17" t="b">
        <v>0</v>
      </c>
      <c r="AA30" s="17" t="b">
        <v>0</v>
      </c>
    </row>
    <row r="31">
      <c r="A31" s="17" t="s">
        <v>4109</v>
      </c>
      <c r="B31" s="17" t="s">
        <v>684</v>
      </c>
      <c r="C31" s="17" t="s">
        <v>4110</v>
      </c>
      <c r="D31" s="353">
        <v>1.810537345E9</v>
      </c>
      <c r="E31" s="353">
        <v>1.0</v>
      </c>
      <c r="F31" s="353">
        <v>2.0</v>
      </c>
      <c r="G31" s="17" t="s">
        <v>4111</v>
      </c>
      <c r="H31" s="17" t="s">
        <v>3974</v>
      </c>
      <c r="I31" s="17" t="s">
        <v>3974</v>
      </c>
      <c r="J31" s="17" t="s">
        <v>4040</v>
      </c>
      <c r="K31" s="17" t="s">
        <v>3976</v>
      </c>
      <c r="L31" s="17" t="s">
        <v>3976</v>
      </c>
      <c r="M31" s="17" t="s">
        <v>3977</v>
      </c>
      <c r="N31" s="17" t="b">
        <v>1</v>
      </c>
      <c r="O31" s="17" t="s">
        <v>4112</v>
      </c>
      <c r="P31" s="17" t="b">
        <v>0</v>
      </c>
      <c r="R31" s="17" t="b">
        <v>0</v>
      </c>
      <c r="S31" s="17" t="b">
        <v>0</v>
      </c>
      <c r="X31" s="17" t="b">
        <v>0</v>
      </c>
      <c r="AA31" s="17" t="b">
        <v>0</v>
      </c>
    </row>
  </sheetData>
  <drawing r:id="rId1"/>
</worksheet>
</file>